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D6734687-D806-45D1-BE3D-021C9AD54E4F}" xr6:coauthVersionLast="47" xr6:coauthVersionMax="47" xr10:uidLastSave="{00000000-0000-0000-0000-000000000000}"/>
  <bookViews>
    <workbookView xWindow="16457" yWindow="0" windowWidth="16457" windowHeight="17914" xr2:uid="{37D3F7E3-8C43-42EE-90BC-FE11652EB78D}"/>
  </bookViews>
  <sheets>
    <sheet name="Table locations and sizes" sheetId="1" r:id="rId1"/>
    <sheet name="Custom Relocation Patches" sheetId="3" r:id="rId2"/>
    <sheet name="Data" sheetId="4" r:id="rId3"/>
    <sheet name="Reverse Patch" sheetId="5" r:id="rId4"/>
  </sheets>
  <definedNames>
    <definedName name="_xlnm._FilterDatabase" localSheetId="1" hidden="1">'Custom Relocation Patches'!$A$1:$P$978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3" l="1"/>
  <c r="N1013" i="3" l="1"/>
  <c r="M1013" i="3"/>
  <c r="L1013" i="3"/>
  <c r="N1012" i="3" l="1"/>
  <c r="M1012" i="3"/>
  <c r="L1012" i="3"/>
  <c r="N1011" i="3"/>
  <c r="M1011" i="3"/>
  <c r="L1011" i="3"/>
  <c r="N1010" i="3"/>
  <c r="M1010" i="3"/>
  <c r="L1010" i="3"/>
  <c r="N1009" i="3"/>
  <c r="M1009" i="3"/>
  <c r="L1009" i="3"/>
  <c r="N1008" i="3"/>
  <c r="M1008" i="3"/>
  <c r="L1008" i="3"/>
  <c r="N1007" i="3"/>
  <c r="M1007" i="3"/>
  <c r="L1007" i="3"/>
  <c r="N1006" i="3"/>
  <c r="M1006" i="3"/>
  <c r="L1006" i="3"/>
  <c r="N1005" i="3"/>
  <c r="M1005" i="3"/>
  <c r="L1005" i="3"/>
  <c r="N1004" i="3"/>
  <c r="M1004" i="3"/>
  <c r="L1004" i="3"/>
  <c r="N1003" i="3"/>
  <c r="M1003" i="3"/>
  <c r="L1003" i="3"/>
  <c r="N1002" i="3"/>
  <c r="M1002" i="3"/>
  <c r="L1002" i="3"/>
  <c r="N1001" i="3"/>
  <c r="M1001" i="3"/>
  <c r="L1001" i="3"/>
  <c r="N1000" i="3"/>
  <c r="M1000" i="3"/>
  <c r="L1000" i="3"/>
  <c r="N999" i="3"/>
  <c r="M999" i="3"/>
  <c r="L999" i="3"/>
  <c r="N998" i="3"/>
  <c r="M998" i="3"/>
  <c r="L998" i="3"/>
  <c r="N997" i="3"/>
  <c r="M997" i="3"/>
  <c r="L997" i="3"/>
  <c r="N996" i="3"/>
  <c r="M996" i="3"/>
  <c r="L996" i="3"/>
  <c r="N995" i="3"/>
  <c r="M995" i="3"/>
  <c r="L995" i="3"/>
  <c r="N994" i="3"/>
  <c r="M994" i="3"/>
  <c r="L994" i="3"/>
  <c r="N993" i="3"/>
  <c r="M993" i="3"/>
  <c r="L993" i="3"/>
  <c r="N992" i="3"/>
  <c r="M992" i="3"/>
  <c r="L992" i="3"/>
  <c r="N991" i="3"/>
  <c r="M991" i="3"/>
  <c r="L991" i="3"/>
  <c r="N990" i="3"/>
  <c r="M990" i="3"/>
  <c r="L990" i="3"/>
  <c r="N989" i="3"/>
  <c r="M989" i="3"/>
  <c r="L989" i="3"/>
  <c r="N988" i="3"/>
  <c r="M988" i="3"/>
  <c r="L988" i="3"/>
  <c r="N987" i="3"/>
  <c r="M987" i="3"/>
  <c r="L987" i="3"/>
  <c r="N986" i="3"/>
  <c r="M986" i="3"/>
  <c r="L986" i="3"/>
  <c r="M980" i="3" l="1"/>
  <c r="N985" i="3"/>
  <c r="L985" i="3"/>
  <c r="N984" i="3"/>
  <c r="L984" i="3"/>
  <c r="N983" i="3"/>
  <c r="L983" i="3"/>
  <c r="N982" i="3"/>
  <c r="L982" i="3"/>
  <c r="N981" i="3"/>
  <c r="L981" i="3"/>
  <c r="N980" i="3"/>
  <c r="L980" i="3"/>
  <c r="N979" i="3" l="1"/>
  <c r="M979" i="3"/>
  <c r="L979" i="3"/>
  <c r="N977" i="3"/>
  <c r="M977" i="3"/>
  <c r="L977" i="3"/>
  <c r="N976" i="3"/>
  <c r="M976" i="3"/>
  <c r="L976" i="3"/>
  <c r="N975" i="3"/>
  <c r="M975" i="3"/>
  <c r="L975" i="3"/>
  <c r="N974" i="3"/>
  <c r="M974" i="3"/>
  <c r="L974" i="3"/>
  <c r="N973" i="3"/>
  <c r="M973" i="3"/>
  <c r="L973" i="3"/>
  <c r="N978" i="3"/>
  <c r="M978" i="3"/>
  <c r="L978" i="3"/>
  <c r="M981" i="3" l="1"/>
  <c r="M982" i="3" l="1"/>
  <c r="N972" i="3"/>
  <c r="M972" i="3"/>
  <c r="L972" i="3"/>
  <c r="N971" i="3"/>
  <c r="M971" i="3"/>
  <c r="L971" i="3"/>
  <c r="N970" i="3"/>
  <c r="M970" i="3"/>
  <c r="L970" i="3"/>
  <c r="N969" i="3"/>
  <c r="M969" i="3"/>
  <c r="L969" i="3"/>
  <c r="N968" i="3"/>
  <c r="M968" i="3"/>
  <c r="L968" i="3"/>
  <c r="N967" i="3"/>
  <c r="M967" i="3"/>
  <c r="L967" i="3"/>
  <c r="N966" i="3"/>
  <c r="M966" i="3"/>
  <c r="L966" i="3"/>
  <c r="M983" i="3" l="1"/>
  <c r="M985" i="3" l="1"/>
  <c r="M984" i="3"/>
  <c r="N965" i="3"/>
  <c r="M965" i="3"/>
  <c r="L965" i="3"/>
  <c r="N964" i="3"/>
  <c r="M964" i="3"/>
  <c r="L964" i="3"/>
  <c r="N963" i="3"/>
  <c r="M963" i="3"/>
  <c r="L963" i="3"/>
  <c r="N962" i="3" l="1"/>
  <c r="M962" i="3"/>
  <c r="L962" i="3"/>
  <c r="N961" i="3"/>
  <c r="M961" i="3"/>
  <c r="L961" i="3"/>
  <c r="N960" i="3"/>
  <c r="M960" i="3"/>
  <c r="L960" i="3"/>
  <c r="N959" i="3"/>
  <c r="M959" i="3"/>
  <c r="L959" i="3"/>
  <c r="N958" i="3"/>
  <c r="M958" i="3"/>
  <c r="L958" i="3"/>
  <c r="N957" i="3"/>
  <c r="M957" i="3"/>
  <c r="L957" i="3"/>
  <c r="N956" i="3"/>
  <c r="M956" i="3"/>
  <c r="L956" i="3"/>
  <c r="N955" i="3"/>
  <c r="M955" i="3"/>
  <c r="L955" i="3"/>
  <c r="N954" i="3"/>
  <c r="M954" i="3"/>
  <c r="L954" i="3"/>
  <c r="N953" i="3"/>
  <c r="M953" i="3"/>
  <c r="L953" i="3"/>
  <c r="L62" i="3"/>
  <c r="M62" i="3"/>
  <c r="N62" i="3"/>
  <c r="L92" i="3"/>
  <c r="M92" i="3"/>
  <c r="N92" i="3"/>
  <c r="L97" i="3"/>
  <c r="M97" i="3"/>
  <c r="N97" i="3"/>
  <c r="N952" i="3" l="1"/>
  <c r="N951" i="3"/>
  <c r="L951" i="3" l="1"/>
  <c r="M951" i="3"/>
  <c r="L952" i="3" l="1"/>
  <c r="M952" i="3"/>
  <c r="N950" i="3"/>
  <c r="M950" i="3"/>
  <c r="L950" i="3"/>
  <c r="N949" i="3"/>
  <c r="M949" i="3"/>
  <c r="L949" i="3"/>
  <c r="N948" i="3"/>
  <c r="M948" i="3"/>
  <c r="L948" i="3"/>
  <c r="N947" i="3"/>
  <c r="M947" i="3"/>
  <c r="L947" i="3"/>
  <c r="N946" i="3"/>
  <c r="M946" i="3"/>
  <c r="L946" i="3"/>
  <c r="N945" i="3"/>
  <c r="M945" i="3"/>
  <c r="L945" i="3"/>
  <c r="N944" i="3"/>
  <c r="M944" i="3"/>
  <c r="L944" i="3"/>
  <c r="N162" i="3"/>
  <c r="M162" i="3"/>
  <c r="L162" i="3"/>
  <c r="N370" i="3"/>
  <c r="M370" i="3"/>
  <c r="L370" i="3"/>
  <c r="N943" i="3"/>
  <c r="M943" i="3"/>
  <c r="L943" i="3"/>
  <c r="N942" i="3" l="1"/>
  <c r="M942" i="3"/>
  <c r="L942" i="3"/>
  <c r="N941" i="3"/>
  <c r="M941" i="3"/>
  <c r="L941" i="3"/>
  <c r="N940" i="3"/>
  <c r="M940" i="3"/>
  <c r="L940" i="3"/>
  <c r="N939" i="3" l="1"/>
  <c r="M939" i="3"/>
  <c r="L939" i="3"/>
  <c r="N578" i="3"/>
  <c r="M578" i="3"/>
  <c r="L578" i="3"/>
  <c r="L579" i="3"/>
  <c r="M579" i="3"/>
  <c r="N579" i="3"/>
  <c r="L580" i="3"/>
  <c r="M580" i="3"/>
  <c r="N580" i="3"/>
  <c r="L581" i="3"/>
  <c r="M581" i="3"/>
  <c r="N581" i="3"/>
  <c r="L582" i="3"/>
  <c r="M582" i="3"/>
  <c r="N582" i="3"/>
  <c r="L583" i="3"/>
  <c r="M583" i="3"/>
  <c r="N583" i="3"/>
  <c r="L584" i="3"/>
  <c r="M584" i="3"/>
  <c r="N584" i="3"/>
  <c r="L585" i="3"/>
  <c r="M585" i="3"/>
  <c r="N585" i="3"/>
  <c r="L586" i="3"/>
  <c r="M586" i="3"/>
  <c r="N586" i="3"/>
  <c r="K587" i="3"/>
  <c r="L587" i="3"/>
  <c r="M587" i="3"/>
  <c r="N587" i="3"/>
  <c r="L588" i="3"/>
  <c r="M588" i="3"/>
  <c r="N588" i="3"/>
  <c r="L589" i="3"/>
  <c r="M589" i="3"/>
  <c r="N589" i="3"/>
  <c r="L590" i="3"/>
  <c r="M590" i="3"/>
  <c r="N590" i="3"/>
  <c r="L591" i="3"/>
  <c r="M591" i="3"/>
  <c r="N591" i="3"/>
  <c r="L592" i="3"/>
  <c r="M592" i="3"/>
  <c r="N592" i="3"/>
  <c r="L593" i="3"/>
  <c r="M593" i="3"/>
  <c r="N593" i="3"/>
  <c r="L594" i="3"/>
  <c r="M594" i="3"/>
  <c r="N594" i="3"/>
  <c r="L595" i="3"/>
  <c r="M595" i="3"/>
  <c r="N595" i="3"/>
  <c r="L596" i="3"/>
  <c r="M596" i="3"/>
  <c r="N596" i="3"/>
  <c r="L597" i="3"/>
  <c r="M597" i="3"/>
  <c r="N597" i="3"/>
  <c r="L598" i="3"/>
  <c r="M598" i="3"/>
  <c r="N598" i="3"/>
  <c r="L599" i="3"/>
  <c r="M599" i="3"/>
  <c r="N599" i="3"/>
  <c r="L600" i="3"/>
  <c r="M600" i="3"/>
  <c r="N600" i="3"/>
  <c r="L601" i="3"/>
  <c r="M601" i="3"/>
  <c r="N601" i="3"/>
  <c r="L602" i="3"/>
  <c r="M602" i="3"/>
  <c r="N602" i="3"/>
  <c r="L603" i="3"/>
  <c r="M603" i="3"/>
  <c r="N603" i="3"/>
  <c r="L604" i="3"/>
  <c r="M604" i="3"/>
  <c r="N604" i="3"/>
  <c r="L605" i="3"/>
  <c r="M605" i="3"/>
  <c r="N605" i="3"/>
  <c r="L606" i="3"/>
  <c r="M606" i="3"/>
  <c r="N606" i="3"/>
  <c r="L607" i="3"/>
  <c r="M607" i="3"/>
  <c r="N607" i="3"/>
  <c r="L608" i="3"/>
  <c r="M608" i="3"/>
  <c r="N608" i="3"/>
  <c r="K609" i="3"/>
  <c r="L609" i="3"/>
  <c r="M609" i="3"/>
  <c r="N609" i="3"/>
  <c r="L610" i="3"/>
  <c r="M610" i="3"/>
  <c r="N610" i="3"/>
  <c r="L611" i="3"/>
  <c r="M611" i="3"/>
  <c r="N611" i="3"/>
  <c r="L612" i="3"/>
  <c r="M612" i="3"/>
  <c r="N612" i="3"/>
  <c r="L613" i="3"/>
  <c r="M613" i="3"/>
  <c r="N613" i="3"/>
  <c r="L614" i="3"/>
  <c r="M614" i="3"/>
  <c r="N614" i="3"/>
  <c r="L615" i="3"/>
  <c r="M615" i="3"/>
  <c r="N615" i="3"/>
  <c r="L616" i="3"/>
  <c r="M616" i="3"/>
  <c r="N616" i="3"/>
  <c r="L617" i="3"/>
  <c r="M617" i="3"/>
  <c r="N617" i="3"/>
  <c r="L618" i="3"/>
  <c r="M618" i="3"/>
  <c r="N618" i="3"/>
  <c r="L619" i="3"/>
  <c r="M619" i="3"/>
  <c r="N619" i="3"/>
  <c r="L620" i="3"/>
  <c r="M620" i="3"/>
  <c r="N620" i="3"/>
  <c r="L621" i="3"/>
  <c r="M621" i="3"/>
  <c r="N621" i="3"/>
  <c r="L622" i="3"/>
  <c r="M622" i="3"/>
  <c r="N622" i="3"/>
  <c r="L623" i="3"/>
  <c r="M623" i="3"/>
  <c r="N623" i="3"/>
  <c r="L624" i="3"/>
  <c r="M624" i="3"/>
  <c r="N624" i="3"/>
  <c r="L625" i="3"/>
  <c r="M625" i="3"/>
  <c r="N625" i="3"/>
  <c r="L626" i="3"/>
  <c r="M626" i="3"/>
  <c r="N626" i="3"/>
  <c r="L627" i="3"/>
  <c r="M627" i="3"/>
  <c r="N627" i="3"/>
  <c r="L628" i="3"/>
  <c r="M628" i="3"/>
  <c r="N628" i="3"/>
  <c r="L629" i="3"/>
  <c r="M629" i="3"/>
  <c r="N629" i="3"/>
  <c r="L630" i="3"/>
  <c r="M630" i="3"/>
  <c r="N630" i="3"/>
  <c r="L631" i="3"/>
  <c r="M631" i="3"/>
  <c r="N631" i="3"/>
  <c r="L632" i="3"/>
  <c r="M632" i="3"/>
  <c r="N632" i="3"/>
  <c r="L633" i="3"/>
  <c r="M633" i="3"/>
  <c r="N633" i="3"/>
  <c r="L634" i="3"/>
  <c r="M634" i="3"/>
  <c r="N634" i="3"/>
  <c r="L635" i="3"/>
  <c r="M635" i="3"/>
  <c r="N635" i="3"/>
  <c r="L636" i="3"/>
  <c r="M636" i="3"/>
  <c r="N636" i="3"/>
  <c r="L637" i="3"/>
  <c r="M637" i="3"/>
  <c r="N637" i="3"/>
  <c r="L638" i="3"/>
  <c r="M638" i="3"/>
  <c r="N638" i="3"/>
  <c r="L639" i="3"/>
  <c r="M639" i="3"/>
  <c r="N639" i="3"/>
  <c r="L640" i="3"/>
  <c r="M640" i="3"/>
  <c r="N640" i="3"/>
  <c r="L641" i="3"/>
  <c r="M641" i="3"/>
  <c r="N641" i="3"/>
  <c r="L642" i="3"/>
  <c r="M642" i="3"/>
  <c r="N642" i="3"/>
  <c r="L643" i="3"/>
  <c r="M643" i="3"/>
  <c r="N643" i="3"/>
  <c r="L644" i="3"/>
  <c r="M644" i="3"/>
  <c r="N644" i="3"/>
  <c r="L645" i="3"/>
  <c r="M645" i="3"/>
  <c r="N645" i="3"/>
  <c r="L646" i="3"/>
  <c r="M646" i="3"/>
  <c r="N646" i="3"/>
  <c r="L647" i="3"/>
  <c r="M647" i="3"/>
  <c r="N647" i="3"/>
  <c r="L648" i="3"/>
  <c r="M648" i="3"/>
  <c r="N648" i="3"/>
  <c r="L649" i="3"/>
  <c r="M649" i="3"/>
  <c r="N649" i="3"/>
  <c r="L650" i="3"/>
  <c r="M650" i="3"/>
  <c r="N650" i="3"/>
  <c r="L651" i="3"/>
  <c r="M651" i="3"/>
  <c r="N651" i="3"/>
  <c r="L652" i="3"/>
  <c r="M652" i="3"/>
  <c r="N652" i="3"/>
  <c r="L653" i="3"/>
  <c r="M653" i="3"/>
  <c r="N653" i="3"/>
  <c r="L654" i="3"/>
  <c r="M654" i="3"/>
  <c r="N654" i="3"/>
  <c r="L655" i="3"/>
  <c r="M655" i="3"/>
  <c r="N655" i="3"/>
  <c r="L656" i="3"/>
  <c r="M656" i="3"/>
  <c r="N656" i="3"/>
  <c r="L657" i="3"/>
  <c r="M657" i="3"/>
  <c r="N657" i="3"/>
  <c r="L658" i="3"/>
  <c r="M658" i="3"/>
  <c r="N658" i="3"/>
  <c r="L659" i="3"/>
  <c r="M659" i="3"/>
  <c r="N659" i="3"/>
  <c r="L660" i="3"/>
  <c r="M660" i="3"/>
  <c r="N660" i="3"/>
  <c r="L661" i="3"/>
  <c r="M661" i="3"/>
  <c r="N661" i="3"/>
  <c r="L662" i="3"/>
  <c r="M662" i="3"/>
  <c r="N662" i="3"/>
  <c r="L663" i="3"/>
  <c r="M663" i="3"/>
  <c r="N663" i="3"/>
  <c r="L664" i="3"/>
  <c r="M664" i="3"/>
  <c r="N664" i="3"/>
  <c r="L665" i="3"/>
  <c r="M665" i="3"/>
  <c r="N665" i="3"/>
  <c r="L666" i="3"/>
  <c r="M666" i="3"/>
  <c r="N666" i="3"/>
  <c r="L667" i="3"/>
  <c r="M667" i="3"/>
  <c r="N667" i="3"/>
  <c r="L668" i="3"/>
  <c r="M668" i="3"/>
  <c r="N668" i="3"/>
  <c r="L669" i="3"/>
  <c r="M669" i="3"/>
  <c r="N669" i="3"/>
  <c r="L670" i="3"/>
  <c r="M670" i="3"/>
  <c r="N670" i="3"/>
  <c r="L671" i="3"/>
  <c r="M671" i="3"/>
  <c r="N671" i="3"/>
  <c r="L672" i="3"/>
  <c r="M672" i="3"/>
  <c r="N672" i="3"/>
  <c r="L673" i="3"/>
  <c r="M673" i="3"/>
  <c r="N673" i="3"/>
  <c r="L674" i="3"/>
  <c r="M674" i="3"/>
  <c r="N674" i="3"/>
  <c r="L675" i="3"/>
  <c r="M675" i="3"/>
  <c r="N675" i="3"/>
  <c r="L676" i="3"/>
  <c r="M676" i="3"/>
  <c r="N676" i="3"/>
  <c r="L677" i="3"/>
  <c r="M677" i="3"/>
  <c r="N677" i="3"/>
  <c r="L678" i="3"/>
  <c r="M678" i="3"/>
  <c r="N678" i="3"/>
  <c r="L679" i="3"/>
  <c r="M679" i="3"/>
  <c r="N679" i="3"/>
  <c r="L680" i="3"/>
  <c r="M680" i="3"/>
  <c r="N680" i="3"/>
  <c r="L681" i="3"/>
  <c r="M681" i="3"/>
  <c r="N681" i="3"/>
  <c r="L682" i="3"/>
  <c r="M682" i="3"/>
  <c r="N682" i="3"/>
  <c r="L683" i="3"/>
  <c r="M683" i="3"/>
  <c r="N683" i="3"/>
  <c r="L684" i="3"/>
  <c r="M684" i="3"/>
  <c r="N684" i="3"/>
  <c r="L685" i="3"/>
  <c r="M685" i="3"/>
  <c r="N685" i="3"/>
  <c r="L686" i="3"/>
  <c r="M686" i="3"/>
  <c r="N686" i="3"/>
  <c r="L687" i="3"/>
  <c r="M687" i="3"/>
  <c r="N687" i="3"/>
  <c r="L688" i="3"/>
  <c r="M688" i="3"/>
  <c r="N688" i="3"/>
  <c r="L689" i="3"/>
  <c r="M689" i="3"/>
  <c r="N689" i="3"/>
  <c r="L690" i="3"/>
  <c r="M690" i="3"/>
  <c r="N690" i="3"/>
  <c r="L691" i="3"/>
  <c r="M691" i="3"/>
  <c r="N691" i="3"/>
  <c r="L692" i="3"/>
  <c r="M692" i="3"/>
  <c r="N692" i="3"/>
  <c r="L693" i="3"/>
  <c r="M693" i="3"/>
  <c r="N693" i="3"/>
  <c r="L694" i="3"/>
  <c r="M694" i="3"/>
  <c r="N694" i="3"/>
  <c r="L695" i="3"/>
  <c r="M695" i="3"/>
  <c r="N695" i="3"/>
  <c r="L696" i="3"/>
  <c r="M696" i="3"/>
  <c r="N696" i="3"/>
  <c r="L697" i="3"/>
  <c r="M697" i="3"/>
  <c r="N697" i="3"/>
  <c r="L698" i="3"/>
  <c r="M698" i="3"/>
  <c r="N698" i="3"/>
  <c r="L699" i="3"/>
  <c r="M699" i="3"/>
  <c r="N699" i="3"/>
  <c r="L700" i="3"/>
  <c r="M700" i="3"/>
  <c r="N700" i="3"/>
  <c r="L701" i="3"/>
  <c r="M701" i="3"/>
  <c r="N701" i="3"/>
  <c r="L702" i="3"/>
  <c r="M702" i="3"/>
  <c r="N702" i="3"/>
  <c r="L703" i="3"/>
  <c r="M703" i="3"/>
  <c r="N703" i="3"/>
  <c r="L704" i="3"/>
  <c r="M704" i="3"/>
  <c r="N704" i="3"/>
  <c r="L705" i="3"/>
  <c r="M705" i="3"/>
  <c r="N705" i="3"/>
  <c r="L706" i="3"/>
  <c r="M706" i="3"/>
  <c r="N706" i="3"/>
  <c r="L707" i="3"/>
  <c r="M707" i="3"/>
  <c r="N707" i="3"/>
  <c r="L708" i="3"/>
  <c r="M708" i="3"/>
  <c r="N708" i="3"/>
  <c r="L709" i="3"/>
  <c r="M709" i="3"/>
  <c r="N709" i="3"/>
  <c r="L710" i="3"/>
  <c r="M710" i="3"/>
  <c r="N710" i="3"/>
  <c r="L711" i="3"/>
  <c r="M711" i="3"/>
  <c r="N711" i="3"/>
  <c r="L712" i="3"/>
  <c r="M712" i="3"/>
  <c r="N712" i="3"/>
  <c r="L713" i="3"/>
  <c r="M713" i="3"/>
  <c r="N713" i="3"/>
  <c r="L714" i="3"/>
  <c r="M714" i="3"/>
  <c r="N714" i="3"/>
  <c r="L715" i="3"/>
  <c r="M715" i="3"/>
  <c r="N715" i="3"/>
  <c r="L716" i="3"/>
  <c r="M716" i="3"/>
  <c r="N716" i="3"/>
  <c r="L717" i="3"/>
  <c r="M717" i="3"/>
  <c r="N717" i="3"/>
  <c r="L718" i="3"/>
  <c r="M718" i="3"/>
  <c r="N718" i="3"/>
  <c r="L719" i="3"/>
  <c r="M719" i="3"/>
  <c r="N719" i="3"/>
  <c r="L720" i="3"/>
  <c r="M720" i="3"/>
  <c r="N720" i="3"/>
  <c r="L721" i="3"/>
  <c r="M721" i="3"/>
  <c r="N721" i="3"/>
  <c r="L722" i="3"/>
  <c r="M722" i="3"/>
  <c r="N722" i="3"/>
  <c r="L723" i="3"/>
  <c r="M723" i="3"/>
  <c r="N723" i="3"/>
  <c r="L724" i="3"/>
  <c r="M724" i="3"/>
  <c r="N724" i="3"/>
  <c r="L725" i="3"/>
  <c r="M725" i="3"/>
  <c r="N725" i="3"/>
  <c r="L726" i="3"/>
  <c r="M726" i="3"/>
  <c r="N726" i="3"/>
  <c r="L727" i="3"/>
  <c r="M727" i="3"/>
  <c r="N727" i="3"/>
  <c r="L728" i="3"/>
  <c r="M728" i="3"/>
  <c r="N728" i="3"/>
  <c r="L729" i="3"/>
  <c r="M729" i="3"/>
  <c r="N729" i="3"/>
  <c r="L730" i="3"/>
  <c r="M730" i="3"/>
  <c r="N730" i="3"/>
  <c r="L731" i="3"/>
  <c r="M731" i="3"/>
  <c r="N731" i="3"/>
  <c r="L732" i="3"/>
  <c r="M732" i="3"/>
  <c r="N732" i="3"/>
  <c r="L733" i="3"/>
  <c r="M733" i="3"/>
  <c r="N733" i="3"/>
  <c r="L734" i="3"/>
  <c r="M734" i="3"/>
  <c r="N734" i="3"/>
  <c r="L735" i="3"/>
  <c r="M735" i="3"/>
  <c r="N735" i="3"/>
  <c r="L736" i="3"/>
  <c r="M736" i="3"/>
  <c r="N736" i="3"/>
  <c r="L737" i="3"/>
  <c r="M737" i="3"/>
  <c r="N737" i="3"/>
  <c r="L738" i="3"/>
  <c r="M738" i="3"/>
  <c r="N738" i="3"/>
  <c r="L739" i="3"/>
  <c r="M739" i="3"/>
  <c r="N739" i="3"/>
  <c r="L740" i="3"/>
  <c r="M740" i="3"/>
  <c r="N740" i="3"/>
  <c r="L741" i="3"/>
  <c r="M741" i="3"/>
  <c r="N741" i="3"/>
  <c r="L742" i="3"/>
  <c r="M742" i="3"/>
  <c r="N742" i="3"/>
  <c r="L743" i="3"/>
  <c r="M743" i="3"/>
  <c r="N743" i="3"/>
  <c r="L744" i="3"/>
  <c r="M744" i="3"/>
  <c r="N744" i="3"/>
  <c r="L745" i="3"/>
  <c r="M745" i="3"/>
  <c r="N745" i="3"/>
  <c r="L746" i="3"/>
  <c r="M746" i="3"/>
  <c r="N746" i="3"/>
  <c r="L747" i="3"/>
  <c r="M747" i="3"/>
  <c r="N747" i="3"/>
  <c r="L748" i="3"/>
  <c r="M748" i="3"/>
  <c r="N748" i="3"/>
  <c r="L749" i="3"/>
  <c r="M749" i="3"/>
  <c r="N749" i="3"/>
  <c r="L750" i="3"/>
  <c r="M750" i="3"/>
  <c r="N750" i="3"/>
  <c r="L751" i="3"/>
  <c r="M751" i="3"/>
  <c r="N751" i="3"/>
  <c r="L752" i="3"/>
  <c r="M752" i="3"/>
  <c r="N752" i="3"/>
  <c r="L753" i="3"/>
  <c r="M753" i="3"/>
  <c r="N753" i="3"/>
  <c r="L754" i="3"/>
  <c r="M754" i="3"/>
  <c r="N754" i="3"/>
  <c r="L755" i="3"/>
  <c r="M755" i="3"/>
  <c r="N755" i="3"/>
  <c r="L756" i="3"/>
  <c r="M756" i="3"/>
  <c r="N756" i="3"/>
  <c r="L757" i="3"/>
  <c r="M757" i="3"/>
  <c r="N757" i="3"/>
  <c r="L758" i="3"/>
  <c r="M758" i="3"/>
  <c r="N758" i="3"/>
  <c r="L759" i="3"/>
  <c r="M759" i="3"/>
  <c r="N759" i="3"/>
  <c r="L760" i="3"/>
  <c r="M760" i="3"/>
  <c r="N760" i="3"/>
  <c r="K761" i="3"/>
  <c r="L761" i="3"/>
  <c r="M761" i="3"/>
  <c r="N761" i="3"/>
  <c r="L762" i="3"/>
  <c r="M762" i="3"/>
  <c r="N762" i="3"/>
  <c r="L763" i="3"/>
  <c r="M763" i="3"/>
  <c r="N763" i="3"/>
  <c r="L764" i="3"/>
  <c r="M764" i="3"/>
  <c r="N764" i="3"/>
  <c r="L765" i="3"/>
  <c r="M765" i="3"/>
  <c r="N765" i="3"/>
  <c r="L766" i="3"/>
  <c r="M766" i="3"/>
  <c r="N766" i="3"/>
  <c r="L767" i="3"/>
  <c r="M767" i="3"/>
  <c r="N767" i="3"/>
  <c r="L768" i="3"/>
  <c r="M768" i="3"/>
  <c r="N768" i="3"/>
  <c r="L769" i="3"/>
  <c r="M769" i="3"/>
  <c r="N769" i="3"/>
  <c r="L770" i="3"/>
  <c r="M770" i="3"/>
  <c r="N770" i="3"/>
  <c r="L771" i="3"/>
  <c r="M771" i="3"/>
  <c r="N771" i="3"/>
  <c r="L772" i="3"/>
  <c r="M772" i="3"/>
  <c r="N772" i="3"/>
  <c r="L773" i="3"/>
  <c r="M773" i="3"/>
  <c r="N773" i="3"/>
  <c r="L774" i="3"/>
  <c r="M774" i="3"/>
  <c r="N774" i="3"/>
  <c r="L775" i="3"/>
  <c r="M775" i="3"/>
  <c r="N775" i="3"/>
  <c r="L776" i="3"/>
  <c r="M776" i="3"/>
  <c r="N776" i="3"/>
  <c r="L777" i="3"/>
  <c r="M777" i="3"/>
  <c r="N777" i="3"/>
  <c r="L778" i="3"/>
  <c r="M778" i="3"/>
  <c r="N778" i="3"/>
  <c r="L779" i="3"/>
  <c r="M779" i="3"/>
  <c r="N779" i="3"/>
  <c r="K780" i="3"/>
  <c r="L780" i="3"/>
  <c r="M780" i="3"/>
  <c r="N780" i="3"/>
  <c r="L781" i="3"/>
  <c r="M781" i="3"/>
  <c r="N781" i="3"/>
  <c r="L782" i="3"/>
  <c r="M782" i="3"/>
  <c r="N782" i="3"/>
  <c r="L783" i="3"/>
  <c r="M783" i="3"/>
  <c r="N783" i="3"/>
  <c r="L784" i="3"/>
  <c r="M784" i="3"/>
  <c r="N784" i="3"/>
  <c r="L785" i="3"/>
  <c r="M785" i="3"/>
  <c r="N785" i="3"/>
  <c r="L786" i="3"/>
  <c r="M786" i="3"/>
  <c r="N786" i="3"/>
  <c r="L787" i="3"/>
  <c r="M787" i="3"/>
  <c r="N787" i="3"/>
  <c r="L788" i="3"/>
  <c r="M788" i="3"/>
  <c r="N788" i="3"/>
  <c r="L789" i="3"/>
  <c r="M789" i="3"/>
  <c r="N789" i="3"/>
  <c r="L790" i="3"/>
  <c r="M790" i="3"/>
  <c r="N790" i="3"/>
  <c r="L791" i="3"/>
  <c r="M791" i="3"/>
  <c r="N791" i="3"/>
  <c r="L792" i="3"/>
  <c r="M792" i="3"/>
  <c r="N792" i="3"/>
  <c r="L793" i="3"/>
  <c r="M793" i="3"/>
  <c r="N793" i="3"/>
  <c r="L794" i="3"/>
  <c r="M794" i="3"/>
  <c r="N794" i="3"/>
  <c r="L795" i="3"/>
  <c r="M795" i="3"/>
  <c r="N795" i="3"/>
  <c r="L796" i="3"/>
  <c r="M796" i="3"/>
  <c r="N796" i="3"/>
  <c r="L797" i="3"/>
  <c r="M797" i="3"/>
  <c r="N797" i="3"/>
  <c r="L798" i="3"/>
  <c r="M798" i="3"/>
  <c r="N798" i="3"/>
  <c r="L799" i="3"/>
  <c r="M799" i="3"/>
  <c r="N799" i="3"/>
  <c r="L800" i="3"/>
  <c r="M800" i="3"/>
  <c r="N800" i="3"/>
  <c r="L801" i="3"/>
  <c r="M801" i="3"/>
  <c r="N801" i="3"/>
  <c r="L802" i="3"/>
  <c r="M802" i="3"/>
  <c r="N802" i="3"/>
  <c r="L803" i="3"/>
  <c r="M803" i="3"/>
  <c r="N803" i="3"/>
  <c r="L804" i="3"/>
  <c r="M804" i="3"/>
  <c r="N804" i="3"/>
  <c r="L805" i="3"/>
  <c r="M805" i="3"/>
  <c r="N805" i="3"/>
  <c r="L806" i="3"/>
  <c r="M806" i="3"/>
  <c r="N806" i="3"/>
  <c r="L807" i="3"/>
  <c r="M807" i="3"/>
  <c r="N807" i="3"/>
  <c r="L808" i="3"/>
  <c r="M808" i="3"/>
  <c r="N808" i="3"/>
  <c r="L809" i="3"/>
  <c r="M809" i="3"/>
  <c r="N809" i="3"/>
  <c r="L810" i="3"/>
  <c r="M810" i="3"/>
  <c r="N810" i="3"/>
  <c r="L811" i="3"/>
  <c r="M811" i="3"/>
  <c r="N811" i="3"/>
  <c r="L812" i="3"/>
  <c r="M812" i="3"/>
  <c r="N812" i="3"/>
  <c r="L813" i="3"/>
  <c r="M813" i="3"/>
  <c r="N813" i="3"/>
  <c r="L814" i="3"/>
  <c r="M814" i="3"/>
  <c r="N814" i="3"/>
  <c r="L815" i="3"/>
  <c r="M815" i="3"/>
  <c r="N815" i="3"/>
  <c r="L816" i="3"/>
  <c r="M816" i="3"/>
  <c r="N816" i="3"/>
  <c r="L817" i="3"/>
  <c r="M817" i="3"/>
  <c r="N817" i="3"/>
  <c r="L818" i="3"/>
  <c r="M818" i="3"/>
  <c r="N818" i="3"/>
  <c r="L819" i="3"/>
  <c r="M819" i="3"/>
  <c r="N819" i="3"/>
  <c r="L820" i="3"/>
  <c r="M820" i="3"/>
  <c r="N820" i="3"/>
  <c r="L821" i="3"/>
  <c r="M821" i="3"/>
  <c r="N821" i="3"/>
  <c r="L822" i="3"/>
  <c r="M822" i="3"/>
  <c r="N822" i="3"/>
  <c r="L823" i="3"/>
  <c r="M823" i="3"/>
  <c r="N823" i="3"/>
  <c r="L824" i="3"/>
  <c r="M824" i="3"/>
  <c r="N824" i="3"/>
  <c r="L825" i="3"/>
  <c r="M825" i="3"/>
  <c r="N825" i="3"/>
  <c r="L826" i="3"/>
  <c r="M826" i="3"/>
  <c r="N826" i="3"/>
  <c r="L827" i="3"/>
  <c r="M827" i="3"/>
  <c r="N827" i="3"/>
  <c r="L828" i="3"/>
  <c r="M828" i="3"/>
  <c r="N828" i="3"/>
  <c r="L829" i="3"/>
  <c r="M829" i="3"/>
  <c r="N829" i="3"/>
  <c r="L830" i="3"/>
  <c r="M830" i="3"/>
  <c r="N830" i="3"/>
  <c r="L831" i="3"/>
  <c r="M831" i="3"/>
  <c r="N831" i="3"/>
  <c r="L832" i="3"/>
  <c r="M832" i="3"/>
  <c r="N832" i="3"/>
  <c r="L833" i="3"/>
  <c r="M833" i="3"/>
  <c r="N833" i="3"/>
  <c r="L834" i="3"/>
  <c r="M834" i="3"/>
  <c r="N834" i="3"/>
  <c r="L835" i="3"/>
  <c r="M835" i="3"/>
  <c r="N835" i="3"/>
  <c r="L836" i="3"/>
  <c r="M836" i="3"/>
  <c r="N836" i="3"/>
  <c r="L837" i="3"/>
  <c r="M837" i="3"/>
  <c r="N837" i="3"/>
  <c r="L838" i="3"/>
  <c r="M838" i="3"/>
  <c r="N838" i="3"/>
  <c r="L839" i="3"/>
  <c r="M839" i="3"/>
  <c r="N839" i="3"/>
  <c r="L840" i="3"/>
  <c r="M840" i="3"/>
  <c r="N840" i="3"/>
  <c r="L841" i="3"/>
  <c r="M841" i="3"/>
  <c r="N841" i="3"/>
  <c r="L842" i="3"/>
  <c r="M842" i="3"/>
  <c r="N842" i="3"/>
  <c r="L843" i="3"/>
  <c r="M843" i="3"/>
  <c r="N843" i="3"/>
  <c r="L844" i="3"/>
  <c r="M844" i="3"/>
  <c r="N844" i="3"/>
  <c r="L845" i="3"/>
  <c r="M845" i="3"/>
  <c r="N845" i="3"/>
  <c r="L846" i="3"/>
  <c r="M846" i="3"/>
  <c r="N846" i="3"/>
  <c r="L847" i="3"/>
  <c r="M847" i="3"/>
  <c r="N847" i="3"/>
  <c r="L848" i="3"/>
  <c r="M848" i="3"/>
  <c r="N848" i="3"/>
  <c r="L849" i="3"/>
  <c r="M849" i="3"/>
  <c r="N849" i="3"/>
  <c r="L850" i="3"/>
  <c r="M850" i="3"/>
  <c r="N850" i="3"/>
  <c r="L851" i="3"/>
  <c r="M851" i="3"/>
  <c r="N851" i="3"/>
  <c r="L852" i="3"/>
  <c r="M852" i="3"/>
  <c r="N852" i="3"/>
  <c r="L853" i="3"/>
  <c r="M853" i="3"/>
  <c r="N853" i="3"/>
  <c r="L854" i="3"/>
  <c r="M854" i="3"/>
  <c r="N854" i="3"/>
  <c r="L855" i="3"/>
  <c r="M855" i="3"/>
  <c r="N855" i="3"/>
  <c r="L856" i="3"/>
  <c r="M856" i="3"/>
  <c r="N856" i="3"/>
  <c r="L857" i="3"/>
  <c r="M857" i="3"/>
  <c r="N857" i="3"/>
  <c r="L858" i="3"/>
  <c r="M858" i="3"/>
  <c r="N858" i="3"/>
  <c r="L859" i="3"/>
  <c r="M859" i="3"/>
  <c r="N859" i="3"/>
  <c r="L860" i="3"/>
  <c r="M860" i="3"/>
  <c r="N860" i="3"/>
  <c r="L861" i="3"/>
  <c r="M861" i="3"/>
  <c r="N861" i="3"/>
  <c r="L862" i="3"/>
  <c r="M862" i="3"/>
  <c r="N862" i="3"/>
  <c r="L863" i="3"/>
  <c r="M863" i="3"/>
  <c r="N863" i="3"/>
  <c r="L864" i="3"/>
  <c r="M864" i="3"/>
  <c r="N864" i="3"/>
  <c r="L865" i="3"/>
  <c r="M865" i="3"/>
  <c r="N865" i="3"/>
  <c r="L866" i="3"/>
  <c r="M866" i="3"/>
  <c r="N866" i="3"/>
  <c r="L867" i="3"/>
  <c r="M867" i="3"/>
  <c r="N867" i="3"/>
  <c r="L868" i="3"/>
  <c r="M868" i="3"/>
  <c r="N868" i="3"/>
  <c r="L869" i="3"/>
  <c r="M869" i="3"/>
  <c r="N869" i="3"/>
  <c r="L870" i="3"/>
  <c r="M870" i="3"/>
  <c r="N870" i="3"/>
  <c r="L871" i="3"/>
  <c r="M871" i="3"/>
  <c r="N871" i="3"/>
  <c r="L872" i="3"/>
  <c r="M872" i="3"/>
  <c r="N872" i="3"/>
  <c r="L873" i="3"/>
  <c r="M873" i="3"/>
  <c r="N873" i="3"/>
  <c r="L874" i="3"/>
  <c r="M874" i="3"/>
  <c r="N874" i="3"/>
  <c r="L875" i="3"/>
  <c r="M875" i="3"/>
  <c r="N875" i="3"/>
  <c r="L876" i="3"/>
  <c r="M876" i="3"/>
  <c r="N876" i="3"/>
  <c r="L877" i="3"/>
  <c r="M877" i="3"/>
  <c r="N877" i="3"/>
  <c r="L878" i="3"/>
  <c r="M878" i="3"/>
  <c r="N878" i="3"/>
  <c r="L879" i="3"/>
  <c r="M879" i="3"/>
  <c r="N879" i="3"/>
  <c r="L880" i="3"/>
  <c r="M880" i="3"/>
  <c r="N880" i="3"/>
  <c r="L881" i="3"/>
  <c r="M881" i="3"/>
  <c r="N881" i="3"/>
  <c r="L882" i="3"/>
  <c r="M882" i="3"/>
  <c r="N882" i="3"/>
  <c r="L883" i="3"/>
  <c r="M883" i="3"/>
  <c r="N883" i="3"/>
  <c r="L884" i="3"/>
  <c r="M884" i="3"/>
  <c r="N884" i="3"/>
  <c r="L885" i="3"/>
  <c r="M885" i="3"/>
  <c r="N885" i="3"/>
  <c r="L886" i="3"/>
  <c r="M886" i="3"/>
  <c r="N886" i="3"/>
  <c r="L887" i="3"/>
  <c r="M887" i="3"/>
  <c r="N887" i="3"/>
  <c r="L888" i="3"/>
  <c r="M888" i="3"/>
  <c r="N888" i="3"/>
  <c r="L889" i="3"/>
  <c r="M889" i="3"/>
  <c r="N889" i="3"/>
  <c r="L890" i="3"/>
  <c r="M890" i="3"/>
  <c r="N890" i="3"/>
  <c r="L891" i="3"/>
  <c r="M891" i="3"/>
  <c r="N891" i="3"/>
  <c r="L892" i="3"/>
  <c r="M892" i="3"/>
  <c r="N892" i="3"/>
  <c r="L893" i="3"/>
  <c r="M893" i="3"/>
  <c r="N893" i="3"/>
  <c r="L894" i="3"/>
  <c r="M894" i="3"/>
  <c r="N894" i="3"/>
  <c r="L895" i="3"/>
  <c r="M895" i="3"/>
  <c r="N895" i="3"/>
  <c r="L896" i="3"/>
  <c r="M896" i="3"/>
  <c r="N896" i="3"/>
  <c r="L897" i="3"/>
  <c r="M897" i="3"/>
  <c r="N897" i="3"/>
  <c r="L898" i="3"/>
  <c r="M898" i="3"/>
  <c r="N898" i="3"/>
  <c r="L899" i="3"/>
  <c r="M899" i="3"/>
  <c r="N899" i="3"/>
  <c r="L900" i="3"/>
  <c r="M900" i="3"/>
  <c r="N900" i="3"/>
  <c r="L901" i="3"/>
  <c r="M901" i="3"/>
  <c r="N901" i="3"/>
  <c r="K902" i="3"/>
  <c r="L902" i="3"/>
  <c r="M902" i="3"/>
  <c r="N902" i="3"/>
  <c r="K903" i="3"/>
  <c r="L903" i="3"/>
  <c r="M903" i="3"/>
  <c r="N903" i="3"/>
  <c r="L904" i="3"/>
  <c r="M904" i="3"/>
  <c r="N904" i="3"/>
  <c r="L905" i="3"/>
  <c r="M905" i="3"/>
  <c r="N905" i="3"/>
  <c r="L906" i="3"/>
  <c r="M906" i="3"/>
  <c r="N906" i="3"/>
  <c r="L907" i="3"/>
  <c r="M907" i="3"/>
  <c r="N907" i="3"/>
  <c r="L908" i="3"/>
  <c r="M908" i="3"/>
  <c r="N908" i="3"/>
  <c r="L909" i="3"/>
  <c r="M909" i="3"/>
  <c r="N909" i="3"/>
  <c r="L910" i="3"/>
  <c r="M910" i="3"/>
  <c r="N910" i="3"/>
  <c r="L911" i="3"/>
  <c r="M911" i="3"/>
  <c r="N911" i="3"/>
  <c r="L912" i="3"/>
  <c r="M912" i="3"/>
  <c r="N912" i="3"/>
  <c r="L913" i="3"/>
  <c r="M913" i="3"/>
  <c r="N913" i="3"/>
  <c r="L914" i="3"/>
  <c r="M914" i="3"/>
  <c r="N914" i="3"/>
  <c r="L915" i="3"/>
  <c r="M915" i="3"/>
  <c r="N915" i="3"/>
  <c r="L916" i="3"/>
  <c r="M916" i="3"/>
  <c r="N916" i="3"/>
  <c r="L917" i="3"/>
  <c r="M917" i="3"/>
  <c r="N917" i="3"/>
  <c r="L918" i="3"/>
  <c r="M918" i="3"/>
  <c r="N918" i="3"/>
  <c r="L919" i="3"/>
  <c r="M919" i="3"/>
  <c r="N919" i="3"/>
  <c r="L920" i="3"/>
  <c r="M920" i="3"/>
  <c r="N920" i="3"/>
  <c r="L921" i="3"/>
  <c r="M921" i="3"/>
  <c r="N921" i="3"/>
  <c r="L922" i="3"/>
  <c r="M922" i="3"/>
  <c r="N922" i="3"/>
  <c r="L923" i="3"/>
  <c r="M923" i="3"/>
  <c r="N923" i="3"/>
  <c r="L924" i="3"/>
  <c r="M924" i="3"/>
  <c r="N924" i="3"/>
  <c r="L925" i="3"/>
  <c r="M925" i="3"/>
  <c r="N925" i="3"/>
  <c r="L926" i="3"/>
  <c r="M926" i="3"/>
  <c r="N926" i="3"/>
  <c r="L927" i="3"/>
  <c r="M927" i="3"/>
  <c r="N927" i="3"/>
  <c r="L928" i="3"/>
  <c r="M928" i="3"/>
  <c r="N928" i="3"/>
  <c r="L929" i="3"/>
  <c r="M929" i="3"/>
  <c r="N929" i="3"/>
  <c r="L930" i="3"/>
  <c r="M930" i="3"/>
  <c r="N930" i="3"/>
  <c r="L931" i="3"/>
  <c r="M931" i="3"/>
  <c r="N931" i="3"/>
  <c r="L932" i="3"/>
  <c r="M932" i="3"/>
  <c r="N932" i="3"/>
  <c r="L933" i="3"/>
  <c r="M933" i="3"/>
  <c r="N933" i="3"/>
  <c r="L934" i="3"/>
  <c r="M934" i="3"/>
  <c r="N934" i="3"/>
  <c r="L935" i="3"/>
  <c r="M935" i="3"/>
  <c r="N935" i="3"/>
  <c r="L936" i="3"/>
  <c r="M936" i="3"/>
  <c r="N936" i="3"/>
  <c r="L937" i="3"/>
  <c r="M937" i="3"/>
  <c r="N937" i="3"/>
  <c r="K938" i="3"/>
  <c r="L938" i="3"/>
  <c r="M938" i="3"/>
  <c r="N938" i="3"/>
  <c r="N19" i="1" l="1"/>
  <c r="N20" i="1" s="1"/>
  <c r="N18" i="1"/>
  <c r="N444" i="3"/>
  <c r="M444" i="3"/>
  <c r="L444" i="3" l="1"/>
  <c r="M7" i="3" l="1"/>
  <c r="N84" i="3"/>
  <c r="M84" i="3"/>
  <c r="L84" i="3"/>
  <c r="N7" i="3"/>
  <c r="L7" i="3"/>
  <c r="N86" i="3"/>
  <c r="M86" i="3"/>
  <c r="L86" i="3"/>
  <c r="N95" i="3" l="1"/>
  <c r="M95" i="3"/>
  <c r="L95" i="3"/>
  <c r="N113" i="3" l="1"/>
  <c r="M113" i="3"/>
  <c r="L113" i="3"/>
  <c r="N64" i="3"/>
  <c r="M64" i="3"/>
  <c r="L64" i="3"/>
  <c r="N87" i="3"/>
  <c r="M87" i="3"/>
  <c r="L87" i="3"/>
  <c r="C18" i="1"/>
  <c r="N118" i="3" l="1"/>
  <c r="M118" i="3"/>
  <c r="L118" i="3"/>
  <c r="N79" i="3" l="1"/>
  <c r="M79" i="3"/>
  <c r="L79" i="3"/>
  <c r="N78" i="3"/>
  <c r="M78" i="3"/>
  <c r="L78" i="3"/>
  <c r="N77" i="3"/>
  <c r="M77" i="3"/>
  <c r="L77" i="3"/>
  <c r="N76" i="3"/>
  <c r="M76" i="3"/>
  <c r="L76" i="3"/>
  <c r="N75" i="3"/>
  <c r="M75" i="3"/>
  <c r="L75" i="3"/>
  <c r="N74" i="3"/>
  <c r="M74" i="3"/>
  <c r="L74" i="3"/>
  <c r="N73" i="3"/>
  <c r="M73" i="3"/>
  <c r="L73" i="3"/>
  <c r="N85" i="3" l="1"/>
  <c r="M85" i="3"/>
  <c r="L85" i="3"/>
  <c r="N6" i="3" l="1"/>
  <c r="M6" i="3"/>
  <c r="L6" i="3"/>
  <c r="N181" i="3" l="1"/>
  <c r="M181" i="3"/>
  <c r="L181" i="3"/>
  <c r="N180" i="3"/>
  <c r="M180" i="3"/>
  <c r="L180" i="3"/>
  <c r="N142" i="3" l="1"/>
  <c r="M142" i="3"/>
  <c r="L142" i="3"/>
  <c r="N30" i="3"/>
  <c r="M30" i="3"/>
  <c r="L30" i="3"/>
  <c r="N153" i="3" l="1"/>
  <c r="M153" i="3"/>
  <c r="L153" i="3"/>
  <c r="N40" i="3"/>
  <c r="M40" i="3"/>
  <c r="L40" i="3"/>
  <c r="N125" i="3" l="1"/>
  <c r="M125" i="3"/>
  <c r="L125" i="3"/>
  <c r="N61" i="3"/>
  <c r="M61" i="3"/>
  <c r="L61" i="3"/>
  <c r="N227" i="3" l="1"/>
  <c r="L227" i="3"/>
  <c r="N228" i="3"/>
  <c r="L228" i="3"/>
  <c r="N221" i="3"/>
  <c r="L221" i="3"/>
  <c r="N188" i="3"/>
  <c r="L188" i="3"/>
  <c r="N220" i="3"/>
  <c r="L220" i="3"/>
  <c r="N224" i="3"/>
  <c r="M224" i="3"/>
  <c r="L224" i="3"/>
  <c r="N22" i="3"/>
  <c r="M22" i="3"/>
  <c r="L22" i="3"/>
  <c r="M221" i="3" l="1"/>
  <c r="M188" i="3"/>
  <c r="M220" i="3"/>
  <c r="M228" i="3" l="1"/>
  <c r="M227" i="3" l="1"/>
  <c r="N139" i="3"/>
  <c r="M139" i="3"/>
  <c r="L139" i="3"/>
  <c r="N26" i="3"/>
  <c r="M26" i="3"/>
  <c r="L26" i="3"/>
  <c r="N171" i="3"/>
  <c r="M171" i="3"/>
  <c r="L171" i="3"/>
  <c r="N81" i="3" l="1"/>
  <c r="M81" i="3"/>
  <c r="L81" i="3"/>
  <c r="N80" i="3"/>
  <c r="M80" i="3"/>
  <c r="L80" i="3"/>
  <c r="N96" i="3"/>
  <c r="M96" i="3"/>
  <c r="L96" i="3"/>
  <c r="N47" i="3"/>
  <c r="M47" i="3"/>
  <c r="L47" i="3"/>
  <c r="N89" i="3"/>
  <c r="M89" i="3"/>
  <c r="L89" i="3"/>
  <c r="N90" i="3"/>
  <c r="M90" i="3"/>
  <c r="L90" i="3"/>
  <c r="D6" i="4" l="1"/>
  <c r="E6" i="4" s="1"/>
  <c r="F6" i="4" s="1"/>
  <c r="N72" i="3" l="1"/>
  <c r="M72" i="3"/>
  <c r="L72" i="3"/>
  <c r="N71" i="3"/>
  <c r="M71" i="3"/>
  <c r="L71" i="3"/>
  <c r="N70" i="3"/>
  <c r="M70" i="3"/>
  <c r="L70" i="3"/>
  <c r="N69" i="3"/>
  <c r="M69" i="3"/>
  <c r="L69" i="3"/>
  <c r="N68" i="3"/>
  <c r="M68" i="3"/>
  <c r="L68" i="3"/>
  <c r="N67" i="3"/>
  <c r="M67" i="3"/>
  <c r="L67" i="3"/>
  <c r="N103" i="3" l="1"/>
  <c r="M103" i="3"/>
  <c r="L103" i="3"/>
  <c r="N577" i="3" l="1"/>
  <c r="M577" i="3"/>
  <c r="L577" i="3"/>
  <c r="N576" i="3"/>
  <c r="M576" i="3"/>
  <c r="L576" i="3"/>
  <c r="N575" i="3"/>
  <c r="M575" i="3"/>
  <c r="L575" i="3"/>
  <c r="N574" i="3"/>
  <c r="M574" i="3"/>
  <c r="L574" i="3"/>
  <c r="N573" i="3"/>
  <c r="M573" i="3"/>
  <c r="L573" i="3"/>
  <c r="N572" i="3"/>
  <c r="M572" i="3"/>
  <c r="L572" i="3"/>
  <c r="N571" i="3" l="1"/>
  <c r="M571" i="3"/>
  <c r="L571" i="3"/>
  <c r="N570" i="3"/>
  <c r="M570" i="3"/>
  <c r="L570" i="3"/>
  <c r="N569" i="3"/>
  <c r="M569" i="3"/>
  <c r="L569" i="3"/>
  <c r="N568" i="3"/>
  <c r="M568" i="3"/>
  <c r="L568" i="3"/>
  <c r="N567" i="3"/>
  <c r="M567" i="3"/>
  <c r="L567" i="3"/>
  <c r="N566" i="3"/>
  <c r="M566" i="3"/>
  <c r="L566" i="3"/>
  <c r="K566" i="3"/>
  <c r="N565" i="3"/>
  <c r="M565" i="3"/>
  <c r="L565" i="3"/>
  <c r="N31" i="3"/>
  <c r="M31" i="3"/>
  <c r="L31" i="3"/>
  <c r="N215" i="3"/>
  <c r="M215" i="3"/>
  <c r="L215" i="3"/>
  <c r="N214" i="3"/>
  <c r="M214" i="3"/>
  <c r="L214" i="3"/>
  <c r="N143" i="3" l="1"/>
  <c r="M143" i="3"/>
  <c r="L143" i="3"/>
  <c r="N564" i="3" l="1"/>
  <c r="M564" i="3"/>
  <c r="L564" i="3"/>
  <c r="K564" i="3" l="1"/>
  <c r="N563" i="3" l="1"/>
  <c r="M563" i="3"/>
  <c r="L563" i="3"/>
  <c r="N562" i="3"/>
  <c r="M562" i="3"/>
  <c r="L562" i="3"/>
  <c r="L561" i="3" l="1"/>
  <c r="L560" i="3"/>
  <c r="L559" i="3"/>
  <c r="L558" i="3"/>
  <c r="L557" i="3"/>
  <c r="L556" i="3"/>
  <c r="L555" i="3"/>
  <c r="M555" i="3"/>
  <c r="N555" i="3"/>
  <c r="M556" i="3"/>
  <c r="N556" i="3"/>
  <c r="M557" i="3"/>
  <c r="N557" i="3"/>
  <c r="M558" i="3"/>
  <c r="N558" i="3"/>
  <c r="M559" i="3"/>
  <c r="N559" i="3"/>
  <c r="M560" i="3"/>
  <c r="N560" i="3"/>
  <c r="M561" i="3"/>
  <c r="N561" i="3"/>
  <c r="N554" i="3"/>
  <c r="M554" i="3"/>
  <c r="L554" i="3"/>
  <c r="N158" i="3"/>
  <c r="M158" i="3"/>
  <c r="L158" i="3"/>
  <c r="N42" i="3"/>
  <c r="M42" i="3"/>
  <c r="L42" i="3"/>
  <c r="N195" i="3"/>
  <c r="M195" i="3"/>
  <c r="L195" i="3"/>
  <c r="M1" i="4"/>
  <c r="M2" i="4" s="1"/>
  <c r="M3" i="4" s="1"/>
  <c r="K561" i="3" l="1"/>
  <c r="M4" i="4"/>
  <c r="B3" i="5"/>
  <c r="B5" i="5" l="1"/>
  <c r="B11" i="5"/>
  <c r="B10" i="5"/>
  <c r="B8" i="5"/>
  <c r="B7" i="5"/>
  <c r="C5" i="4" l="1"/>
  <c r="C4" i="4" l="1"/>
  <c r="C3" i="4"/>
  <c r="C2" i="4"/>
  <c r="H5" i="4" s="1"/>
  <c r="L553" i="3"/>
  <c r="N244" i="3"/>
  <c r="M244" i="3"/>
  <c r="L552" i="3"/>
  <c r="N519" i="3"/>
  <c r="M519" i="3"/>
  <c r="L551" i="3"/>
  <c r="N518" i="3"/>
  <c r="M518" i="3"/>
  <c r="L550" i="3"/>
  <c r="N517" i="3"/>
  <c r="M517" i="3"/>
  <c r="L549" i="3" l="1"/>
  <c r="N516" i="3"/>
  <c r="M516" i="3"/>
  <c r="L166" i="3"/>
  <c r="N515" i="3"/>
  <c r="M515" i="3"/>
  <c r="L155" i="3"/>
  <c r="N173" i="3"/>
  <c r="M173" i="3"/>
  <c r="L154" i="3"/>
  <c r="N270" i="3"/>
  <c r="M270" i="3"/>
  <c r="L199" i="3"/>
  <c r="N104" i="3"/>
  <c r="M104" i="3"/>
  <c r="L186" i="3"/>
  <c r="N94" i="3"/>
  <c r="M94" i="3"/>
  <c r="L13" i="3"/>
  <c r="N53" i="3"/>
  <c r="M53" i="3"/>
  <c r="L548" i="3" l="1"/>
  <c r="N474" i="3"/>
  <c r="M474" i="3"/>
  <c r="L547" i="3"/>
  <c r="N473" i="3"/>
  <c r="M473" i="3"/>
  <c r="L546" i="3"/>
  <c r="N472" i="3"/>
  <c r="M472" i="3"/>
  <c r="L545" i="3"/>
  <c r="N471" i="3"/>
  <c r="M471" i="3"/>
  <c r="L544" i="3"/>
  <c r="N514" i="3"/>
  <c r="M514" i="3"/>
  <c r="L543" i="3"/>
  <c r="N512" i="3"/>
  <c r="M512" i="3"/>
  <c r="L542" i="3"/>
  <c r="N141" i="3"/>
  <c r="M141" i="3"/>
  <c r="L541" i="3" l="1"/>
  <c r="N420" i="3"/>
  <c r="M420" i="3"/>
  <c r="L540" i="3"/>
  <c r="N324" i="3"/>
  <c r="M324" i="3"/>
  <c r="L148" i="3"/>
  <c r="N323" i="3"/>
  <c r="M323" i="3"/>
  <c r="L539" i="3"/>
  <c r="N106" i="3"/>
  <c r="M106" i="3"/>
  <c r="L538" i="3"/>
  <c r="N57" i="3"/>
  <c r="M57" i="3"/>
  <c r="L35" i="3"/>
  <c r="N66" i="3"/>
  <c r="M66" i="3"/>
  <c r="L182" i="3"/>
  <c r="N4" i="3"/>
  <c r="M4" i="3"/>
  <c r="L183" i="3"/>
  <c r="N107" i="3"/>
  <c r="M107" i="3"/>
  <c r="M476" i="3" l="1"/>
  <c r="M545" i="3"/>
  <c r="M225" i="3"/>
  <c r="L102" i="3"/>
  <c r="N476" i="3"/>
  <c r="L128" i="3"/>
  <c r="N545" i="3"/>
  <c r="L115" i="3"/>
  <c r="N225" i="3"/>
  <c r="L101" i="3"/>
  <c r="N206" i="3"/>
  <c r="M206" i="3"/>
  <c r="L66" i="3"/>
  <c r="N426" i="3"/>
  <c r="M426" i="3"/>
  <c r="K128" i="3" l="1"/>
  <c r="L107" i="3" l="1"/>
  <c r="L10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6" i="3"/>
  <c r="L225" i="3"/>
  <c r="L223" i="3"/>
  <c r="L222" i="3"/>
  <c r="L219" i="3"/>
  <c r="L218" i="3"/>
  <c r="L217" i="3"/>
  <c r="L216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8" i="3"/>
  <c r="L197" i="3"/>
  <c r="L196" i="3"/>
  <c r="L194" i="3"/>
  <c r="L193" i="3"/>
  <c r="L192" i="3"/>
  <c r="L191" i="3"/>
  <c r="L190" i="3"/>
  <c r="L189" i="3"/>
  <c r="L187" i="3"/>
  <c r="L185" i="3"/>
  <c r="L184" i="3"/>
  <c r="L179" i="3"/>
  <c r="L178" i="3"/>
  <c r="L177" i="3"/>
  <c r="L176" i="3"/>
  <c r="L175" i="3"/>
  <c r="L174" i="3"/>
  <c r="L173" i="3"/>
  <c r="L172" i="3"/>
  <c r="L170" i="3"/>
  <c r="L169" i="3"/>
  <c r="L168" i="3"/>
  <c r="L167" i="3"/>
  <c r="L165" i="3"/>
  <c r="L164" i="3"/>
  <c r="L163" i="3"/>
  <c r="L161" i="3"/>
  <c r="L160" i="3"/>
  <c r="L159" i="3"/>
  <c r="L157" i="3"/>
  <c r="L156" i="3"/>
  <c r="L152" i="3"/>
  <c r="L151" i="3"/>
  <c r="L150" i="3"/>
  <c r="L149" i="3"/>
  <c r="L147" i="3"/>
  <c r="L146" i="3"/>
  <c r="L145" i="3"/>
  <c r="L144" i="3"/>
  <c r="L141" i="3"/>
  <c r="L140" i="3"/>
  <c r="L138" i="3"/>
  <c r="L137" i="3"/>
  <c r="L136" i="3"/>
  <c r="L135" i="3"/>
  <c r="L134" i="3"/>
  <c r="L133" i="3"/>
  <c r="L132" i="3"/>
  <c r="L131" i="3"/>
  <c r="L130" i="3"/>
  <c r="L129" i="3"/>
  <c r="L127" i="3"/>
  <c r="L126" i="3"/>
  <c r="L124" i="3"/>
  <c r="L123" i="3"/>
  <c r="L122" i="3"/>
  <c r="L121" i="3"/>
  <c r="L120" i="3"/>
  <c r="L119" i="3"/>
  <c r="L117" i="3"/>
  <c r="L116" i="3"/>
  <c r="L114" i="3"/>
  <c r="L112" i="3"/>
  <c r="L111" i="3"/>
  <c r="L110" i="3"/>
  <c r="L109" i="3"/>
  <c r="L106" i="3"/>
  <c r="L105" i="3"/>
  <c r="L104" i="3"/>
  <c r="L100" i="3"/>
  <c r="L99" i="3"/>
  <c r="L98" i="3"/>
  <c r="L94" i="3"/>
  <c r="L93" i="3"/>
  <c r="L91" i="3"/>
  <c r="L88" i="3"/>
  <c r="L83" i="3"/>
  <c r="L82" i="3"/>
  <c r="L65" i="3"/>
  <c r="L63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6" i="3"/>
  <c r="L45" i="3"/>
  <c r="L44" i="3"/>
  <c r="L43" i="3"/>
  <c r="L41" i="3"/>
  <c r="L39" i="3"/>
  <c r="L38" i="3"/>
  <c r="L37" i="3"/>
  <c r="L36" i="3"/>
  <c r="L34" i="3"/>
  <c r="L33" i="3"/>
  <c r="L32" i="3"/>
  <c r="L29" i="3"/>
  <c r="L28" i="3"/>
  <c r="L27" i="3"/>
  <c r="L25" i="3"/>
  <c r="L24" i="3"/>
  <c r="L23" i="3"/>
  <c r="L21" i="3"/>
  <c r="L20" i="3"/>
  <c r="L19" i="3"/>
  <c r="L18" i="3"/>
  <c r="L17" i="3"/>
  <c r="L16" i="3"/>
  <c r="L15" i="3"/>
  <c r="L14" i="3"/>
  <c r="L12" i="3"/>
  <c r="L11" i="3"/>
  <c r="L10" i="3"/>
  <c r="L9" i="3"/>
  <c r="L8" i="3"/>
  <c r="L5" i="3"/>
  <c r="L4" i="3"/>
  <c r="L3" i="3"/>
  <c r="N124" i="3" l="1"/>
  <c r="M124" i="3"/>
  <c r="N445" i="3"/>
  <c r="M445" i="3"/>
  <c r="N275" i="3" l="1"/>
  <c r="M275" i="3"/>
  <c r="N371" i="3"/>
  <c r="M371" i="3"/>
  <c r="N482" i="3"/>
  <c r="M482" i="3"/>
  <c r="M317" i="3"/>
  <c r="N219" i="3"/>
  <c r="N317" i="3"/>
  <c r="M219" i="3" l="1"/>
  <c r="N496" i="3"/>
  <c r="M496" i="3"/>
  <c r="N313" i="3"/>
  <c r="N23" i="3"/>
  <c r="M23" i="3"/>
  <c r="N136" i="3"/>
  <c r="M136" i="3"/>
  <c r="N135" i="3"/>
  <c r="M135" i="3"/>
  <c r="N245" i="3"/>
  <c r="M245" i="3"/>
  <c r="M313" i="3" l="1"/>
  <c r="K536" i="3" l="1"/>
  <c r="N212" i="3" l="1"/>
  <c r="M212" i="3"/>
  <c r="K534" i="3" l="1"/>
  <c r="N177" i="3" l="1"/>
  <c r="M177" i="3"/>
  <c r="N33" i="3" l="1"/>
  <c r="M33" i="3"/>
  <c r="N288" i="3"/>
  <c r="M288" i="3"/>
  <c r="N381" i="3" l="1"/>
  <c r="M381" i="3"/>
  <c r="N393" i="3"/>
  <c r="M393" i="3"/>
  <c r="N392" i="3"/>
  <c r="M392" i="3"/>
  <c r="N325" i="3"/>
  <c r="M325" i="3"/>
  <c r="N368" i="3"/>
  <c r="M368" i="3"/>
  <c r="N152" i="3"/>
  <c r="M152" i="3"/>
  <c r="N251" i="3" l="1"/>
  <c r="M251" i="3"/>
  <c r="N252" i="3"/>
  <c r="M252" i="3"/>
  <c r="N534" i="3"/>
  <c r="M534" i="3"/>
  <c r="N533" i="3"/>
  <c r="M533" i="3"/>
  <c r="N447" i="3" l="1"/>
  <c r="M447" i="3"/>
  <c r="N532" i="3" l="1"/>
  <c r="M532" i="3"/>
  <c r="N144" i="3"/>
  <c r="M144" i="3"/>
  <c r="N32" i="3"/>
  <c r="M32" i="3"/>
  <c r="N483" i="3"/>
  <c r="M483" i="3"/>
  <c r="N388" i="3" l="1"/>
  <c r="M388" i="3"/>
  <c r="N531" i="3" l="1"/>
  <c r="M531" i="3"/>
  <c r="N354" i="3"/>
  <c r="M354" i="3"/>
  <c r="N460" i="3"/>
  <c r="M460" i="3"/>
  <c r="N459" i="3"/>
  <c r="M459" i="3"/>
  <c r="N246" i="3"/>
  <c r="M246" i="3"/>
  <c r="N397" i="3"/>
  <c r="M397" i="3"/>
  <c r="N530" i="3" l="1"/>
  <c r="M530" i="3"/>
  <c r="N169" i="3"/>
  <c r="M169" i="3"/>
  <c r="N168" i="3" l="1"/>
  <c r="M168" i="3"/>
  <c r="N149" i="3"/>
  <c r="M149" i="3"/>
  <c r="N59" i="3"/>
  <c r="M59" i="3"/>
  <c r="N272" i="3"/>
  <c r="M272" i="3"/>
  <c r="N108" i="3"/>
  <c r="M108" i="3"/>
  <c r="N374" i="3"/>
  <c r="M374" i="3"/>
  <c r="N131" i="3"/>
  <c r="M131" i="3"/>
  <c r="N15" i="3"/>
  <c r="M15" i="3"/>
  <c r="N271" i="3"/>
  <c r="M271" i="3"/>
  <c r="N523" i="3"/>
  <c r="M523" i="3"/>
  <c r="N458" i="3"/>
  <c r="M458" i="3"/>
  <c r="N396" i="3"/>
  <c r="M396" i="3"/>
  <c r="M402" i="3" l="1"/>
  <c r="M355" i="3"/>
  <c r="N100" i="3"/>
  <c r="M100" i="3"/>
  <c r="N51" i="3"/>
  <c r="M51" i="3"/>
  <c r="N343" i="3"/>
  <c r="M343" i="3"/>
  <c r="N493" i="3"/>
  <c r="M493" i="3"/>
  <c r="N492" i="3"/>
  <c r="M492" i="3"/>
  <c r="N385" i="3"/>
  <c r="N321" i="3"/>
  <c r="N320" i="3"/>
  <c r="N402" i="3"/>
  <c r="N355" i="3"/>
  <c r="N398" i="3"/>
  <c r="M398" i="3"/>
  <c r="N454" i="3"/>
  <c r="M454" i="3"/>
  <c r="M320" i="3" l="1"/>
  <c r="M385" i="3" l="1"/>
  <c r="M321" i="3"/>
  <c r="N314" i="3" l="1"/>
  <c r="M314" i="3"/>
  <c r="N291" i="3" l="1"/>
  <c r="M291" i="3"/>
  <c r="N369" i="3"/>
  <c r="M369" i="3"/>
  <c r="N495" i="3"/>
  <c r="M495" i="3"/>
  <c r="N387" i="3" l="1"/>
  <c r="M387" i="3"/>
  <c r="N386" i="3" l="1"/>
  <c r="M386" i="3"/>
  <c r="N235" i="3"/>
  <c r="M235" i="3"/>
  <c r="N400" i="3"/>
  <c r="M400" i="3"/>
  <c r="N511" i="3"/>
  <c r="M511" i="3"/>
  <c r="N484" i="3"/>
  <c r="M484" i="3"/>
  <c r="N389" i="3"/>
  <c r="M389" i="3"/>
  <c r="N494" i="3" l="1"/>
  <c r="M494" i="3"/>
  <c r="N377" i="3"/>
  <c r="M377" i="3"/>
  <c r="N196" i="3" l="1"/>
  <c r="M196" i="3"/>
  <c r="N290" i="3"/>
  <c r="M290" i="3"/>
  <c r="N289" i="3"/>
  <c r="M289" i="3"/>
  <c r="N424" i="3"/>
  <c r="M424" i="3"/>
  <c r="N423" i="3" l="1"/>
  <c r="M423" i="3"/>
  <c r="N216" i="3"/>
  <c r="M216" i="3"/>
  <c r="N422" i="3" l="1"/>
  <c r="M422" i="3"/>
  <c r="N421" i="3"/>
  <c r="M421" i="3"/>
  <c r="N522" i="3"/>
  <c r="M522" i="3"/>
  <c r="N521" i="3"/>
  <c r="M521" i="3"/>
  <c r="N520" i="3"/>
  <c r="M520" i="3"/>
  <c r="N201" i="3"/>
  <c r="M201" i="3"/>
  <c r="N185" i="3"/>
  <c r="M185" i="3"/>
  <c r="N184" i="3"/>
  <c r="M184" i="3"/>
  <c r="N12" i="3"/>
  <c r="M12" i="3"/>
  <c r="N349" i="3"/>
  <c r="M349" i="3"/>
  <c r="N395" i="3"/>
  <c r="M395" i="3"/>
  <c r="N348" i="3" l="1"/>
  <c r="M348" i="3"/>
  <c r="N43" i="3"/>
  <c r="M43" i="3"/>
  <c r="N242" i="3"/>
  <c r="M242" i="3"/>
  <c r="N312" i="3"/>
  <c r="M312" i="3"/>
  <c r="N379" i="3"/>
  <c r="M379" i="3"/>
  <c r="N226" i="3" l="1"/>
  <c r="M226" i="3"/>
  <c r="N328" i="3"/>
  <c r="M328" i="3"/>
  <c r="N128" i="3"/>
  <c r="M128" i="3"/>
  <c r="N38" i="3" l="1"/>
  <c r="M38" i="3"/>
  <c r="N164" i="3"/>
  <c r="M164" i="3"/>
  <c r="N137" i="3"/>
  <c r="M137" i="3"/>
  <c r="N24" i="3"/>
  <c r="M24" i="3"/>
  <c r="N88" i="3" l="1"/>
  <c r="M88" i="3"/>
  <c r="N547" i="3"/>
  <c r="M547" i="3"/>
  <c r="N366" i="3"/>
  <c r="M366" i="3"/>
  <c r="N365" i="3"/>
  <c r="M365" i="3"/>
  <c r="N364" i="3"/>
  <c r="M364" i="3"/>
  <c r="N390" i="3"/>
  <c r="M390" i="3"/>
  <c r="N403" i="3"/>
  <c r="M403" i="3"/>
  <c r="N327" i="3"/>
  <c r="M327" i="3"/>
  <c r="N401" i="3"/>
  <c r="M401" i="3"/>
  <c r="N60" i="3"/>
  <c r="M60" i="3"/>
  <c r="N373" i="3"/>
  <c r="M373" i="3"/>
  <c r="N39" i="3"/>
  <c r="M39" i="3"/>
  <c r="N315" i="3"/>
  <c r="M315" i="3"/>
  <c r="N109" i="3"/>
  <c r="M109" i="3"/>
  <c r="N391" i="3"/>
  <c r="M391" i="3"/>
  <c r="N329" i="3"/>
  <c r="M329" i="3"/>
  <c r="N363" i="3"/>
  <c r="M363" i="3"/>
  <c r="N480" i="3"/>
  <c r="M480" i="3"/>
  <c r="N384" i="3"/>
  <c r="M384" i="3"/>
  <c r="N281" i="3"/>
  <c r="M281" i="3"/>
  <c r="N479" i="3"/>
  <c r="M479" i="3"/>
  <c r="N49" i="3"/>
  <c r="M49" i="3"/>
  <c r="N189" i="3"/>
  <c r="M189" i="3"/>
  <c r="N358" i="3"/>
  <c r="M358" i="3"/>
  <c r="N499" i="3"/>
  <c r="M499" i="3"/>
  <c r="N138" i="3"/>
  <c r="M138" i="3"/>
  <c r="N25" i="3"/>
  <c r="M25" i="3"/>
  <c r="N478" i="3" l="1"/>
  <c r="M478" i="3"/>
  <c r="N477" i="3"/>
  <c r="M477" i="3"/>
  <c r="N114" i="3"/>
  <c r="M114" i="3"/>
  <c r="N98" i="3"/>
  <c r="M98" i="3"/>
  <c r="N65" i="3" l="1"/>
  <c r="M65" i="3"/>
  <c r="N333" i="3"/>
  <c r="M333" i="3"/>
  <c r="N332" i="3"/>
  <c r="M332" i="3"/>
  <c r="N331" i="3" l="1"/>
  <c r="M331" i="3"/>
  <c r="N330" i="3" l="1"/>
  <c r="N394" i="3"/>
  <c r="N457" i="3"/>
  <c r="N316" i="3"/>
  <c r="N357" i="3"/>
  <c r="N491" i="3"/>
  <c r="N273" i="3"/>
  <c r="M273" i="3"/>
  <c r="M491" i="3" l="1"/>
  <c r="N170" i="3" l="1"/>
  <c r="M170" i="3"/>
  <c r="N425" i="3"/>
  <c r="M425" i="3"/>
  <c r="N223" i="3" l="1"/>
  <c r="M223" i="3"/>
  <c r="N284" i="3" l="1"/>
  <c r="M284" i="3"/>
  <c r="N283" i="3"/>
  <c r="M283" i="3"/>
  <c r="N261" i="3"/>
  <c r="M261" i="3"/>
  <c r="N260" i="3"/>
  <c r="M260" i="3"/>
  <c r="M259" i="3"/>
  <c r="M258" i="3"/>
  <c r="M257" i="3"/>
  <c r="M55" i="3"/>
  <c r="M536" i="3"/>
  <c r="M535" i="3"/>
  <c r="N259" i="3"/>
  <c r="N258" i="3"/>
  <c r="N257" i="3"/>
  <c r="N55" i="3"/>
  <c r="N536" i="3"/>
  <c r="N535" i="3"/>
  <c r="N213" i="3"/>
  <c r="M213" i="3"/>
  <c r="N209" i="3"/>
  <c r="M209" i="3"/>
  <c r="N208" i="3"/>
  <c r="M208" i="3"/>
  <c r="N207" i="3" l="1"/>
  <c r="M207" i="3"/>
  <c r="N203" i="3"/>
  <c r="M203" i="3"/>
  <c r="N27" i="3"/>
  <c r="M27" i="3"/>
  <c r="N347" i="3"/>
  <c r="M347" i="3"/>
  <c r="N202" i="3"/>
  <c r="M202" i="3"/>
  <c r="N446" i="3"/>
  <c r="M446" i="3"/>
  <c r="N500" i="3"/>
  <c r="M500" i="3"/>
  <c r="N231" i="3" l="1"/>
  <c r="M231" i="3"/>
  <c r="N346" i="3" l="1"/>
  <c r="M346" i="3"/>
  <c r="N345" i="3"/>
  <c r="M345" i="3"/>
  <c r="N344" i="3" l="1"/>
  <c r="M344" i="3"/>
  <c r="N295" i="3"/>
  <c r="M295" i="3"/>
  <c r="N294" i="3"/>
  <c r="M294" i="3"/>
  <c r="N293" i="3" l="1"/>
  <c r="M293" i="3"/>
  <c r="N292" i="3"/>
  <c r="M292" i="3"/>
  <c r="N48" i="3"/>
  <c r="M48" i="3"/>
  <c r="N419" i="3"/>
  <c r="M419" i="3"/>
  <c r="N341" i="3"/>
  <c r="M341" i="3"/>
  <c r="N102" i="3"/>
  <c r="M102" i="3"/>
  <c r="N418" i="3" l="1"/>
  <c r="M418" i="3"/>
  <c r="N417" i="3"/>
  <c r="M417" i="3"/>
  <c r="N416" i="3"/>
  <c r="M416" i="3"/>
  <c r="N415" i="3" l="1"/>
  <c r="M415" i="3"/>
  <c r="N120" i="3" l="1"/>
  <c r="M120" i="3"/>
  <c r="N46" i="3"/>
  <c r="M46" i="3"/>
  <c r="N233" i="3" l="1"/>
  <c r="M233" i="3"/>
  <c r="N176" i="3" l="1"/>
  <c r="M176" i="3"/>
  <c r="N58" i="3" l="1"/>
  <c r="M58" i="3"/>
  <c r="N56" i="3"/>
  <c r="M56" i="3"/>
  <c r="N126" i="3"/>
  <c r="M126" i="3"/>
  <c r="N249" i="3" l="1"/>
  <c r="M249" i="3"/>
  <c r="N250" i="3"/>
  <c r="M250" i="3"/>
  <c r="N279" i="3" l="1"/>
  <c r="M279" i="3"/>
  <c r="N539" i="3" l="1"/>
  <c r="M539" i="3"/>
  <c r="N183" i="3"/>
  <c r="M183" i="3"/>
  <c r="N35" i="3"/>
  <c r="M35" i="3"/>
  <c r="N399" i="3"/>
  <c r="M399" i="3"/>
  <c r="N372" i="3"/>
  <c r="M372" i="3"/>
  <c r="N278" i="3" l="1"/>
  <c r="M278" i="3"/>
  <c r="N356" i="3"/>
  <c r="M356" i="3"/>
  <c r="N277" i="3"/>
  <c r="M277" i="3"/>
  <c r="N276" i="3"/>
  <c r="M276" i="3"/>
  <c r="N380" i="3" l="1"/>
  <c r="M380" i="3"/>
  <c r="N378" i="3"/>
  <c r="M378" i="3"/>
  <c r="N375" i="3"/>
  <c r="M375" i="3"/>
  <c r="N439" i="3" l="1"/>
  <c r="M439" i="3"/>
  <c r="N256" i="3"/>
  <c r="M256" i="3"/>
  <c r="N255" i="3"/>
  <c r="M255" i="3"/>
  <c r="N438" i="3" l="1"/>
  <c r="M438" i="3"/>
  <c r="N537" i="3"/>
  <c r="M537" i="3"/>
  <c r="N123" i="3"/>
  <c r="M123" i="3"/>
  <c r="N362" i="3"/>
  <c r="M362" i="3"/>
  <c r="M21" i="3" l="1"/>
  <c r="M490" i="3"/>
  <c r="N134" i="3"/>
  <c r="M134" i="3"/>
  <c r="N21" i="3"/>
  <c r="N490" i="3"/>
  <c r="N129" i="3"/>
  <c r="M129" i="3"/>
  <c r="N9" i="3"/>
  <c r="M9" i="3"/>
  <c r="N405" i="3"/>
  <c r="M405" i="3"/>
  <c r="N172" i="3"/>
  <c r="M172" i="3"/>
  <c r="N179" i="3" l="1"/>
  <c r="M179" i="3"/>
  <c r="N285" i="3"/>
  <c r="M285" i="3"/>
  <c r="N280" i="3"/>
  <c r="M280" i="3"/>
  <c r="N376" i="3"/>
  <c r="M376" i="3"/>
  <c r="N132" i="3"/>
  <c r="M132" i="3"/>
  <c r="N525" i="3"/>
  <c r="M525" i="3"/>
  <c r="N163" i="3"/>
  <c r="M163" i="3"/>
  <c r="N455" i="3"/>
  <c r="M455" i="3"/>
  <c r="N16" i="3" l="1"/>
  <c r="M16" i="3"/>
  <c r="N367" i="3"/>
  <c r="M367" i="3"/>
  <c r="N186" i="3" l="1"/>
  <c r="M186" i="3"/>
  <c r="N105" i="3"/>
  <c r="M105" i="3"/>
  <c r="N54" i="3"/>
  <c r="M54" i="3"/>
  <c r="L2" i="3" l="1"/>
  <c r="N335" i="3"/>
  <c r="M335" i="3"/>
  <c r="M382" i="3"/>
  <c r="M304" i="3"/>
  <c r="M303" i="3"/>
  <c r="M302" i="3"/>
  <c r="M122" i="3"/>
  <c r="N382" i="3"/>
  <c r="N304" i="3"/>
  <c r="N303" i="3"/>
  <c r="N302" i="3"/>
  <c r="N307" i="3"/>
  <c r="N247" i="3"/>
  <c r="N52" i="3"/>
  <c r="N122" i="3"/>
  <c r="N248" i="3"/>
  <c r="M248" i="3"/>
  <c r="N110" i="3"/>
  <c r="M110" i="3"/>
  <c r="R1" i="3" l="1"/>
  <c r="F7" i="4"/>
  <c r="F9" i="4" s="1"/>
  <c r="F10" i="4" s="1"/>
  <c r="F11" i="4" s="1"/>
  <c r="M307" i="3"/>
  <c r="M52" i="3" l="1"/>
  <c r="M247" i="3"/>
  <c r="N161" i="3" l="1"/>
  <c r="M161" i="3"/>
  <c r="N91" i="3" l="1"/>
  <c r="M91" i="3"/>
  <c r="N542" i="3"/>
  <c r="M542" i="3"/>
  <c r="N119" i="3"/>
  <c r="M119" i="3"/>
  <c r="N45" i="3"/>
  <c r="M45" i="3"/>
  <c r="N404" i="3"/>
  <c r="M404" i="3"/>
  <c r="N498" i="3"/>
  <c r="M498" i="3"/>
  <c r="N456" i="3"/>
  <c r="M456" i="3"/>
  <c r="N253" i="3" l="1"/>
  <c r="M253" i="3"/>
  <c r="N340" i="3"/>
  <c r="M340" i="3"/>
  <c r="N339" i="3"/>
  <c r="M339" i="3"/>
  <c r="N232" i="3"/>
  <c r="M232" i="3"/>
  <c r="N17" i="3"/>
  <c r="M17" i="3"/>
  <c r="N338" i="3" l="1"/>
  <c r="M338" i="3"/>
  <c r="N337" i="3"/>
  <c r="M337" i="3"/>
  <c r="N336" i="3"/>
  <c r="M336" i="3"/>
  <c r="N267" i="3"/>
  <c r="M267" i="3"/>
  <c r="N305" i="3"/>
  <c r="M305" i="3"/>
  <c r="N112" i="3"/>
  <c r="M112" i="3"/>
  <c r="N63" i="3"/>
  <c r="M63" i="3"/>
  <c r="N217" i="3"/>
  <c r="M217" i="3"/>
  <c r="N187" i="3"/>
  <c r="M187" i="3"/>
  <c r="N167" i="3"/>
  <c r="M167" i="3"/>
  <c r="N156" i="3"/>
  <c r="M156" i="3"/>
  <c r="N14" i="3"/>
  <c r="M14" i="3"/>
  <c r="N543" i="3"/>
  <c r="M543" i="3"/>
  <c r="N254" i="3"/>
  <c r="M254" i="3"/>
  <c r="N443" i="3"/>
  <c r="M443" i="3"/>
  <c r="N442" i="3"/>
  <c r="M442" i="3"/>
  <c r="K397" i="3" l="1"/>
  <c r="K398" i="3" l="1"/>
  <c r="K396" i="3"/>
  <c r="N441" i="3" l="1"/>
  <c r="M441" i="3"/>
  <c r="N440" i="3"/>
  <c r="M440" i="3"/>
  <c r="N194" i="3" l="1"/>
  <c r="M194" i="3"/>
  <c r="N193" i="3" l="1"/>
  <c r="M193" i="3"/>
  <c r="N19" i="3"/>
  <c r="M19" i="3"/>
  <c r="N243" i="3"/>
  <c r="M243" i="3"/>
  <c r="N489" i="3"/>
  <c r="M489" i="3"/>
  <c r="N488" i="3"/>
  <c r="M488" i="3"/>
  <c r="N200" i="3"/>
  <c r="M200" i="3"/>
  <c r="N197" i="3" l="1"/>
  <c r="M197" i="3"/>
  <c r="N165" i="3"/>
  <c r="M165" i="3"/>
  <c r="N151" i="3"/>
  <c r="M151" i="3"/>
  <c r="N130" i="3"/>
  <c r="M130" i="3"/>
  <c r="N10" i="3" l="1"/>
  <c r="M10" i="3"/>
  <c r="N353" i="3"/>
  <c r="M353" i="3"/>
  <c r="N352" i="3" l="1"/>
  <c r="M352" i="3"/>
  <c r="N351" i="3"/>
  <c r="M351" i="3"/>
  <c r="N286" i="3"/>
  <c r="M286" i="3"/>
  <c r="N360" i="3" l="1"/>
  <c r="M360" i="3"/>
  <c r="N350" i="3" l="1"/>
  <c r="M350" i="3"/>
  <c r="N127" i="3"/>
  <c r="M127" i="3"/>
  <c r="N359" i="3"/>
  <c r="M359" i="3"/>
  <c r="N298" i="3" l="1"/>
  <c r="M298" i="3"/>
  <c r="N297" i="3"/>
  <c r="M297" i="3"/>
  <c r="N296" i="3"/>
  <c r="M296" i="3"/>
  <c r="N178" i="3"/>
  <c r="M178" i="3"/>
  <c r="N452" i="3" l="1"/>
  <c r="M452" i="3"/>
  <c r="K362" i="3" l="1"/>
  <c r="N150" i="3"/>
  <c r="M150" i="3"/>
  <c r="N36" i="3"/>
  <c r="M36" i="3"/>
  <c r="N432" i="3"/>
  <c r="M432" i="3"/>
  <c r="N431" i="3"/>
  <c r="M431" i="3"/>
  <c r="N430" i="3" l="1"/>
  <c r="M430" i="3"/>
  <c r="N481" i="3" l="1"/>
  <c r="M481" i="3"/>
  <c r="K357" i="3"/>
  <c r="N429" i="3"/>
  <c r="M429" i="3"/>
  <c r="N428" i="3"/>
  <c r="M428" i="3"/>
  <c r="N412" i="3"/>
  <c r="M412" i="3"/>
  <c r="N411" i="3"/>
  <c r="M411" i="3"/>
  <c r="K353" i="3" l="1"/>
  <c r="N410" i="3"/>
  <c r="M410" i="3"/>
  <c r="K352" i="3"/>
  <c r="N409" i="3"/>
  <c r="M409" i="3"/>
  <c r="N2" i="3" l="1"/>
  <c r="M2" i="3"/>
  <c r="K351" i="3" l="1"/>
  <c r="N408" i="3"/>
  <c r="M408" i="3"/>
  <c r="K350" i="3"/>
  <c r="N266" i="3"/>
  <c r="M266" i="3"/>
  <c r="N115" i="3" l="1"/>
  <c r="M115" i="3"/>
  <c r="N306" i="3"/>
  <c r="M306" i="3"/>
  <c r="N265" i="3"/>
  <c r="M265" i="3"/>
  <c r="N264" i="3"/>
  <c r="M264" i="3"/>
  <c r="N263" i="3" l="1"/>
  <c r="M263" i="3"/>
  <c r="N262" i="3" l="1"/>
  <c r="M262" i="3"/>
  <c r="N148" i="3" l="1"/>
  <c r="M148" i="3"/>
  <c r="N541" i="3"/>
  <c r="M541" i="3"/>
  <c r="N538" i="3"/>
  <c r="M538" i="3"/>
  <c r="N182" i="3"/>
  <c r="M182" i="3"/>
  <c r="N540" i="3" l="1"/>
  <c r="M540" i="3"/>
  <c r="N485" i="3"/>
  <c r="M485" i="3"/>
  <c r="N99" i="3"/>
  <c r="M99" i="3"/>
  <c r="N93" i="3"/>
  <c r="M93" i="3"/>
  <c r="N50" i="3"/>
  <c r="M50" i="3"/>
  <c r="N551" i="3"/>
  <c r="M551" i="3"/>
  <c r="N83" i="3" l="1"/>
  <c r="M83" i="3"/>
  <c r="N236" i="3"/>
  <c r="M236" i="3"/>
  <c r="K334" i="3" l="1"/>
  <c r="N510" i="3" l="1"/>
  <c r="M510" i="3"/>
  <c r="N509" i="3"/>
  <c r="M509" i="3"/>
  <c r="N508" i="3"/>
  <c r="M508" i="3"/>
  <c r="N507" i="3"/>
  <c r="M507" i="3"/>
  <c r="M552" i="3" l="1"/>
  <c r="N133" i="3"/>
  <c r="N18" i="3"/>
  <c r="N269" i="3"/>
  <c r="N553" i="3"/>
  <c r="N552" i="3"/>
  <c r="N550" i="3"/>
  <c r="M550" i="3"/>
  <c r="N308" i="3"/>
  <c r="M308" i="3"/>
  <c r="N82" i="3"/>
  <c r="M82" i="3"/>
  <c r="K321" i="3"/>
  <c r="N5" i="3"/>
  <c r="M5" i="3"/>
  <c r="K320" i="3"/>
  <c r="M475" i="3"/>
  <c r="N475" i="3"/>
  <c r="M553" i="3" l="1"/>
  <c r="M269" i="3" l="1"/>
  <c r="M133" i="3" l="1"/>
  <c r="M18" i="3"/>
  <c r="N414" i="3" l="1"/>
  <c r="M414" i="3"/>
  <c r="N192" i="3"/>
  <c r="M192" i="3"/>
  <c r="N29" i="3" l="1"/>
  <c r="M29" i="3"/>
  <c r="N230" i="3"/>
  <c r="M230" i="3"/>
  <c r="N11" i="3" l="1"/>
  <c r="M11" i="3"/>
  <c r="N282" i="3" l="1"/>
  <c r="M282" i="3"/>
  <c r="N342" i="3" l="1"/>
  <c r="M342" i="3"/>
  <c r="L15" i="1" l="1"/>
  <c r="L14" i="1"/>
  <c r="L13" i="1"/>
  <c r="N240" i="3"/>
  <c r="M240" i="3"/>
  <c r="N238" i="3"/>
  <c r="M238" i="3"/>
  <c r="N239" i="3"/>
  <c r="M239" i="3"/>
  <c r="N451" i="3"/>
  <c r="M451" i="3"/>
  <c r="N450" i="3" l="1"/>
  <c r="M450" i="3"/>
  <c r="N449" i="3"/>
  <c r="M449" i="3"/>
  <c r="N448" i="3"/>
  <c r="M448" i="3"/>
  <c r="N322" i="3"/>
  <c r="M322" i="3"/>
  <c r="N234" i="3"/>
  <c r="M234" i="3"/>
  <c r="N218" i="3" l="1"/>
  <c r="M218" i="3"/>
  <c r="N427" i="3"/>
  <c r="M427" i="3"/>
  <c r="N453" i="3"/>
  <c r="M453" i="3"/>
  <c r="N237" i="3" l="1"/>
  <c r="M237" i="3"/>
  <c r="N407" i="3"/>
  <c r="M407" i="3"/>
  <c r="N37" i="3"/>
  <c r="M37" i="3"/>
  <c r="N334" i="3"/>
  <c r="M334" i="3"/>
  <c r="N319" i="3" l="1"/>
  <c r="M319" i="3"/>
  <c r="N222" i="3" l="1"/>
  <c r="M222" i="3"/>
  <c r="N287" i="3"/>
  <c r="M287" i="3"/>
  <c r="N406" i="3" l="1"/>
  <c r="M406" i="3"/>
  <c r="N229" i="3"/>
  <c r="M229" i="3"/>
  <c r="N318" i="3" l="1"/>
  <c r="M318" i="3"/>
  <c r="N301" i="3"/>
  <c r="M301" i="3"/>
  <c r="N300" i="3"/>
  <c r="M300" i="3"/>
  <c r="N299" i="3"/>
  <c r="M299" i="3"/>
  <c r="N311" i="3"/>
  <c r="M311" i="3"/>
  <c r="N310" i="3" l="1"/>
  <c r="N309" i="3"/>
  <c r="N147" i="3"/>
  <c r="N34" i="3"/>
  <c r="N160" i="3"/>
  <c r="N326" i="3"/>
  <c r="M326" i="3"/>
  <c r="N101" i="3"/>
  <c r="M101" i="3"/>
  <c r="N548" i="3"/>
  <c r="M548" i="3"/>
  <c r="N546" i="3"/>
  <c r="M546" i="3"/>
  <c r="N544" i="3"/>
  <c r="M544" i="3"/>
  <c r="N434" i="3"/>
  <c r="M434" i="3"/>
  <c r="N437" i="3"/>
  <c r="M437" i="3"/>
  <c r="N436" i="3"/>
  <c r="M436" i="3"/>
  <c r="N435" i="3"/>
  <c r="M435" i="3"/>
  <c r="N433" i="3"/>
  <c r="M433" i="3"/>
  <c r="M34" i="3"/>
  <c r="M160" i="3" l="1"/>
  <c r="M310" i="3" l="1"/>
  <c r="M309" i="3"/>
  <c r="M147" i="3"/>
  <c r="N111" i="3" l="1"/>
  <c r="M111" i="3"/>
  <c r="N268" i="3" l="1"/>
  <c r="M268" i="3"/>
  <c r="N524" i="3" l="1"/>
  <c r="M524" i="3"/>
  <c r="N497" i="3" l="1"/>
  <c r="M497" i="3"/>
  <c r="N204" i="3" l="1"/>
  <c r="M204" i="3"/>
  <c r="N191" i="3"/>
  <c r="M191" i="3"/>
  <c r="A15" i="1" l="1"/>
  <c r="N20" i="3"/>
  <c r="N190" i="3"/>
  <c r="M190" i="3"/>
  <c r="N174" i="3"/>
  <c r="M174" i="3"/>
  <c r="N28" i="3"/>
  <c r="M28" i="3"/>
  <c r="N205" i="3"/>
  <c r="M205" i="3"/>
  <c r="N198" i="3"/>
  <c r="M198" i="3"/>
  <c r="N175" i="3"/>
  <c r="M175" i="3"/>
  <c r="N159" i="3"/>
  <c r="M159" i="3"/>
  <c r="N146" i="3"/>
  <c r="M146" i="3"/>
  <c r="N145" i="3"/>
  <c r="M145" i="3"/>
  <c r="M20" i="3"/>
  <c r="N513" i="3"/>
  <c r="M513" i="3"/>
  <c r="N140" i="3"/>
  <c r="N8" i="3"/>
  <c r="N487" i="3"/>
  <c r="M487" i="3"/>
  <c r="N486" i="3"/>
  <c r="M486" i="3"/>
  <c r="M140" i="3" l="1"/>
  <c r="M8" i="3"/>
  <c r="N361" i="3" l="1"/>
  <c r="M361" i="3"/>
  <c r="N157" i="3" l="1"/>
  <c r="M157" i="3"/>
  <c r="N41" i="3"/>
  <c r="M41" i="3"/>
  <c r="N549" i="3" l="1"/>
  <c r="M549" i="3"/>
  <c r="N166" i="3"/>
  <c r="M166" i="3"/>
  <c r="M154" i="3"/>
  <c r="N154" i="3"/>
  <c r="M155" i="3"/>
  <c r="N155" i="3"/>
  <c r="N199" i="3"/>
  <c r="M199" i="3"/>
  <c r="N383" i="3"/>
  <c r="M383" i="3"/>
  <c r="N13" i="3"/>
  <c r="M13" i="3"/>
  <c r="M502" i="3"/>
  <c r="N506" i="3"/>
  <c r="N505" i="3"/>
  <c r="N504" i="3"/>
  <c r="N503" i="3"/>
  <c r="M503" i="3"/>
  <c r="N502" i="3"/>
  <c r="N501" i="3"/>
  <c r="M501" i="3"/>
  <c r="M504" i="3" l="1"/>
  <c r="M506" i="3" l="1"/>
  <c r="M505" i="3"/>
  <c r="N3" i="3" l="1"/>
  <c r="N121" i="3"/>
  <c r="N116" i="3"/>
  <c r="N529" i="3"/>
  <c r="N528" i="3"/>
  <c r="N527" i="3"/>
  <c r="N526" i="3"/>
  <c r="N413" i="3"/>
  <c r="N211" i="3"/>
  <c r="N210" i="3"/>
  <c r="N44" i="3"/>
  <c r="N241" i="3"/>
  <c r="N470" i="3"/>
  <c r="N469" i="3"/>
  <c r="N468" i="3"/>
  <c r="M468" i="3"/>
  <c r="M467" i="3"/>
  <c r="N467" i="3"/>
  <c r="N466" i="3"/>
  <c r="N465" i="3"/>
  <c r="M469" i="3" l="1"/>
  <c r="M241" i="3"/>
  <c r="M470" i="3"/>
  <c r="M44" i="3" l="1"/>
  <c r="M210" i="3" l="1"/>
  <c r="N464" i="3"/>
  <c r="M211" i="3" l="1"/>
  <c r="M413" i="3" l="1"/>
  <c r="M526" i="3" l="1"/>
  <c r="N463" i="3"/>
  <c r="M117" i="3"/>
  <c r="N274" i="3"/>
  <c r="N461" i="3"/>
  <c r="N462" i="3"/>
  <c r="N117" i="3"/>
  <c r="M527" i="3" l="1"/>
  <c r="M463" i="3"/>
  <c r="M464" i="3"/>
  <c r="M274" i="3"/>
  <c r="M461" i="3"/>
  <c r="M462" i="3"/>
  <c r="M528" i="3" l="1"/>
  <c r="M466" i="3"/>
  <c r="M465" i="3"/>
  <c r="M529" i="3" l="1"/>
  <c r="M116" i="3"/>
  <c r="M121" i="3" l="1"/>
  <c r="M3" i="3"/>
  <c r="B3" i="1"/>
  <c r="M316" i="3" l="1"/>
  <c r="M330" i="3"/>
  <c r="M457" i="3"/>
  <c r="M394" i="3"/>
  <c r="M357" i="3" l="1"/>
  <c r="J5" i="4"/>
  <c r="K5" i="4" s="1"/>
  <c r="D5" i="4" l="1"/>
  <c r="E5" i="4" s="1"/>
  <c r="F5" i="4" s="1"/>
  <c r="D4" i="4"/>
  <c r="E4" i="4" s="1"/>
  <c r="F4" i="4" s="1"/>
  <c r="D2" i="4"/>
  <c r="E2" i="4" s="1"/>
  <c r="F2" i="4" s="1"/>
  <c r="D3" i="4"/>
  <c r="E3" i="4" s="1"/>
  <c r="F3" i="4" s="1"/>
  <c r="O1013" i="3" l="1" a="1"/>
  <c r="O1013" i="3" s="1"/>
  <c r="I1013" i="3" s="1"/>
  <c r="P1013" i="3" a="1"/>
  <c r="P1013" i="3" s="1"/>
  <c r="O993" i="3" a="1"/>
  <c r="O993" i="3" s="1"/>
  <c r="I993" i="3" s="1"/>
  <c r="O1003" i="3" a="1"/>
  <c r="O1003" i="3" s="1"/>
  <c r="I1003" i="3" s="1"/>
  <c r="O989" i="3" a="1"/>
  <c r="O989" i="3" s="1"/>
  <c r="I989" i="3" s="1"/>
  <c r="O1001" i="3" a="1"/>
  <c r="O1001" i="3" s="1"/>
  <c r="I1001" i="3" s="1"/>
  <c r="O1011" i="3" a="1"/>
  <c r="O1011" i="3" s="1"/>
  <c r="I1011" i="3" s="1"/>
  <c r="O987" i="3" a="1"/>
  <c r="O987" i="3" s="1"/>
  <c r="I987" i="3" s="1"/>
  <c r="P989" i="3" a="1"/>
  <c r="P989" i="3" s="1"/>
  <c r="O1006" i="3" a="1"/>
  <c r="O1006" i="3" s="1"/>
  <c r="I1006" i="3" s="1"/>
  <c r="O988" i="3" a="1"/>
  <c r="O988" i="3" s="1"/>
  <c r="I988" i="3" s="1"/>
  <c r="P997" i="3" a="1"/>
  <c r="P997" i="3" s="1"/>
  <c r="P987" i="3" a="1"/>
  <c r="P987" i="3" s="1"/>
  <c r="O992" i="3" a="1"/>
  <c r="O992" i="3" s="1"/>
  <c r="I992" i="3" s="1"/>
  <c r="O997" i="3" a="1"/>
  <c r="O997" i="3" s="1"/>
  <c r="I997" i="3" s="1"/>
  <c r="P986" i="3" a="1"/>
  <c r="P986" i="3" s="1"/>
  <c r="O1004" i="3" a="1"/>
  <c r="O1004" i="3" s="1"/>
  <c r="I1004" i="3" s="1"/>
  <c r="P996" i="3" a="1"/>
  <c r="P996" i="3" s="1"/>
  <c r="P992" i="3" a="1"/>
  <c r="P992" i="3" s="1"/>
  <c r="P998" i="3" a="1"/>
  <c r="P998" i="3" s="1"/>
  <c r="P1012" i="3" a="1"/>
  <c r="P1012" i="3" s="1"/>
  <c r="P1006" i="3" a="1"/>
  <c r="P1006" i="3" s="1"/>
  <c r="P1001" i="3" a="1"/>
  <c r="P1001" i="3" s="1"/>
  <c r="P994" i="3" a="1"/>
  <c r="P994" i="3" s="1"/>
  <c r="P993" i="3" a="1"/>
  <c r="P993" i="3" s="1"/>
  <c r="P1003" i="3" a="1"/>
  <c r="P1003" i="3" s="1"/>
  <c r="P1002" i="3" a="1"/>
  <c r="P1002" i="3" s="1"/>
  <c r="P1010" i="3" a="1"/>
  <c r="P1010" i="3" s="1"/>
  <c r="O1009" i="3" a="1"/>
  <c r="O1009" i="3" s="1"/>
  <c r="I1009" i="3" s="1"/>
  <c r="O990" i="3" a="1"/>
  <c r="O990" i="3" s="1"/>
  <c r="I990" i="3" s="1"/>
  <c r="P990" i="3" a="1"/>
  <c r="P990" i="3" s="1"/>
  <c r="P1005" i="3" a="1"/>
  <c r="P1005" i="3" s="1"/>
  <c r="O1012" i="3" a="1"/>
  <c r="O1012" i="3" s="1"/>
  <c r="I1012" i="3" s="1"/>
  <c r="O1000" i="3" a="1"/>
  <c r="O1000" i="3" s="1"/>
  <c r="I1000" i="3" s="1"/>
  <c r="P999" i="3" a="1"/>
  <c r="P999" i="3" s="1"/>
  <c r="P1000" i="3" a="1"/>
  <c r="P1000" i="3" s="1"/>
  <c r="O994" i="3" a="1"/>
  <c r="O994" i="3" s="1"/>
  <c r="I994" i="3" s="1"/>
  <c r="O995" i="3" a="1"/>
  <c r="O995" i="3" s="1"/>
  <c r="I995" i="3" s="1"/>
  <c r="P1008" i="3" a="1"/>
  <c r="P1008" i="3" s="1"/>
  <c r="O991" i="3" a="1"/>
  <c r="O991" i="3" s="1"/>
  <c r="I991" i="3" s="1"/>
  <c r="P991" i="3" a="1"/>
  <c r="P991" i="3" s="1"/>
  <c r="O999" i="3" a="1"/>
  <c r="O999" i="3" s="1"/>
  <c r="I999" i="3" s="1"/>
  <c r="O1007" i="3" a="1"/>
  <c r="O1007" i="3" s="1"/>
  <c r="I1007" i="3" s="1"/>
  <c r="P1007" i="3" a="1"/>
  <c r="P1007" i="3" s="1"/>
  <c r="O996" i="3" a="1"/>
  <c r="O996" i="3" s="1"/>
  <c r="I996" i="3" s="1"/>
  <c r="P995" i="3" a="1"/>
  <c r="P995" i="3" s="1"/>
  <c r="P1009" i="3" a="1"/>
  <c r="P1009" i="3" s="1"/>
  <c r="O1010" i="3" a="1"/>
  <c r="O1010" i="3" s="1"/>
  <c r="I1010" i="3" s="1"/>
  <c r="P1011" i="3" a="1"/>
  <c r="P1011" i="3" s="1"/>
  <c r="O1008" i="3" a="1"/>
  <c r="O1008" i="3" s="1"/>
  <c r="I1008" i="3" s="1"/>
  <c r="P1004" i="3" a="1"/>
  <c r="P1004" i="3" s="1"/>
  <c r="O998" i="3" a="1"/>
  <c r="O998" i="3" s="1"/>
  <c r="I998" i="3" s="1"/>
  <c r="O1005" i="3" a="1"/>
  <c r="O1005" i="3" s="1"/>
  <c r="I1005" i="3" s="1"/>
  <c r="P988" i="3" a="1"/>
  <c r="P988" i="3" s="1"/>
  <c r="O1002" i="3" a="1"/>
  <c r="O1002" i="3" s="1"/>
  <c r="I1002" i="3" s="1"/>
  <c r="O986" i="3" a="1"/>
  <c r="O986" i="3" s="1"/>
  <c r="I986" i="3" s="1"/>
  <c r="P981" i="3" a="1"/>
  <c r="P981" i="3" s="1"/>
  <c r="P985" i="3" a="1"/>
  <c r="P985" i="3" s="1"/>
  <c r="P980" i="3" a="1"/>
  <c r="P980" i="3" s="1"/>
  <c r="P983" i="3" a="1"/>
  <c r="P983" i="3" s="1"/>
  <c r="P984" i="3" a="1"/>
  <c r="P984" i="3" s="1"/>
  <c r="P982" i="3" a="1"/>
  <c r="P982" i="3" s="1"/>
  <c r="O980" i="3" a="1"/>
  <c r="O980" i="3" s="1"/>
  <c r="I980" i="3" s="1"/>
  <c r="O977" i="3" a="1"/>
  <c r="O977" i="3" s="1"/>
  <c r="I977" i="3" s="1"/>
  <c r="O974" i="3" a="1"/>
  <c r="O974" i="3" s="1"/>
  <c r="I974" i="3" s="1"/>
  <c r="P978" i="3" a="1"/>
  <c r="P978" i="3" s="1"/>
  <c r="P976" i="3" a="1"/>
  <c r="P976" i="3" s="1"/>
  <c r="P975" i="3" a="1"/>
  <c r="P975" i="3" s="1"/>
  <c r="P979" i="3" a="1"/>
  <c r="P979" i="3" s="1"/>
  <c r="O978" i="3" a="1"/>
  <c r="O978" i="3" s="1"/>
  <c r="I978" i="3" s="1"/>
  <c r="O976" i="3" a="1"/>
  <c r="O976" i="3" s="1"/>
  <c r="I976" i="3" s="1"/>
  <c r="O979" i="3" a="1"/>
  <c r="O979" i="3" s="1"/>
  <c r="I979" i="3" s="1"/>
  <c r="O973" i="3" a="1"/>
  <c r="O973" i="3" s="1"/>
  <c r="I973" i="3" s="1"/>
  <c r="O975" i="3" a="1"/>
  <c r="O975" i="3" s="1"/>
  <c r="I975" i="3" s="1"/>
  <c r="P973" i="3" a="1"/>
  <c r="P973" i="3" s="1"/>
  <c r="P974" i="3" a="1"/>
  <c r="P974" i="3" s="1"/>
  <c r="P977" i="3" a="1"/>
  <c r="P977" i="3" s="1"/>
  <c r="O981" i="3" a="1"/>
  <c r="O981" i="3" s="1"/>
  <c r="I981" i="3" s="1"/>
  <c r="O971" i="3" a="1"/>
  <c r="O971" i="3" s="1"/>
  <c r="I971" i="3" s="1"/>
  <c r="P971" i="3" a="1"/>
  <c r="P971" i="3" s="1"/>
  <c r="P972" i="3" a="1"/>
  <c r="P972" i="3" s="1"/>
  <c r="O967" i="3" a="1"/>
  <c r="O967" i="3" s="1"/>
  <c r="I967" i="3" s="1"/>
  <c r="O968" i="3" a="1"/>
  <c r="O968" i="3" s="1"/>
  <c r="I968" i="3" s="1"/>
  <c r="O969" i="3" a="1"/>
  <c r="O969" i="3" s="1"/>
  <c r="I969" i="3" s="1"/>
  <c r="P967" i="3" a="1"/>
  <c r="P967" i="3" s="1"/>
  <c r="O972" i="3" a="1"/>
  <c r="O972" i="3" s="1"/>
  <c r="I972" i="3" s="1"/>
  <c r="O970" i="3" a="1"/>
  <c r="O970" i="3" s="1"/>
  <c r="I970" i="3" s="1"/>
  <c r="P970" i="3" a="1"/>
  <c r="P970" i="3" s="1"/>
  <c r="O966" i="3" a="1"/>
  <c r="O966" i="3" s="1"/>
  <c r="I966" i="3" s="1"/>
  <c r="P966" i="3" a="1"/>
  <c r="P966" i="3" s="1"/>
  <c r="O982" i="3" a="1"/>
  <c r="O982" i="3" s="1"/>
  <c r="I982" i="3" s="1"/>
  <c r="P968" i="3" a="1"/>
  <c r="P968" i="3" s="1"/>
  <c r="P969" i="3" a="1"/>
  <c r="P969" i="3" s="1"/>
  <c r="O983" i="3" a="1"/>
  <c r="O983" i="3" s="1"/>
  <c r="I983" i="3" s="1"/>
  <c r="O984" i="3" a="1"/>
  <c r="O984" i="3" s="1"/>
  <c r="I984" i="3" s="1"/>
  <c r="P965" i="3" a="1"/>
  <c r="P965" i="3" s="1"/>
  <c r="O985" i="3" a="1"/>
  <c r="O985" i="3" s="1"/>
  <c r="I985" i="3" s="1"/>
  <c r="O965" i="3" a="1"/>
  <c r="O965" i="3" s="1"/>
  <c r="I965" i="3" s="1"/>
  <c r="O963" i="3" a="1"/>
  <c r="O963" i="3" s="1"/>
  <c r="I963" i="3" s="1"/>
  <c r="O964" i="3" a="1"/>
  <c r="O964" i="3" s="1"/>
  <c r="I964" i="3" s="1"/>
  <c r="P964" i="3" a="1"/>
  <c r="P964" i="3" s="1"/>
  <c r="P963" i="3" a="1"/>
  <c r="P963" i="3" s="1"/>
  <c r="O958" i="3" a="1"/>
  <c r="O958" i="3" s="1"/>
  <c r="I958" i="3" s="1"/>
  <c r="O955" i="3" a="1"/>
  <c r="O955" i="3" s="1"/>
  <c r="I955" i="3" s="1"/>
  <c r="P953" i="3" a="1"/>
  <c r="P953" i="3" s="1"/>
  <c r="P957" i="3" a="1"/>
  <c r="P957" i="3" s="1"/>
  <c r="O954" i="3" a="1"/>
  <c r="O954" i="3" s="1"/>
  <c r="I954" i="3" s="1"/>
  <c r="P62" i="3" a="1"/>
  <c r="P62" i="3" s="1"/>
  <c r="O959" i="3" a="1"/>
  <c r="O959" i="3" s="1"/>
  <c r="I959" i="3" s="1"/>
  <c r="O956" i="3" a="1"/>
  <c r="O956" i="3" s="1"/>
  <c r="I956" i="3" s="1"/>
  <c r="P958" i="3" a="1"/>
  <c r="P958" i="3" s="1"/>
  <c r="P955" i="3" a="1"/>
  <c r="P955" i="3" s="1"/>
  <c r="P956" i="3" a="1"/>
  <c r="P956" i="3" s="1"/>
  <c r="P961" i="3" a="1"/>
  <c r="P961" i="3" s="1"/>
  <c r="O97" i="3" a="1"/>
  <c r="O97" i="3" s="1"/>
  <c r="I97" i="3" s="1"/>
  <c r="P959" i="3" a="1"/>
  <c r="P959" i="3" s="1"/>
  <c r="O960" i="3" a="1"/>
  <c r="O960" i="3" s="1"/>
  <c r="I960" i="3" s="1"/>
  <c r="O62" i="3" a="1"/>
  <c r="O62" i="3" s="1"/>
  <c r="I62" i="3" s="1"/>
  <c r="O961" i="3" a="1"/>
  <c r="O961" i="3" s="1"/>
  <c r="I961" i="3" s="1"/>
  <c r="O92" i="3" a="1"/>
  <c r="O92" i="3" s="1"/>
  <c r="I92" i="3" s="1"/>
  <c r="O953" i="3" a="1"/>
  <c r="O953" i="3" s="1"/>
  <c r="I953" i="3" s="1"/>
  <c r="P962" i="3" a="1"/>
  <c r="P962" i="3" s="1"/>
  <c r="P97" i="3" a="1"/>
  <c r="P97" i="3" s="1"/>
  <c r="P92" i="3" a="1"/>
  <c r="P92" i="3" s="1"/>
  <c r="O957" i="3" a="1"/>
  <c r="O957" i="3" s="1"/>
  <c r="I957" i="3" s="1"/>
  <c r="P960" i="3" a="1"/>
  <c r="P960" i="3" s="1"/>
  <c r="P954" i="3" a="1"/>
  <c r="P954" i="3" s="1"/>
  <c r="O962" i="3" a="1"/>
  <c r="O962" i="3" s="1"/>
  <c r="I962" i="3" s="1"/>
  <c r="P951" i="3" a="1"/>
  <c r="P951" i="3" s="1"/>
  <c r="P952" i="3" a="1"/>
  <c r="P952" i="3" s="1"/>
  <c r="O951" i="3" a="1"/>
  <c r="O951" i="3" s="1"/>
  <c r="I951" i="3" s="1"/>
  <c r="P943" i="3" a="1"/>
  <c r="P943" i="3" s="1"/>
  <c r="O950" i="3" a="1"/>
  <c r="O950" i="3" s="1"/>
  <c r="I950" i="3" s="1"/>
  <c r="P944" i="3" a="1"/>
  <c r="P944" i="3" s="1"/>
  <c r="O948" i="3" a="1"/>
  <c r="O948" i="3" s="1"/>
  <c r="I948" i="3" s="1"/>
  <c r="P950" i="3" a="1"/>
  <c r="P950" i="3" s="1"/>
  <c r="O162" i="3" a="1"/>
  <c r="O162" i="3" s="1"/>
  <c r="I162" i="3" s="1"/>
  <c r="O943" i="3" a="1"/>
  <c r="O943" i="3" s="1"/>
  <c r="I943" i="3" s="1"/>
  <c r="O949" i="3" a="1"/>
  <c r="O949" i="3" s="1"/>
  <c r="I949" i="3" s="1"/>
  <c r="O952" i="3" a="1"/>
  <c r="O952" i="3" s="1"/>
  <c r="I952" i="3" s="1"/>
  <c r="P948" i="3" a="1"/>
  <c r="P948" i="3" s="1"/>
  <c r="P162" i="3" a="1"/>
  <c r="P162" i="3" s="1"/>
  <c r="O946" i="3" a="1"/>
  <c r="O946" i="3" s="1"/>
  <c r="I946" i="3" s="1"/>
  <c r="P946" i="3" a="1"/>
  <c r="P946" i="3" s="1"/>
  <c r="O944" i="3" a="1"/>
  <c r="O944" i="3" s="1"/>
  <c r="I944" i="3" s="1"/>
  <c r="O945" i="3" a="1"/>
  <c r="O945" i="3" s="1"/>
  <c r="I945" i="3" s="1"/>
  <c r="O947" i="3" a="1"/>
  <c r="O947" i="3" s="1"/>
  <c r="I947" i="3" s="1"/>
  <c r="P370" i="3" a="1"/>
  <c r="P370" i="3" s="1"/>
  <c r="P949" i="3" a="1"/>
  <c r="P949" i="3" s="1"/>
  <c r="P947" i="3" a="1"/>
  <c r="P947" i="3" s="1"/>
  <c r="O370" i="3" a="1"/>
  <c r="O370" i="3" s="1"/>
  <c r="I370" i="3" s="1"/>
  <c r="P945" i="3" a="1"/>
  <c r="P945" i="3" s="1"/>
  <c r="P940" i="3" a="1"/>
  <c r="P940" i="3" s="1"/>
  <c r="O940" i="3" a="1"/>
  <c r="O940" i="3" s="1"/>
  <c r="I940" i="3" s="1"/>
  <c r="O942" i="3" a="1"/>
  <c r="O942" i="3" s="1"/>
  <c r="I942" i="3" s="1"/>
  <c r="O941" i="3" a="1"/>
  <c r="O941" i="3" s="1"/>
  <c r="I941" i="3" s="1"/>
  <c r="P942" i="3" a="1"/>
  <c r="P942" i="3" s="1"/>
  <c r="P941" i="3" a="1"/>
  <c r="P941" i="3" s="1"/>
  <c r="P914" i="3" a="1"/>
  <c r="P914" i="3" s="1"/>
  <c r="O701" i="3" a="1"/>
  <c r="O701" i="3" s="1"/>
  <c r="I701" i="3" s="1"/>
  <c r="P673" i="3" a="1"/>
  <c r="P673" i="3" s="1"/>
  <c r="P844" i="3" a="1"/>
  <c r="P844" i="3" s="1"/>
  <c r="O830" i="3" a="1"/>
  <c r="O830" i="3" s="1"/>
  <c r="I830" i="3" s="1"/>
  <c r="P901" i="3" a="1"/>
  <c r="P901" i="3" s="1"/>
  <c r="O793" i="3" a="1"/>
  <c r="O793" i="3" s="1"/>
  <c r="I793" i="3" s="1"/>
  <c r="O785" i="3" a="1"/>
  <c r="O785" i="3" s="1"/>
  <c r="I785" i="3" s="1"/>
  <c r="O864" i="3" a="1"/>
  <c r="O864" i="3" s="1"/>
  <c r="I864" i="3" s="1"/>
  <c r="P896" i="3" a="1"/>
  <c r="P896" i="3" s="1"/>
  <c r="O677" i="3" a="1"/>
  <c r="O677" i="3" s="1"/>
  <c r="I677" i="3" s="1"/>
  <c r="O907" i="3" a="1"/>
  <c r="O907" i="3" s="1"/>
  <c r="I907" i="3" s="1"/>
  <c r="P726" i="3" a="1"/>
  <c r="P726" i="3" s="1"/>
  <c r="O625" i="3" a="1"/>
  <c r="O625" i="3" s="1"/>
  <c r="I625" i="3" s="1"/>
  <c r="P743" i="3" a="1"/>
  <c r="P743" i="3" s="1"/>
  <c r="P768" i="3" a="1"/>
  <c r="P768" i="3" s="1"/>
  <c r="P647" i="3" a="1"/>
  <c r="P647" i="3" s="1"/>
  <c r="P785" i="3" a="1"/>
  <c r="P785" i="3" s="1"/>
  <c r="O718" i="3" a="1"/>
  <c r="O718" i="3" s="1"/>
  <c r="I718" i="3" s="1"/>
  <c r="O829" i="3" a="1"/>
  <c r="O829" i="3" s="1"/>
  <c r="I829" i="3" s="1"/>
  <c r="O939" i="3" a="1"/>
  <c r="O939" i="3" s="1"/>
  <c r="I939" i="3" s="1"/>
  <c r="P635" i="3" a="1"/>
  <c r="P635" i="3" s="1"/>
  <c r="O794" i="3" a="1"/>
  <c r="O794" i="3" s="1"/>
  <c r="I794" i="3" s="1"/>
  <c r="O614" i="3" a="1"/>
  <c r="O614" i="3" s="1"/>
  <c r="I614" i="3" s="1"/>
  <c r="P653" i="3" a="1"/>
  <c r="P653" i="3" s="1"/>
  <c r="O666" i="3" a="1"/>
  <c r="O666" i="3" s="1"/>
  <c r="I666" i="3" s="1"/>
  <c r="O871" i="3" a="1"/>
  <c r="O871" i="3" s="1"/>
  <c r="I871" i="3" s="1"/>
  <c r="P591" i="3" a="1"/>
  <c r="P591" i="3" s="1"/>
  <c r="O802" i="3" a="1"/>
  <c r="O802" i="3" s="1"/>
  <c r="I802" i="3" s="1"/>
  <c r="O868" i="3" a="1"/>
  <c r="O868" i="3" s="1"/>
  <c r="I868" i="3" s="1"/>
  <c r="P906" i="3" a="1"/>
  <c r="P906" i="3" s="1"/>
  <c r="O847" i="3" a="1"/>
  <c r="O847" i="3" s="1"/>
  <c r="I847" i="3" s="1"/>
  <c r="P937" i="3" a="1"/>
  <c r="P937" i="3" s="1"/>
  <c r="O766" i="3" a="1"/>
  <c r="O766" i="3" s="1"/>
  <c r="I766" i="3" s="1"/>
  <c r="P865" i="3" a="1"/>
  <c r="P865" i="3" s="1"/>
  <c r="O744" i="3" a="1"/>
  <c r="O744" i="3" s="1"/>
  <c r="I744" i="3" s="1"/>
  <c r="P640" i="3" a="1"/>
  <c r="P640" i="3" s="1"/>
  <c r="P639" i="3" a="1"/>
  <c r="P639" i="3" s="1"/>
  <c r="O705" i="3" a="1"/>
  <c r="O705" i="3" s="1"/>
  <c r="I705" i="3" s="1"/>
  <c r="O790" i="3" a="1"/>
  <c r="O790" i="3" s="1"/>
  <c r="I790" i="3" s="1"/>
  <c r="P818" i="3" a="1"/>
  <c r="P818" i="3" s="1"/>
  <c r="P872" i="3" a="1"/>
  <c r="P872" i="3" s="1"/>
  <c r="P739" i="3" a="1"/>
  <c r="P739" i="3" s="1"/>
  <c r="P782" i="3" a="1"/>
  <c r="P782" i="3" s="1"/>
  <c r="P858" i="3" a="1"/>
  <c r="P858" i="3" s="1"/>
  <c r="O671" i="3" a="1"/>
  <c r="O671" i="3" s="1"/>
  <c r="I671" i="3" s="1"/>
  <c r="O629" i="3" a="1"/>
  <c r="O629" i="3" s="1"/>
  <c r="I629" i="3" s="1"/>
  <c r="P834" i="3" a="1"/>
  <c r="P834" i="3" s="1"/>
  <c r="O617" i="3" a="1"/>
  <c r="O617" i="3" s="1"/>
  <c r="I617" i="3" s="1"/>
  <c r="P688" i="3" a="1"/>
  <c r="P688" i="3" s="1"/>
  <c r="O776" i="3" a="1"/>
  <c r="O776" i="3" s="1"/>
  <c r="I776" i="3" s="1"/>
  <c r="O819" i="3" a="1"/>
  <c r="O819" i="3" s="1"/>
  <c r="I819" i="3" s="1"/>
  <c r="O756" i="3" a="1"/>
  <c r="O756" i="3" s="1"/>
  <c r="I756" i="3" s="1"/>
  <c r="O730" i="3" a="1"/>
  <c r="O730" i="3" s="1"/>
  <c r="I730" i="3" s="1"/>
  <c r="O828" i="3" a="1"/>
  <c r="O828" i="3" s="1"/>
  <c r="I828" i="3" s="1"/>
  <c r="P737" i="3" a="1"/>
  <c r="P737" i="3" s="1"/>
  <c r="O638" i="3" a="1"/>
  <c r="O638" i="3" s="1"/>
  <c r="I638" i="3" s="1"/>
  <c r="O795" i="3" a="1"/>
  <c r="O795" i="3" s="1"/>
  <c r="I795" i="3" s="1"/>
  <c r="O880" i="3" a="1"/>
  <c r="O880" i="3" s="1"/>
  <c r="I880" i="3" s="1"/>
  <c r="O640" i="3" a="1"/>
  <c r="O640" i="3" s="1"/>
  <c r="I640" i="3" s="1"/>
  <c r="P771" i="3" a="1"/>
  <c r="P771" i="3" s="1"/>
  <c r="P803" i="3" a="1"/>
  <c r="P803" i="3" s="1"/>
  <c r="P881" i="3" a="1"/>
  <c r="P881" i="3" s="1"/>
  <c r="P760" i="3" a="1"/>
  <c r="P760" i="3" s="1"/>
  <c r="O759" i="3" a="1"/>
  <c r="O759" i="3" s="1"/>
  <c r="I759" i="3" s="1"/>
  <c r="P837" i="3" a="1"/>
  <c r="P837" i="3" s="1"/>
  <c r="O883" i="3" a="1"/>
  <c r="O883" i="3" s="1"/>
  <c r="I883" i="3" s="1"/>
  <c r="P670" i="3" a="1"/>
  <c r="P670" i="3" s="1"/>
  <c r="P748" i="3" a="1"/>
  <c r="P748" i="3" s="1"/>
  <c r="P626" i="3" a="1"/>
  <c r="P626" i="3" s="1"/>
  <c r="P797" i="3" a="1"/>
  <c r="P797" i="3" s="1"/>
  <c r="O710" i="3" a="1"/>
  <c r="O710" i="3" s="1"/>
  <c r="I710" i="3" s="1"/>
  <c r="O622" i="3" a="1"/>
  <c r="O622" i="3" s="1"/>
  <c r="I622" i="3" s="1"/>
  <c r="P627" i="3" a="1"/>
  <c r="P627" i="3" s="1"/>
  <c r="O746" i="3" a="1"/>
  <c r="O746" i="3" s="1"/>
  <c r="I746" i="3" s="1"/>
  <c r="P631" i="3" a="1"/>
  <c r="P631" i="3" s="1"/>
  <c r="O809" i="3" a="1"/>
  <c r="O809" i="3" s="1"/>
  <c r="I809" i="3" s="1"/>
  <c r="P934" i="3" a="1"/>
  <c r="P934" i="3" s="1"/>
  <c r="O901" i="3" a="1"/>
  <c r="O901" i="3" s="1"/>
  <c r="I901" i="3" s="1"/>
  <c r="O761" i="3" a="1"/>
  <c r="O761" i="3" s="1"/>
  <c r="I761" i="3" s="1"/>
  <c r="P581" i="3" a="1"/>
  <c r="P581" i="3" s="1"/>
  <c r="O938" i="3" a="1"/>
  <c r="O938" i="3" s="1"/>
  <c r="I938" i="3" s="1"/>
  <c r="G938" i="3" s="1" a="1"/>
  <c r="G938" i="3" s="1"/>
  <c r="O646" i="3" a="1"/>
  <c r="O646" i="3" s="1"/>
  <c r="I646" i="3" s="1"/>
  <c r="P804" i="3" a="1"/>
  <c r="P804" i="3" s="1"/>
  <c r="O896" i="3" a="1"/>
  <c r="O896" i="3" s="1"/>
  <c r="I896" i="3" s="1"/>
  <c r="P795" i="3" a="1"/>
  <c r="P795" i="3" s="1"/>
  <c r="O713" i="3" a="1"/>
  <c r="O713" i="3" s="1"/>
  <c r="I713" i="3" s="1"/>
  <c r="O820" i="3" a="1"/>
  <c r="O820" i="3" s="1"/>
  <c r="I820" i="3" s="1"/>
  <c r="P646" i="3" a="1"/>
  <c r="P646" i="3" s="1"/>
  <c r="O674" i="3" a="1"/>
  <c r="O674" i="3" s="1"/>
  <c r="I674" i="3" s="1"/>
  <c r="P857" i="3" a="1"/>
  <c r="P857" i="3" s="1"/>
  <c r="O837" i="3" a="1"/>
  <c r="O837" i="3" s="1"/>
  <c r="I837" i="3" s="1"/>
  <c r="P790" i="3" a="1"/>
  <c r="P790" i="3" s="1"/>
  <c r="P820" i="3" a="1"/>
  <c r="P820" i="3" s="1"/>
  <c r="P678" i="3" a="1"/>
  <c r="P678" i="3" s="1"/>
  <c r="O844" i="3" a="1"/>
  <c r="O844" i="3" s="1"/>
  <c r="I844" i="3" s="1"/>
  <c r="O786" i="3" a="1"/>
  <c r="O786" i="3" s="1"/>
  <c r="I786" i="3" s="1"/>
  <c r="O678" i="3" a="1"/>
  <c r="O678" i="3" s="1"/>
  <c r="I678" i="3" s="1"/>
  <c r="O706" i="3" a="1"/>
  <c r="O706" i="3" s="1"/>
  <c r="I706" i="3" s="1"/>
  <c r="O670" i="3" a="1"/>
  <c r="O670" i="3" s="1"/>
  <c r="I670" i="3" s="1"/>
  <c r="P917" i="3" a="1"/>
  <c r="P917" i="3" s="1"/>
  <c r="O835" i="3" a="1"/>
  <c r="O835" i="3" s="1"/>
  <c r="I835" i="3" s="1"/>
  <c r="O813" i="3" a="1"/>
  <c r="O813" i="3" s="1"/>
  <c r="I813" i="3" s="1"/>
  <c r="O579" i="3" a="1"/>
  <c r="O579" i="3" s="1"/>
  <c r="I579" i="3" s="1"/>
  <c r="P583" i="3" a="1"/>
  <c r="P583" i="3" s="1"/>
  <c r="P812" i="3" a="1"/>
  <c r="P812" i="3" s="1"/>
  <c r="P693" i="3" a="1"/>
  <c r="P693" i="3" s="1"/>
  <c r="O608" i="3" a="1"/>
  <c r="O608" i="3" s="1"/>
  <c r="I608" i="3" s="1"/>
  <c r="O762" i="3" a="1"/>
  <c r="O762" i="3" s="1"/>
  <c r="I762" i="3" s="1"/>
  <c r="O860" i="3" a="1"/>
  <c r="O860" i="3" s="1"/>
  <c r="I860" i="3" s="1"/>
  <c r="O925" i="3" a="1"/>
  <c r="O925" i="3" s="1"/>
  <c r="I925" i="3" s="1"/>
  <c r="O645" i="3" a="1"/>
  <c r="O645" i="3" s="1"/>
  <c r="I645" i="3" s="1"/>
  <c r="P783" i="3" a="1"/>
  <c r="P783" i="3" s="1"/>
  <c r="O848" i="3" a="1"/>
  <c r="O848" i="3" s="1"/>
  <c r="I848" i="3" s="1"/>
  <c r="O627" i="3" a="1"/>
  <c r="O627" i="3" s="1"/>
  <c r="I627" i="3" s="1"/>
  <c r="P732" i="3" a="1"/>
  <c r="P732" i="3" s="1"/>
  <c r="O804" i="3" a="1"/>
  <c r="O804" i="3" s="1"/>
  <c r="I804" i="3" s="1"/>
  <c r="P876" i="3" a="1"/>
  <c r="P876" i="3" s="1"/>
  <c r="P650" i="3" a="1"/>
  <c r="P650" i="3" s="1"/>
  <c r="O920" i="3" a="1"/>
  <c r="O920" i="3" s="1"/>
  <c r="I920" i="3" s="1"/>
  <c r="O600" i="3" a="1"/>
  <c r="O600" i="3" s="1"/>
  <c r="I600" i="3" s="1"/>
  <c r="P764" i="3" a="1"/>
  <c r="P764" i="3" s="1"/>
  <c r="P703" i="3" a="1"/>
  <c r="P703" i="3" s="1"/>
  <c r="O861" i="3" a="1"/>
  <c r="O861" i="3" s="1"/>
  <c r="I861" i="3" s="1"/>
  <c r="P594" i="3" a="1"/>
  <c r="P594" i="3" s="1"/>
  <c r="O580" i="3" a="1"/>
  <c r="O580" i="3" s="1"/>
  <c r="I580" i="3" s="1"/>
  <c r="O903" i="3" a="1"/>
  <c r="O903" i="3" s="1"/>
  <c r="I903" i="3" s="1"/>
  <c r="P802" i="3" a="1"/>
  <c r="P802" i="3" s="1"/>
  <c r="O895" i="3" a="1"/>
  <c r="O895" i="3" s="1"/>
  <c r="I895" i="3" s="1"/>
  <c r="O881" i="3" a="1"/>
  <c r="O881" i="3" s="1"/>
  <c r="I881" i="3" s="1"/>
  <c r="O748" i="3" a="1"/>
  <c r="O748" i="3" s="1"/>
  <c r="I748" i="3" s="1"/>
  <c r="P912" i="3" a="1"/>
  <c r="P912" i="3" s="1"/>
  <c r="P918" i="3" a="1"/>
  <c r="P918" i="3" s="1"/>
  <c r="O626" i="3" a="1"/>
  <c r="O626" i="3" s="1"/>
  <c r="I626" i="3" s="1"/>
  <c r="P784" i="3" a="1"/>
  <c r="P784" i="3" s="1"/>
  <c r="O935" i="3" a="1"/>
  <c r="O935" i="3" s="1"/>
  <c r="I935" i="3" s="1"/>
  <c r="O782" i="3" a="1"/>
  <c r="O782" i="3" s="1"/>
  <c r="I782" i="3" s="1"/>
  <c r="O652" i="3" a="1"/>
  <c r="O652" i="3" s="1"/>
  <c r="I652" i="3" s="1"/>
  <c r="O642" i="3" a="1"/>
  <c r="O642" i="3" s="1"/>
  <c r="I642" i="3" s="1"/>
  <c r="P905" i="3" a="1"/>
  <c r="P905" i="3" s="1"/>
  <c r="P697" i="3" a="1"/>
  <c r="P697" i="3" s="1"/>
  <c r="P734" i="3" a="1"/>
  <c r="P734" i="3" s="1"/>
  <c r="P813" i="3" a="1"/>
  <c r="P813" i="3" s="1"/>
  <c r="P920" i="3" a="1"/>
  <c r="P920" i="3" s="1"/>
  <c r="O904" i="3" a="1"/>
  <c r="O904" i="3" s="1"/>
  <c r="I904" i="3" s="1"/>
  <c r="P856" i="3" a="1"/>
  <c r="P856" i="3" s="1"/>
  <c r="P926" i="3" a="1"/>
  <c r="P926" i="3" s="1"/>
  <c r="O715" i="3" a="1"/>
  <c r="O715" i="3" s="1"/>
  <c r="I715" i="3" s="1"/>
  <c r="P878" i="3" a="1"/>
  <c r="P878" i="3" s="1"/>
  <c r="O841" i="3" a="1"/>
  <c r="O841" i="3" s="1"/>
  <c r="I841" i="3" s="1"/>
  <c r="P832" i="3" a="1"/>
  <c r="P832" i="3" s="1"/>
  <c r="P908" i="3" a="1"/>
  <c r="P908" i="3" s="1"/>
  <c r="O845" i="3" a="1"/>
  <c r="O845" i="3" s="1"/>
  <c r="I845" i="3" s="1"/>
  <c r="O596" i="3" a="1"/>
  <c r="O596" i="3" s="1"/>
  <c r="I596" i="3" s="1"/>
  <c r="P721" i="3" a="1"/>
  <c r="P721" i="3" s="1"/>
  <c r="O800" i="3" a="1"/>
  <c r="O800" i="3" s="1"/>
  <c r="I800" i="3" s="1"/>
  <c r="P757" i="3" a="1"/>
  <c r="P757" i="3" s="1"/>
  <c r="O843" i="3" a="1"/>
  <c r="O843" i="3" s="1"/>
  <c r="I843" i="3" s="1"/>
  <c r="O751" i="3" a="1"/>
  <c r="O751" i="3" s="1"/>
  <c r="I751" i="3" s="1"/>
  <c r="P724" i="3" a="1"/>
  <c r="P724" i="3" s="1"/>
  <c r="P800" i="3" a="1"/>
  <c r="P800" i="3" s="1"/>
  <c r="O889" i="3" a="1"/>
  <c r="O889" i="3" s="1"/>
  <c r="I889" i="3" s="1"/>
  <c r="O639" i="3" a="1"/>
  <c r="O639" i="3" s="1"/>
  <c r="I639" i="3" s="1"/>
  <c r="P728" i="3" a="1"/>
  <c r="P728" i="3" s="1"/>
  <c r="P817" i="3" a="1"/>
  <c r="P817" i="3" s="1"/>
  <c r="O838" i="3" a="1"/>
  <c r="O838" i="3" s="1"/>
  <c r="I838" i="3" s="1"/>
  <c r="P836" i="3" a="1"/>
  <c r="P836" i="3" s="1"/>
  <c r="O689" i="3" a="1"/>
  <c r="O689" i="3" s="1"/>
  <c r="I689" i="3" s="1"/>
  <c r="P833" i="3" a="1"/>
  <c r="P833" i="3" s="1"/>
  <c r="O899" i="3" a="1"/>
  <c r="O899" i="3" s="1"/>
  <c r="I899" i="3" s="1"/>
  <c r="O884" i="3" a="1"/>
  <c r="O884" i="3" s="1"/>
  <c r="I884" i="3" s="1"/>
  <c r="O777" i="3" a="1"/>
  <c r="O777" i="3" s="1"/>
  <c r="I777" i="3" s="1"/>
  <c r="P821" i="3" a="1"/>
  <c r="P821" i="3" s="1"/>
  <c r="P587" i="3" a="1"/>
  <c r="P587" i="3" s="1"/>
  <c r="J587" i="3" s="1"/>
  <c r="O606" i="3" a="1"/>
  <c r="O606" i="3" s="1"/>
  <c r="I606" i="3" s="1"/>
  <c r="O771" i="3" a="1"/>
  <c r="O771" i="3" s="1"/>
  <c r="I771" i="3" s="1"/>
  <c r="O863" i="3" a="1"/>
  <c r="O863" i="3" s="1"/>
  <c r="I863" i="3" s="1"/>
  <c r="O637" i="3" a="1"/>
  <c r="O637" i="3" s="1"/>
  <c r="I637" i="3" s="1"/>
  <c r="O595" i="3" a="1"/>
  <c r="O595" i="3" s="1"/>
  <c r="I595" i="3" s="1"/>
  <c r="O832" i="3" a="1"/>
  <c r="O832" i="3" s="1"/>
  <c r="I832" i="3" s="1"/>
  <c r="P916" i="3" a="1"/>
  <c r="P916" i="3" s="1"/>
  <c r="O690" i="3" a="1"/>
  <c r="O690" i="3" s="1"/>
  <c r="I690" i="3" s="1"/>
  <c r="O735" i="3" a="1"/>
  <c r="O735" i="3" s="1"/>
  <c r="I735" i="3" s="1"/>
  <c r="P773" i="3" a="1"/>
  <c r="P773" i="3" s="1"/>
  <c r="O911" i="3" a="1"/>
  <c r="O911" i="3" s="1"/>
  <c r="I911" i="3" s="1"/>
  <c r="O817" i="3" a="1"/>
  <c r="O817" i="3" s="1"/>
  <c r="I817" i="3" s="1"/>
  <c r="O789" i="3" a="1"/>
  <c r="O789" i="3" s="1"/>
  <c r="I789" i="3" s="1"/>
  <c r="P888" i="3" a="1"/>
  <c r="P888" i="3" s="1"/>
  <c r="P854" i="3" a="1"/>
  <c r="P854" i="3" s="1"/>
  <c r="P880" i="3" a="1"/>
  <c r="P880" i="3" s="1"/>
  <c r="P866" i="3" a="1"/>
  <c r="P866" i="3" s="1"/>
  <c r="O905" i="3" a="1"/>
  <c r="O905" i="3" s="1"/>
  <c r="I905" i="3" s="1"/>
  <c r="P924" i="3" a="1"/>
  <c r="P924" i="3" s="1"/>
  <c r="O745" i="3" a="1"/>
  <c r="O745" i="3" s="1"/>
  <c r="I745" i="3" s="1"/>
  <c r="O915" i="3" a="1"/>
  <c r="O915" i="3" s="1"/>
  <c r="I915" i="3" s="1"/>
  <c r="O769" i="3" a="1"/>
  <c r="O769" i="3" s="1"/>
  <c r="I769" i="3" s="1"/>
  <c r="P793" i="3" a="1"/>
  <c r="P793" i="3" s="1"/>
  <c r="O917" i="3" a="1"/>
  <c r="O917" i="3" s="1"/>
  <c r="I917" i="3" s="1"/>
  <c r="O906" i="3" a="1"/>
  <c r="O906" i="3" s="1"/>
  <c r="I906" i="3" s="1"/>
  <c r="O874" i="3" a="1"/>
  <c r="O874" i="3" s="1"/>
  <c r="I874" i="3" s="1"/>
  <c r="O632" i="3" a="1"/>
  <c r="O632" i="3" s="1"/>
  <c r="I632" i="3" s="1"/>
  <c r="O661" i="3" a="1"/>
  <c r="O661" i="3" s="1"/>
  <c r="I661" i="3" s="1"/>
  <c r="P936" i="3" a="1"/>
  <c r="P936" i="3" s="1"/>
  <c r="P729" i="3" a="1"/>
  <c r="P729" i="3" s="1"/>
  <c r="P662" i="3" a="1"/>
  <c r="P662" i="3" s="1"/>
  <c r="P770" i="3" a="1"/>
  <c r="P770" i="3" s="1"/>
  <c r="P859" i="3" a="1"/>
  <c r="P859" i="3" s="1"/>
  <c r="P691" i="3" a="1"/>
  <c r="P691" i="3" s="1"/>
  <c r="P630" i="3" a="1"/>
  <c r="P630" i="3" s="1"/>
  <c r="P683" i="3" a="1"/>
  <c r="P683" i="3" s="1"/>
  <c r="O747" i="3" a="1"/>
  <c r="O747" i="3" s="1"/>
  <c r="I747" i="3" s="1"/>
  <c r="P868" i="3" a="1"/>
  <c r="P868" i="3" s="1"/>
  <c r="O833" i="3" a="1"/>
  <c r="O833" i="3" s="1"/>
  <c r="I833" i="3" s="1"/>
  <c r="P762" i="3" a="1"/>
  <c r="P762" i="3" s="1"/>
  <c r="O806" i="3" a="1"/>
  <c r="O806" i="3" s="1"/>
  <c r="I806" i="3" s="1"/>
  <c r="P823" i="3" a="1"/>
  <c r="P823" i="3" s="1"/>
  <c r="P756" i="3" a="1"/>
  <c r="P756" i="3" s="1"/>
  <c r="O839" i="3" a="1"/>
  <c r="O839" i="3" s="1"/>
  <c r="I839" i="3" s="1"/>
  <c r="P871" i="3" a="1"/>
  <c r="P871" i="3" s="1"/>
  <c r="P767" i="3" a="1"/>
  <c r="P767" i="3" s="1"/>
  <c r="P720" i="3" a="1"/>
  <c r="P720" i="3" s="1"/>
  <c r="O821" i="3" a="1"/>
  <c r="O821" i="3" s="1"/>
  <c r="I821" i="3" s="1"/>
  <c r="P838" i="3" a="1"/>
  <c r="P838" i="3" s="1"/>
  <c r="P663" i="3" a="1"/>
  <c r="P663" i="3" s="1"/>
  <c r="P628" i="3" a="1"/>
  <c r="P628" i="3" s="1"/>
  <c r="O780" i="3" a="1"/>
  <c r="O780" i="3" s="1"/>
  <c r="I780" i="3" s="1"/>
  <c r="O602" i="3" a="1"/>
  <c r="O602" i="3" s="1"/>
  <c r="I602" i="3" s="1"/>
  <c r="P610" i="3" a="1"/>
  <c r="P610" i="3" s="1"/>
  <c r="P675" i="3" a="1"/>
  <c r="P675" i="3" s="1"/>
  <c r="O727" i="3" a="1"/>
  <c r="O727" i="3" s="1"/>
  <c r="I727" i="3" s="1"/>
  <c r="P751" i="3" a="1"/>
  <c r="P751" i="3" s="1"/>
  <c r="O591" i="3" a="1"/>
  <c r="O591" i="3" s="1"/>
  <c r="I591" i="3" s="1"/>
  <c r="O879" i="3" a="1"/>
  <c r="O879" i="3" s="1"/>
  <c r="I879" i="3" s="1"/>
  <c r="O725" i="3" a="1"/>
  <c r="O725" i="3" s="1"/>
  <c r="I725" i="3" s="1"/>
  <c r="P796" i="3" a="1"/>
  <c r="P796" i="3" s="1"/>
  <c r="P781" i="3" a="1"/>
  <c r="P781" i="3" s="1"/>
  <c r="P612" i="3" a="1"/>
  <c r="P612" i="3" s="1"/>
  <c r="O796" i="3" a="1"/>
  <c r="O796" i="3" s="1"/>
  <c r="I796" i="3" s="1"/>
  <c r="P887" i="3" a="1"/>
  <c r="P887" i="3" s="1"/>
  <c r="P633" i="3" a="1"/>
  <c r="P633" i="3" s="1"/>
  <c r="O691" i="3" a="1"/>
  <c r="O691" i="3" s="1"/>
  <c r="I691" i="3" s="1"/>
  <c r="O683" i="3" a="1"/>
  <c r="O683" i="3" s="1"/>
  <c r="I683" i="3" s="1"/>
  <c r="O682" i="3" a="1"/>
  <c r="O682" i="3" s="1"/>
  <c r="I682" i="3" s="1"/>
  <c r="O681" i="3" a="1"/>
  <c r="O681" i="3" s="1"/>
  <c r="I681" i="3" s="1"/>
  <c r="O866" i="3" a="1"/>
  <c r="O866" i="3" s="1"/>
  <c r="I866" i="3" s="1"/>
  <c r="O659" i="3" a="1"/>
  <c r="O659" i="3" s="1"/>
  <c r="I659" i="3" s="1"/>
  <c r="P611" i="3" a="1"/>
  <c r="P611" i="3" s="1"/>
  <c r="O736" i="3" a="1"/>
  <c r="O736" i="3" s="1"/>
  <c r="I736" i="3" s="1"/>
  <c r="P846" i="3" a="1"/>
  <c r="P846" i="3" s="1"/>
  <c r="P749" i="3" a="1"/>
  <c r="P749" i="3" s="1"/>
  <c r="P618" i="3" a="1"/>
  <c r="P618" i="3" s="1"/>
  <c r="P620" i="3" a="1"/>
  <c r="P620" i="3" s="1"/>
  <c r="O585" i="3" a="1"/>
  <c r="O585" i="3" s="1"/>
  <c r="I585" i="3" s="1"/>
  <c r="O704" i="3" a="1"/>
  <c r="O704" i="3" s="1"/>
  <c r="I704" i="3" s="1"/>
  <c r="P776" i="3" a="1"/>
  <c r="P776" i="3" s="1"/>
  <c r="P850" i="3" a="1"/>
  <c r="P850" i="3" s="1"/>
  <c r="O618" i="3" a="1"/>
  <c r="O618" i="3" s="1"/>
  <c r="I618" i="3" s="1"/>
  <c r="O650" i="3" a="1"/>
  <c r="O650" i="3" s="1"/>
  <c r="I650" i="3" s="1"/>
  <c r="P636" i="3" a="1"/>
  <c r="P636" i="3" s="1"/>
  <c r="O898" i="3" a="1"/>
  <c r="O898" i="3" s="1"/>
  <c r="I898" i="3" s="1"/>
  <c r="P641" i="3" a="1"/>
  <c r="P641" i="3" s="1"/>
  <c r="P874" i="3" a="1"/>
  <c r="P874" i="3" s="1"/>
  <c r="O770" i="3" a="1"/>
  <c r="O770" i="3" s="1"/>
  <c r="I770" i="3" s="1"/>
  <c r="O834" i="3" a="1"/>
  <c r="O834" i="3" s="1"/>
  <c r="I834" i="3" s="1"/>
  <c r="O654" i="3" a="1"/>
  <c r="O654" i="3" s="1"/>
  <c r="I654" i="3" s="1"/>
  <c r="O929" i="3" a="1"/>
  <c r="O929" i="3" s="1"/>
  <c r="I929" i="3" s="1"/>
  <c r="P792" i="3" a="1"/>
  <c r="P792" i="3" s="1"/>
  <c r="O855" i="3" a="1"/>
  <c r="O855" i="3" s="1"/>
  <c r="I855" i="3" s="1"/>
  <c r="P884" i="3" a="1"/>
  <c r="P884" i="3" s="1"/>
  <c r="P807" i="3" a="1"/>
  <c r="P807" i="3" s="1"/>
  <c r="P772" i="3" a="1"/>
  <c r="P772" i="3" s="1"/>
  <c r="O937" i="3" a="1"/>
  <c r="O937" i="3" s="1"/>
  <c r="I937" i="3" s="1"/>
  <c r="O913" i="3" a="1"/>
  <c r="O913" i="3" s="1"/>
  <c r="I913" i="3" s="1"/>
  <c r="P603" i="3" a="1"/>
  <c r="P603" i="3" s="1"/>
  <c r="P779" i="3" a="1"/>
  <c r="P779" i="3" s="1"/>
  <c r="P893" i="3" a="1"/>
  <c r="P893" i="3" s="1"/>
  <c r="O688" i="3" a="1"/>
  <c r="O688" i="3" s="1"/>
  <c r="I688" i="3" s="1"/>
  <c r="O897" i="3" a="1"/>
  <c r="O897" i="3" s="1"/>
  <c r="I897" i="3" s="1"/>
  <c r="O887" i="3" a="1"/>
  <c r="O887" i="3" s="1"/>
  <c r="I887" i="3" s="1"/>
  <c r="O695" i="3" a="1"/>
  <c r="O695" i="3" s="1"/>
  <c r="I695" i="3" s="1"/>
  <c r="O869" i="3" a="1"/>
  <c r="O869" i="3" s="1"/>
  <c r="I869" i="3" s="1"/>
  <c r="P805" i="3" a="1"/>
  <c r="P805" i="3" s="1"/>
  <c r="P659" i="3" a="1"/>
  <c r="P659" i="3" s="1"/>
  <c r="P738" i="3" a="1"/>
  <c r="P738" i="3" s="1"/>
  <c r="P788" i="3" a="1"/>
  <c r="P788" i="3" s="1"/>
  <c r="P745" i="3" a="1"/>
  <c r="P745" i="3" s="1"/>
  <c r="P615" i="3" a="1"/>
  <c r="P615" i="3" s="1"/>
  <c r="O886" i="3" a="1"/>
  <c r="O886" i="3" s="1"/>
  <c r="I886" i="3" s="1"/>
  <c r="P731" i="3" a="1"/>
  <c r="P731" i="3" s="1"/>
  <c r="O578" i="3" a="1"/>
  <c r="O578" i="3" s="1"/>
  <c r="I578" i="3" s="1"/>
  <c r="O693" i="3" a="1"/>
  <c r="O693" i="3" s="1"/>
  <c r="I693" i="3" s="1"/>
  <c r="P698" i="3" a="1"/>
  <c r="P698" i="3" s="1"/>
  <c r="O783" i="3" a="1"/>
  <c r="O783" i="3" s="1"/>
  <c r="I783" i="3" s="1"/>
  <c r="P695" i="3" a="1"/>
  <c r="P695" i="3" s="1"/>
  <c r="P586" i="3" a="1"/>
  <c r="P586" i="3" s="1"/>
  <c r="P789" i="3" a="1"/>
  <c r="P789" i="3" s="1"/>
  <c r="O854" i="3" a="1"/>
  <c r="O854" i="3" s="1"/>
  <c r="I854" i="3" s="1"/>
  <c r="P852" i="3" a="1"/>
  <c r="P852" i="3" s="1"/>
  <c r="P664" i="3" a="1"/>
  <c r="P664" i="3" s="1"/>
  <c r="O663" i="3" a="1"/>
  <c r="O663" i="3" s="1"/>
  <c r="I663" i="3" s="1"/>
  <c r="P655" i="3" a="1"/>
  <c r="P655" i="3" s="1"/>
  <c r="P634" i="3" a="1"/>
  <c r="P634" i="3" s="1"/>
  <c r="P819" i="3" a="1"/>
  <c r="P819" i="3" s="1"/>
  <c r="P652" i="3" a="1"/>
  <c r="P652" i="3" s="1"/>
  <c r="P598" i="3" a="1"/>
  <c r="P598" i="3" s="1"/>
  <c r="O716" i="3" a="1"/>
  <c r="O716" i="3" s="1"/>
  <c r="I716" i="3" s="1"/>
  <c r="O867" i="3" a="1"/>
  <c r="O867" i="3" s="1"/>
  <c r="I867" i="3" s="1"/>
  <c r="P765" i="3" a="1"/>
  <c r="P765" i="3" s="1"/>
  <c r="O598" i="3" a="1"/>
  <c r="O598" i="3" s="1"/>
  <c r="I598" i="3" s="1"/>
  <c r="O811" i="3" a="1"/>
  <c r="O811" i="3" s="1"/>
  <c r="I811" i="3" s="1"/>
  <c r="O702" i="3" a="1"/>
  <c r="O702" i="3" s="1"/>
  <c r="I702" i="3" s="1"/>
  <c r="O768" i="3" a="1"/>
  <c r="O768" i="3" s="1"/>
  <c r="I768" i="3" s="1"/>
  <c r="O668" i="3" a="1"/>
  <c r="O668" i="3" s="1"/>
  <c r="I668" i="3" s="1"/>
  <c r="P894" i="3" a="1"/>
  <c r="P894" i="3" s="1"/>
  <c r="P750" i="3" a="1"/>
  <c r="P750" i="3" s="1"/>
  <c r="P588" i="3" a="1"/>
  <c r="P588" i="3" s="1"/>
  <c r="P919" i="3" a="1"/>
  <c r="P919" i="3" s="1"/>
  <c r="P689" i="3" a="1"/>
  <c r="P689" i="3" s="1"/>
  <c r="O630" i="3" a="1"/>
  <c r="O630" i="3" s="1"/>
  <c r="I630" i="3" s="1"/>
  <c r="O700" i="3" a="1"/>
  <c r="O700" i="3" s="1"/>
  <c r="I700" i="3" s="1"/>
  <c r="O737" i="3" a="1"/>
  <c r="O737" i="3" s="1"/>
  <c r="I737" i="3" s="1"/>
  <c r="O933" i="3" a="1"/>
  <c r="O933" i="3" s="1"/>
  <c r="I933" i="3" s="1"/>
  <c r="O781" i="3" a="1"/>
  <c r="O781" i="3" s="1"/>
  <c r="I781" i="3" s="1"/>
  <c r="O731" i="3" a="1"/>
  <c r="O731" i="3" s="1"/>
  <c r="I731" i="3" s="1"/>
  <c r="O810" i="3" a="1"/>
  <c r="O810" i="3" s="1"/>
  <c r="I810" i="3" s="1"/>
  <c r="O589" i="3" a="1"/>
  <c r="O589" i="3" s="1"/>
  <c r="I589" i="3" s="1"/>
  <c r="O587" i="3" a="1"/>
  <c r="O587" i="3" s="1"/>
  <c r="I587" i="3" s="1"/>
  <c r="O651" i="3" a="1"/>
  <c r="O651" i="3" s="1"/>
  <c r="I651" i="3" s="1"/>
  <c r="O873" i="3" a="1"/>
  <c r="O873" i="3" s="1"/>
  <c r="I873" i="3" s="1"/>
  <c r="P891" i="3" a="1"/>
  <c r="P891" i="3" s="1"/>
  <c r="P853" i="3" a="1"/>
  <c r="P853" i="3" s="1"/>
  <c r="P649" i="3" a="1"/>
  <c r="P649" i="3" s="1"/>
  <c r="O738" i="3" a="1"/>
  <c r="O738" i="3" s="1"/>
  <c r="I738" i="3" s="1"/>
  <c r="O631" i="3" a="1"/>
  <c r="O631" i="3" s="1"/>
  <c r="I631" i="3" s="1"/>
  <c r="P679" i="3" a="1"/>
  <c r="P679" i="3" s="1"/>
  <c r="P864" i="3" a="1"/>
  <c r="P864" i="3" s="1"/>
  <c r="O590" i="3" a="1"/>
  <c r="O590" i="3" s="1"/>
  <c r="I590" i="3" s="1"/>
  <c r="O798" i="3" a="1"/>
  <c r="O798" i="3" s="1"/>
  <c r="I798" i="3" s="1"/>
  <c r="O778" i="3" a="1"/>
  <c r="O778" i="3" s="1"/>
  <c r="I778" i="3" s="1"/>
  <c r="P929" i="3" a="1"/>
  <c r="P929" i="3" s="1"/>
  <c r="O697" i="3" a="1"/>
  <c r="O697" i="3" s="1"/>
  <c r="I697" i="3" s="1"/>
  <c r="P778" i="3" a="1"/>
  <c r="P778" i="3" s="1"/>
  <c r="O733" i="3" a="1"/>
  <c r="O733" i="3" s="1"/>
  <c r="I733" i="3" s="1"/>
  <c r="P602" i="3" a="1"/>
  <c r="P602" i="3" s="1"/>
  <c r="O846" i="3" a="1"/>
  <c r="O846" i="3" s="1"/>
  <c r="I846" i="3" s="1"/>
  <c r="O698" i="3" a="1"/>
  <c r="O698" i="3" s="1"/>
  <c r="I698" i="3" s="1"/>
  <c r="P828" i="3" a="1"/>
  <c r="P828" i="3" s="1"/>
  <c r="P666" i="3" a="1"/>
  <c r="P666" i="3" s="1"/>
  <c r="O930" i="3" a="1"/>
  <c r="O930" i="3" s="1"/>
  <c r="I930" i="3" s="1"/>
  <c r="P763" i="3" a="1"/>
  <c r="P763" i="3" s="1"/>
  <c r="O662" i="3" a="1"/>
  <c r="O662" i="3" s="1"/>
  <c r="I662" i="3" s="1"/>
  <c r="P851" i="3" a="1"/>
  <c r="P851" i="3" s="1"/>
  <c r="O763" i="3" a="1"/>
  <c r="O763" i="3" s="1"/>
  <c r="I763" i="3" s="1"/>
  <c r="P787" i="3" a="1"/>
  <c r="P787" i="3" s="1"/>
  <c r="O633" i="3" a="1"/>
  <c r="O633" i="3" s="1"/>
  <c r="I633" i="3" s="1"/>
  <c r="O936" i="3" a="1"/>
  <c r="O936" i="3" s="1"/>
  <c r="I936" i="3" s="1"/>
  <c r="P656" i="3" a="1"/>
  <c r="P656" i="3" s="1"/>
  <c r="P814" i="3" a="1"/>
  <c r="P814" i="3" s="1"/>
  <c r="P614" i="3" a="1"/>
  <c r="P614" i="3" s="1"/>
  <c r="O760" i="3" a="1"/>
  <c r="O760" i="3" s="1"/>
  <c r="I760" i="3" s="1"/>
  <c r="P632" i="3" a="1"/>
  <c r="P632" i="3" s="1"/>
  <c r="P890" i="3" a="1"/>
  <c r="P890" i="3" s="1"/>
  <c r="P709" i="3" a="1"/>
  <c r="P709" i="3" s="1"/>
  <c r="O660" i="3" a="1"/>
  <c r="O660" i="3" s="1"/>
  <c r="I660" i="3" s="1"/>
  <c r="P708" i="3" a="1"/>
  <c r="P708" i="3" s="1"/>
  <c r="O657" i="3" a="1"/>
  <c r="O657" i="3" s="1"/>
  <c r="I657" i="3" s="1"/>
  <c r="O723" i="3" a="1"/>
  <c r="O723" i="3" s="1"/>
  <c r="I723" i="3" s="1"/>
  <c r="O893" i="3" a="1"/>
  <c r="O893" i="3" s="1"/>
  <c r="I893" i="3" s="1"/>
  <c r="O724" i="3" a="1"/>
  <c r="O724" i="3" s="1"/>
  <c r="I724" i="3" s="1"/>
  <c r="O653" i="3" a="1"/>
  <c r="O653" i="3" s="1"/>
  <c r="I653" i="3" s="1"/>
  <c r="O808" i="3" a="1"/>
  <c r="O808" i="3" s="1"/>
  <c r="I808" i="3" s="1"/>
  <c r="P733" i="3" a="1"/>
  <c r="P733" i="3" s="1"/>
  <c r="P687" i="3" a="1"/>
  <c r="P687" i="3" s="1"/>
  <c r="P883" i="3" a="1"/>
  <c r="P883" i="3" s="1"/>
  <c r="O799" i="3" a="1"/>
  <c r="O799" i="3" s="1"/>
  <c r="I799" i="3" s="1"/>
  <c r="O875" i="3" a="1"/>
  <c r="O875" i="3" s="1"/>
  <c r="I875" i="3" s="1"/>
  <c r="O740" i="3" a="1"/>
  <c r="O740" i="3" s="1"/>
  <c r="I740" i="3" s="1"/>
  <c r="P810" i="3" a="1"/>
  <c r="P810" i="3" s="1"/>
  <c r="O812" i="3" a="1"/>
  <c r="O812" i="3" s="1"/>
  <c r="I812" i="3" s="1"/>
  <c r="O599" i="3" a="1"/>
  <c r="O599" i="3" s="1"/>
  <c r="I599" i="3" s="1"/>
  <c r="O918" i="3" a="1"/>
  <c r="O918" i="3" s="1"/>
  <c r="I918" i="3" s="1"/>
  <c r="O900" i="3" a="1"/>
  <c r="O900" i="3" s="1"/>
  <c r="I900" i="3" s="1"/>
  <c r="P669" i="3" a="1"/>
  <c r="P669" i="3" s="1"/>
  <c r="O825" i="3" a="1"/>
  <c r="O825" i="3" s="1"/>
  <c r="I825" i="3" s="1"/>
  <c r="O684" i="3" a="1"/>
  <c r="O684" i="3" s="1"/>
  <c r="I684" i="3" s="1"/>
  <c r="P593" i="3" a="1"/>
  <c r="P593" i="3" s="1"/>
  <c r="O923" i="3" a="1"/>
  <c r="O923" i="3" s="1"/>
  <c r="I923" i="3" s="1"/>
  <c r="P623" i="3" a="1"/>
  <c r="P623" i="3" s="1"/>
  <c r="P761" i="3" a="1"/>
  <c r="P761" i="3" s="1"/>
  <c r="J761" i="3" s="1"/>
  <c r="P882" i="3" a="1"/>
  <c r="P882" i="3" s="1"/>
  <c r="P931" i="3" a="1"/>
  <c r="P931" i="3" s="1"/>
  <c r="P786" i="3" a="1"/>
  <c r="P786" i="3" s="1"/>
  <c r="O858" i="3" a="1"/>
  <c r="O858" i="3" s="1"/>
  <c r="I858" i="3" s="1"/>
  <c r="O714" i="3" a="1"/>
  <c r="O714" i="3" s="1"/>
  <c r="I714" i="3" s="1"/>
  <c r="O636" i="3" a="1"/>
  <c r="O636" i="3" s="1"/>
  <c r="I636" i="3" s="1"/>
  <c r="O842" i="3" a="1"/>
  <c r="O842" i="3" s="1"/>
  <c r="I842" i="3" s="1"/>
  <c r="P661" i="3" a="1"/>
  <c r="P661" i="3" s="1"/>
  <c r="O877" i="3" a="1"/>
  <c r="O877" i="3" s="1"/>
  <c r="I877" i="3" s="1"/>
  <c r="P860" i="3" a="1"/>
  <c r="P860" i="3" s="1"/>
  <c r="O675" i="3" a="1"/>
  <c r="O675" i="3" s="1"/>
  <c r="I675" i="3" s="1"/>
  <c r="P629" i="3" a="1"/>
  <c r="P629" i="3" s="1"/>
  <c r="O927" i="3" a="1"/>
  <c r="O927" i="3" s="1"/>
  <c r="I927" i="3" s="1"/>
  <c r="P753" i="3" a="1"/>
  <c r="P753" i="3" s="1"/>
  <c r="P671" i="3" a="1"/>
  <c r="P671" i="3" s="1"/>
  <c r="O749" i="3" a="1"/>
  <c r="O749" i="3" s="1"/>
  <c r="I749" i="3" s="1"/>
  <c r="P911" i="3" a="1"/>
  <c r="P911" i="3" s="1"/>
  <c r="P897" i="3" a="1"/>
  <c r="P897" i="3" s="1"/>
  <c r="O757" i="3" a="1"/>
  <c r="O757" i="3" s="1"/>
  <c r="I757" i="3" s="1"/>
  <c r="O754" i="3" a="1"/>
  <c r="O754" i="3" s="1"/>
  <c r="I754" i="3" s="1"/>
  <c r="O818" i="3" a="1"/>
  <c r="O818" i="3" s="1"/>
  <c r="I818" i="3" s="1"/>
  <c r="O750" i="3" a="1"/>
  <c r="O750" i="3" s="1"/>
  <c r="I750" i="3" s="1"/>
  <c r="P621" i="3" a="1"/>
  <c r="P621" i="3" s="1"/>
  <c r="O613" i="3" a="1"/>
  <c r="O613" i="3" s="1"/>
  <c r="I613" i="3" s="1"/>
  <c r="P909" i="3" a="1"/>
  <c r="P909" i="3" s="1"/>
  <c r="O643" i="3" a="1"/>
  <c r="O643" i="3" s="1"/>
  <c r="I643" i="3" s="1"/>
  <c r="O801" i="3" a="1"/>
  <c r="O801" i="3" s="1"/>
  <c r="I801" i="3" s="1"/>
  <c r="O926" i="3" a="1"/>
  <c r="O926" i="3" s="1"/>
  <c r="I926" i="3" s="1"/>
  <c r="O720" i="3" a="1"/>
  <c r="O720" i="3" s="1"/>
  <c r="I720" i="3" s="1"/>
  <c r="O924" i="3" a="1"/>
  <c r="O924" i="3" s="1"/>
  <c r="I924" i="3" s="1"/>
  <c r="P777" i="3" a="1"/>
  <c r="P777" i="3" s="1"/>
  <c r="O696" i="3" a="1"/>
  <c r="O696" i="3" s="1"/>
  <c r="I696" i="3" s="1"/>
  <c r="P870" i="3" a="1"/>
  <c r="P870" i="3" s="1"/>
  <c r="O584" i="3" a="1"/>
  <c r="O584" i="3" s="1"/>
  <c r="I584" i="3" s="1"/>
  <c r="P927" i="3" a="1"/>
  <c r="P927" i="3" s="1"/>
  <c r="P845" i="3" a="1"/>
  <c r="P845" i="3" s="1"/>
  <c r="O672" i="3" a="1"/>
  <c r="O672" i="3" s="1"/>
  <c r="I672" i="3" s="1"/>
  <c r="P580" i="3" a="1"/>
  <c r="P580" i="3" s="1"/>
  <c r="P794" i="3" a="1"/>
  <c r="P794" i="3" s="1"/>
  <c r="P744" i="3" a="1"/>
  <c r="P744" i="3" s="1"/>
  <c r="O853" i="3" a="1"/>
  <c r="O853" i="3" s="1"/>
  <c r="I853" i="3" s="1"/>
  <c r="O605" i="3" a="1"/>
  <c r="O605" i="3" s="1"/>
  <c r="I605" i="3" s="1"/>
  <c r="P933" i="3" a="1"/>
  <c r="P933" i="3" s="1"/>
  <c r="P585" i="3" a="1"/>
  <c r="P585" i="3" s="1"/>
  <c r="P643" i="3" a="1"/>
  <c r="P643" i="3" s="1"/>
  <c r="P616" i="3" a="1"/>
  <c r="P616" i="3" s="1"/>
  <c r="P831" i="3" a="1"/>
  <c r="P831" i="3" s="1"/>
  <c r="P692" i="3" a="1"/>
  <c r="P692" i="3" s="1"/>
  <c r="O708" i="3" a="1"/>
  <c r="O708" i="3" s="1"/>
  <c r="I708" i="3" s="1"/>
  <c r="O717" i="3" a="1"/>
  <c r="O717" i="3" s="1"/>
  <c r="I717" i="3" s="1"/>
  <c r="O922" i="3" a="1"/>
  <c r="O922" i="3" s="1"/>
  <c r="I922" i="3" s="1"/>
  <c r="P811" i="3" a="1"/>
  <c r="P811" i="3" s="1"/>
  <c r="P741" i="3" a="1"/>
  <c r="P741" i="3" s="1"/>
  <c r="P710" i="3" a="1"/>
  <c r="P710" i="3" s="1"/>
  <c r="O597" i="3" a="1"/>
  <c r="O597" i="3" s="1"/>
  <c r="I597" i="3" s="1"/>
  <c r="P902" i="3" a="1"/>
  <c r="P902" i="3" s="1"/>
  <c r="J902" i="3" s="1"/>
  <c r="P746" i="3" a="1"/>
  <c r="P746" i="3" s="1"/>
  <c r="P847" i="3" a="1"/>
  <c r="P847" i="3" s="1"/>
  <c r="O822" i="3" a="1"/>
  <c r="O822" i="3" s="1"/>
  <c r="I822" i="3" s="1"/>
  <c r="P701" i="3" a="1"/>
  <c r="P701" i="3" s="1"/>
  <c r="O707" i="3" a="1"/>
  <c r="O707" i="3" s="1"/>
  <c r="I707" i="3" s="1"/>
  <c r="P590" i="3" a="1"/>
  <c r="P590" i="3" s="1"/>
  <c r="P889" i="3" a="1"/>
  <c r="P889" i="3" s="1"/>
  <c r="O694" i="3" a="1"/>
  <c r="O694" i="3" s="1"/>
  <c r="I694" i="3" s="1"/>
  <c r="O849" i="3" a="1"/>
  <c r="O849" i="3" s="1"/>
  <c r="I849" i="3" s="1"/>
  <c r="P608" i="3" a="1"/>
  <c r="P608" i="3" s="1"/>
  <c r="O712" i="3" a="1"/>
  <c r="O712" i="3" s="1"/>
  <c r="I712" i="3" s="1"/>
  <c r="O840" i="3" a="1"/>
  <c r="O840" i="3" s="1"/>
  <c r="I840" i="3" s="1"/>
  <c r="O611" i="3" a="1"/>
  <c r="O611" i="3" s="1"/>
  <c r="I611" i="3" s="1"/>
  <c r="O680" i="3" a="1"/>
  <c r="O680" i="3" s="1"/>
  <c r="I680" i="3" s="1"/>
  <c r="P848" i="3" a="1"/>
  <c r="P848" i="3" s="1"/>
  <c r="P766" i="3" a="1"/>
  <c r="P766" i="3" s="1"/>
  <c r="P716" i="3" a="1"/>
  <c r="P716" i="3" s="1"/>
  <c r="P827" i="3" a="1"/>
  <c r="P827" i="3" s="1"/>
  <c r="O792" i="3" a="1"/>
  <c r="O792" i="3" s="1"/>
  <c r="I792" i="3" s="1"/>
  <c r="P921" i="3" a="1"/>
  <c r="P921" i="3" s="1"/>
  <c r="P704" i="3" a="1"/>
  <c r="P704" i="3" s="1"/>
  <c r="P619" i="3" a="1"/>
  <c r="P619" i="3" s="1"/>
  <c r="O685" i="3" a="1"/>
  <c r="O685" i="3" s="1"/>
  <c r="I685" i="3" s="1"/>
  <c r="O648" i="3" a="1"/>
  <c r="O648" i="3" s="1"/>
  <c r="I648" i="3" s="1"/>
  <c r="P606" i="3" a="1"/>
  <c r="P606" i="3" s="1"/>
  <c r="O649" i="3" a="1"/>
  <c r="O649" i="3" s="1"/>
  <c r="I649" i="3" s="1"/>
  <c r="P699" i="3" a="1"/>
  <c r="P699" i="3" s="1"/>
  <c r="O872" i="3" a="1"/>
  <c r="O872" i="3" s="1"/>
  <c r="I872" i="3" s="1"/>
  <c r="P904" i="3" a="1"/>
  <c r="P904" i="3" s="1"/>
  <c r="P622" i="3" a="1"/>
  <c r="P622" i="3" s="1"/>
  <c r="P752" i="3" a="1"/>
  <c r="P752" i="3" s="1"/>
  <c r="P690" i="3" a="1"/>
  <c r="P690" i="3" s="1"/>
  <c r="O609" i="3" a="1"/>
  <c r="O609" i="3" s="1"/>
  <c r="I609" i="3" s="1"/>
  <c r="P740" i="3" a="1"/>
  <c r="P740" i="3" s="1"/>
  <c r="P932" i="3" a="1"/>
  <c r="P932" i="3" s="1"/>
  <c r="P592" i="3" a="1"/>
  <c r="P592" i="3" s="1"/>
  <c r="O894" i="3" a="1"/>
  <c r="O894" i="3" s="1"/>
  <c r="I894" i="3" s="1"/>
  <c r="O919" i="3" a="1"/>
  <c r="O919" i="3" s="1"/>
  <c r="I919" i="3" s="1"/>
  <c r="O831" i="3" a="1"/>
  <c r="O831" i="3" s="1"/>
  <c r="I831" i="3" s="1"/>
  <c r="P584" i="3" a="1"/>
  <c r="P584" i="3" s="1"/>
  <c r="P755" i="3" a="1"/>
  <c r="P755" i="3" s="1"/>
  <c r="O586" i="3" a="1"/>
  <c r="O586" i="3" s="1"/>
  <c r="I586" i="3" s="1"/>
  <c r="P638" i="3" a="1"/>
  <c r="P638" i="3" s="1"/>
  <c r="P609" i="3" a="1"/>
  <c r="P609" i="3" s="1"/>
  <c r="J609" i="3" s="1"/>
  <c r="P706" i="3" a="1"/>
  <c r="P706" i="3" s="1"/>
  <c r="P617" i="3" a="1"/>
  <c r="P617" i="3" s="1"/>
  <c r="P605" i="3" a="1"/>
  <c r="P605" i="3" s="1"/>
  <c r="O851" i="3" a="1"/>
  <c r="O851" i="3" s="1"/>
  <c r="I851" i="3" s="1"/>
  <c r="O722" i="3" a="1"/>
  <c r="O722" i="3" s="1"/>
  <c r="I722" i="3" s="1"/>
  <c r="O610" i="3" a="1"/>
  <c r="O610" i="3" s="1"/>
  <c r="I610" i="3" s="1"/>
  <c r="P589" i="3" a="1"/>
  <c r="P589" i="3" s="1"/>
  <c r="P715" i="3" a="1"/>
  <c r="P715" i="3" s="1"/>
  <c r="O891" i="3" a="1"/>
  <c r="O891" i="3" s="1"/>
  <c r="I891" i="3" s="1"/>
  <c r="O865" i="3" a="1"/>
  <c r="O865" i="3" s="1"/>
  <c r="I865" i="3" s="1"/>
  <c r="O655" i="3" a="1"/>
  <c r="O655" i="3" s="1"/>
  <c r="I655" i="3" s="1"/>
  <c r="P808" i="3" a="1"/>
  <c r="P808" i="3" s="1"/>
  <c r="O857" i="3" a="1"/>
  <c r="O857" i="3" s="1"/>
  <c r="I857" i="3" s="1"/>
  <c r="P862" i="3" a="1"/>
  <c r="P862" i="3" s="1"/>
  <c r="P935" i="3" a="1"/>
  <c r="P935" i="3" s="1"/>
  <c r="O755" i="3" a="1"/>
  <c r="O755" i="3" s="1"/>
  <c r="I755" i="3" s="1"/>
  <c r="P840" i="3" a="1"/>
  <c r="P840" i="3" s="1"/>
  <c r="O784" i="3" a="1"/>
  <c r="O784" i="3" s="1"/>
  <c r="I784" i="3" s="1"/>
  <c r="P826" i="3" a="1"/>
  <c r="P826" i="3" s="1"/>
  <c r="O916" i="3" a="1"/>
  <c r="O916" i="3" s="1"/>
  <c r="I916" i="3" s="1"/>
  <c r="O607" i="3" a="1"/>
  <c r="O607" i="3" s="1"/>
  <c r="I607" i="3" s="1"/>
  <c r="P775" i="3" a="1"/>
  <c r="P775" i="3" s="1"/>
  <c r="O752" i="3" a="1"/>
  <c r="O752" i="3" s="1"/>
  <c r="I752" i="3" s="1"/>
  <c r="O703" i="3" a="1"/>
  <c r="O703" i="3" s="1"/>
  <c r="I703" i="3" s="1"/>
  <c r="O787" i="3" a="1"/>
  <c r="O787" i="3" s="1"/>
  <c r="I787" i="3" s="1"/>
  <c r="O779" i="3" a="1"/>
  <c r="O779" i="3" s="1"/>
  <c r="I779" i="3" s="1"/>
  <c r="O908" i="3" a="1"/>
  <c r="O908" i="3" s="1"/>
  <c r="I908" i="3" s="1"/>
  <c r="O729" i="3" a="1"/>
  <c r="O729" i="3" s="1"/>
  <c r="I729" i="3" s="1"/>
  <c r="P843" i="3" a="1"/>
  <c r="P843" i="3" s="1"/>
  <c r="O593" i="3" a="1"/>
  <c r="O593" i="3" s="1"/>
  <c r="I593" i="3" s="1"/>
  <c r="P694" i="3" a="1"/>
  <c r="P694" i="3" s="1"/>
  <c r="O592" i="3" a="1"/>
  <c r="O592" i="3" s="1"/>
  <c r="I592" i="3" s="1"/>
  <c r="O803" i="3" a="1"/>
  <c r="O803" i="3" s="1"/>
  <c r="I803" i="3" s="1"/>
  <c r="O931" i="3" a="1"/>
  <c r="O931" i="3" s="1"/>
  <c r="I931" i="3" s="1"/>
  <c r="O634" i="3" a="1"/>
  <c r="O634" i="3" s="1"/>
  <c r="I634" i="3" s="1"/>
  <c r="O862" i="3" a="1"/>
  <c r="O862" i="3" s="1"/>
  <c r="I862" i="3" s="1"/>
  <c r="O676" i="3" a="1"/>
  <c r="O676" i="3" s="1"/>
  <c r="I676" i="3" s="1"/>
  <c r="O601" i="3" a="1"/>
  <c r="O601" i="3" s="1"/>
  <c r="I601" i="3" s="1"/>
  <c r="P898" i="3" a="1"/>
  <c r="P898" i="3" s="1"/>
  <c r="O699" i="3" a="1"/>
  <c r="O699" i="3" s="1"/>
  <c r="I699" i="3" s="1"/>
  <c r="O604" i="3" a="1"/>
  <c r="O604" i="3" s="1"/>
  <c r="I604" i="3" s="1"/>
  <c r="O772" i="3" a="1"/>
  <c r="O772" i="3" s="1"/>
  <c r="I772" i="3" s="1"/>
  <c r="P700" i="3" a="1"/>
  <c r="P700" i="3" s="1"/>
  <c r="P835" i="3" a="1"/>
  <c r="P835" i="3" s="1"/>
  <c r="P685" i="3" a="1"/>
  <c r="P685" i="3" s="1"/>
  <c r="P658" i="3" a="1"/>
  <c r="P658" i="3" s="1"/>
  <c r="P660" i="3" a="1"/>
  <c r="P660" i="3" s="1"/>
  <c r="O612" i="3" a="1"/>
  <c r="O612" i="3" s="1"/>
  <c r="I612" i="3" s="1"/>
  <c r="P595" i="3" a="1"/>
  <c r="P595" i="3" s="1"/>
  <c r="O647" i="3" a="1"/>
  <c r="O647" i="3" s="1"/>
  <c r="I647" i="3" s="1"/>
  <c r="O624" i="3" a="1"/>
  <c r="O624" i="3" s="1"/>
  <c r="I624" i="3" s="1"/>
  <c r="P624" i="3" a="1"/>
  <c r="P624" i="3" s="1"/>
  <c r="O581" i="3" a="1"/>
  <c r="O581" i="3" s="1"/>
  <c r="I581" i="3" s="1"/>
  <c r="O726" i="3" a="1"/>
  <c r="O726" i="3" s="1"/>
  <c r="I726" i="3" s="1"/>
  <c r="O870" i="3" a="1"/>
  <c r="O870" i="3" s="1"/>
  <c r="I870" i="3" s="1"/>
  <c r="P938" i="3" a="1"/>
  <c r="P938" i="3" s="1"/>
  <c r="J938" i="3" s="1"/>
  <c r="P722" i="3" a="1"/>
  <c r="P722" i="3" s="1"/>
  <c r="O767" i="3" a="1"/>
  <c r="O767" i="3" s="1"/>
  <c r="I767" i="3" s="1"/>
  <c r="O932" i="3" a="1"/>
  <c r="O932" i="3" s="1"/>
  <c r="I932" i="3" s="1"/>
  <c r="P758" i="3" a="1"/>
  <c r="P758" i="3" s="1"/>
  <c r="O885" i="3" a="1"/>
  <c r="O885" i="3" s="1"/>
  <c r="I885" i="3" s="1"/>
  <c r="O909" i="3" a="1"/>
  <c r="O909" i="3" s="1"/>
  <c r="I909" i="3" s="1"/>
  <c r="O912" i="3" a="1"/>
  <c r="O912" i="3" s="1"/>
  <c r="I912" i="3" s="1"/>
  <c r="O914" i="3" a="1"/>
  <c r="O914" i="3" s="1"/>
  <c r="I914" i="3" s="1"/>
  <c r="P915" i="3" a="1"/>
  <c r="P915" i="3" s="1"/>
  <c r="P899" i="3" a="1"/>
  <c r="P899" i="3" s="1"/>
  <c r="O658" i="3" a="1"/>
  <c r="O658" i="3" s="1"/>
  <c r="I658" i="3" s="1"/>
  <c r="P798" i="3" a="1"/>
  <c r="P798" i="3" s="1"/>
  <c r="O594" i="3" a="1"/>
  <c r="O594" i="3" s="1"/>
  <c r="I594" i="3" s="1"/>
  <c r="O758" i="3" a="1"/>
  <c r="O758" i="3" s="1"/>
  <c r="I758" i="3" s="1"/>
  <c r="O807" i="3" a="1"/>
  <c r="O807" i="3" s="1"/>
  <c r="I807" i="3" s="1"/>
  <c r="P863" i="3" a="1"/>
  <c r="P863" i="3" s="1"/>
  <c r="P613" i="3" a="1"/>
  <c r="P613" i="3" s="1"/>
  <c r="O890" i="3" a="1"/>
  <c r="O890" i="3" s="1"/>
  <c r="I890" i="3" s="1"/>
  <c r="P892" i="3" a="1"/>
  <c r="P892" i="3" s="1"/>
  <c r="O709" i="3" a="1"/>
  <c r="O709" i="3" s="1"/>
  <c r="I709" i="3" s="1"/>
  <c r="P725" i="3" a="1"/>
  <c r="P725" i="3" s="1"/>
  <c r="P696" i="3" a="1"/>
  <c r="P696" i="3" s="1"/>
  <c r="O774" i="3" a="1"/>
  <c r="O774" i="3" s="1"/>
  <c r="I774" i="3" s="1"/>
  <c r="P759" i="3" a="1"/>
  <c r="P759" i="3" s="1"/>
  <c r="P895" i="3" a="1"/>
  <c r="P895" i="3" s="1"/>
  <c r="O856" i="3" a="1"/>
  <c r="O856" i="3" s="1"/>
  <c r="I856" i="3" s="1"/>
  <c r="O711" i="3" a="1"/>
  <c r="O711" i="3" s="1"/>
  <c r="I711" i="3" s="1"/>
  <c r="O739" i="3" a="1"/>
  <c r="O739" i="3" s="1"/>
  <c r="I739" i="3" s="1"/>
  <c r="P928" i="3" a="1"/>
  <c r="P928" i="3" s="1"/>
  <c r="P668" i="3" a="1"/>
  <c r="P668" i="3" s="1"/>
  <c r="P747" i="3" a="1"/>
  <c r="P747" i="3" s="1"/>
  <c r="P665" i="3" a="1"/>
  <c r="P665" i="3" s="1"/>
  <c r="P702" i="3" a="1"/>
  <c r="P702" i="3" s="1"/>
  <c r="P677" i="3" a="1"/>
  <c r="P677" i="3" s="1"/>
  <c r="P645" i="3" a="1"/>
  <c r="P645" i="3" s="1"/>
  <c r="O773" i="3" a="1"/>
  <c r="O773" i="3" s="1"/>
  <c r="I773" i="3" s="1"/>
  <c r="O664" i="3" a="1"/>
  <c r="O664" i="3" s="1"/>
  <c r="I664" i="3" s="1"/>
  <c r="P625" i="3" a="1"/>
  <c r="P625" i="3" s="1"/>
  <c r="P855" i="3" a="1"/>
  <c r="P855" i="3" s="1"/>
  <c r="O732" i="3" a="1"/>
  <c r="O732" i="3" s="1"/>
  <c r="I732" i="3" s="1"/>
  <c r="P841" i="3" a="1"/>
  <c r="P841" i="3" s="1"/>
  <c r="P705" i="3" a="1"/>
  <c r="P705" i="3" s="1"/>
  <c r="O656" i="3" a="1"/>
  <c r="O656" i="3" s="1"/>
  <c r="I656" i="3" s="1"/>
  <c r="O644" i="3" a="1"/>
  <c r="O644" i="3" s="1"/>
  <c r="I644" i="3" s="1"/>
  <c r="O615" i="3" a="1"/>
  <c r="O615" i="3" s="1"/>
  <c r="I615" i="3" s="1"/>
  <c r="P579" i="3" a="1"/>
  <c r="P579" i="3" s="1"/>
  <c r="P637" i="3" a="1"/>
  <c r="P637" i="3" s="1"/>
  <c r="O665" i="3" a="1"/>
  <c r="O665" i="3" s="1"/>
  <c r="I665" i="3" s="1"/>
  <c r="O616" i="3" a="1"/>
  <c r="O616" i="3" s="1"/>
  <c r="I616" i="3" s="1"/>
  <c r="P674" i="3" a="1"/>
  <c r="P674" i="3" s="1"/>
  <c r="P806" i="3" a="1"/>
  <c r="P806" i="3" s="1"/>
  <c r="O827" i="3" a="1"/>
  <c r="O827" i="3" s="1"/>
  <c r="I827" i="3" s="1"/>
  <c r="P923" i="3" a="1"/>
  <c r="P923" i="3" s="1"/>
  <c r="O775" i="3" a="1"/>
  <c r="O775" i="3" s="1"/>
  <c r="I775" i="3" s="1"/>
  <c r="P930" i="3" a="1"/>
  <c r="P930" i="3" s="1"/>
  <c r="O588" i="3" a="1"/>
  <c r="O588" i="3" s="1"/>
  <c r="I588" i="3" s="1"/>
  <c r="O910" i="3" a="1"/>
  <c r="O910" i="3" s="1"/>
  <c r="I910" i="3" s="1"/>
  <c r="O892" i="3" a="1"/>
  <c r="O892" i="3" s="1"/>
  <c r="I892" i="3" s="1"/>
  <c r="P604" i="3" a="1"/>
  <c r="P604" i="3" s="1"/>
  <c r="O876" i="3" a="1"/>
  <c r="O876" i="3" s="1"/>
  <c r="I876" i="3" s="1"/>
  <c r="P939" i="3" a="1"/>
  <c r="P939" i="3" s="1"/>
  <c r="P717" i="3" a="1"/>
  <c r="P717" i="3" s="1"/>
  <c r="P824" i="3" a="1"/>
  <c r="P824" i="3" s="1"/>
  <c r="O687" i="3" a="1"/>
  <c r="O687" i="3" s="1"/>
  <c r="I687" i="3" s="1"/>
  <c r="P877" i="3" a="1"/>
  <c r="P877" i="3" s="1"/>
  <c r="P681" i="3" a="1"/>
  <c r="P681" i="3" s="1"/>
  <c r="O791" i="3" a="1"/>
  <c r="O791" i="3" s="1"/>
  <c r="I791" i="3" s="1"/>
  <c r="O667" i="3" a="1"/>
  <c r="O667" i="3" s="1"/>
  <c r="I667" i="3" s="1"/>
  <c r="O824" i="3" a="1"/>
  <c r="O824" i="3" s="1"/>
  <c r="I824" i="3" s="1"/>
  <c r="O583" i="3" a="1"/>
  <c r="O583" i="3" s="1"/>
  <c r="I583" i="3" s="1"/>
  <c r="P686" i="3" a="1"/>
  <c r="P686" i="3" s="1"/>
  <c r="P754" i="3" a="1"/>
  <c r="P754" i="3" s="1"/>
  <c r="P849" i="3" a="1"/>
  <c r="P849" i="3" s="1"/>
  <c r="P879" i="3" a="1"/>
  <c r="P879" i="3" s="1"/>
  <c r="O679" i="3" a="1"/>
  <c r="O679" i="3" s="1"/>
  <c r="I679" i="3" s="1"/>
  <c r="O805" i="3" a="1"/>
  <c r="O805" i="3" s="1"/>
  <c r="I805" i="3" s="1"/>
  <c r="P780" i="3" a="1"/>
  <c r="P780" i="3" s="1"/>
  <c r="J780" i="3" s="1"/>
  <c r="O850" i="3" a="1"/>
  <c r="O850" i="3" s="1"/>
  <c r="I850" i="3" s="1"/>
  <c r="P600" i="3" a="1"/>
  <c r="P600" i="3" s="1"/>
  <c r="O823" i="3" a="1"/>
  <c r="O823" i="3" s="1"/>
  <c r="I823" i="3" s="1"/>
  <c r="O859" i="3" a="1"/>
  <c r="O859" i="3" s="1"/>
  <c r="I859" i="3" s="1"/>
  <c r="P682" i="3" a="1"/>
  <c r="P682" i="3" s="1"/>
  <c r="O692" i="3" a="1"/>
  <c r="O692" i="3" s="1"/>
  <c r="I692" i="3" s="1"/>
  <c r="O669" i="3" a="1"/>
  <c r="O669" i="3" s="1"/>
  <c r="I669" i="3" s="1"/>
  <c r="P714" i="3" a="1"/>
  <c r="P714" i="3" s="1"/>
  <c r="P719" i="3" a="1"/>
  <c r="P719" i="3" s="1"/>
  <c r="O882" i="3" a="1"/>
  <c r="O882" i="3" s="1"/>
  <c r="I882" i="3" s="1"/>
  <c r="O815" i="3" a="1"/>
  <c r="O815" i="3" s="1"/>
  <c r="I815" i="3" s="1"/>
  <c r="P672" i="3" a="1"/>
  <c r="P672" i="3" s="1"/>
  <c r="P816" i="3" a="1"/>
  <c r="P816" i="3" s="1"/>
  <c r="P642" i="3" a="1"/>
  <c r="P642" i="3" s="1"/>
  <c r="P875" i="3" a="1"/>
  <c r="P875" i="3" s="1"/>
  <c r="P727" i="3" a="1"/>
  <c r="P727" i="3" s="1"/>
  <c r="O934" i="3" a="1"/>
  <c r="O934" i="3" s="1"/>
  <c r="I934" i="3" s="1"/>
  <c r="O765" i="3" a="1"/>
  <c r="O765" i="3" s="1"/>
  <c r="I765" i="3" s="1"/>
  <c r="P907" i="3" a="1"/>
  <c r="P907" i="3" s="1"/>
  <c r="O836" i="3" a="1"/>
  <c r="O836" i="3" s="1"/>
  <c r="I836" i="3" s="1"/>
  <c r="P657" i="3" a="1"/>
  <c r="P657" i="3" s="1"/>
  <c r="P801" i="3" a="1"/>
  <c r="P801" i="3" s="1"/>
  <c r="P596" i="3" a="1"/>
  <c r="P596" i="3" s="1"/>
  <c r="P597" i="3" a="1"/>
  <c r="P597" i="3" s="1"/>
  <c r="O788" i="3" a="1"/>
  <c r="O788" i="3" s="1"/>
  <c r="I788" i="3" s="1"/>
  <c r="P815" i="3" a="1"/>
  <c r="P815" i="3" s="1"/>
  <c r="O728" i="3" a="1"/>
  <c r="O728" i="3" s="1"/>
  <c r="I728" i="3" s="1"/>
  <c r="P654" i="3" a="1"/>
  <c r="P654" i="3" s="1"/>
  <c r="P886" i="3" a="1"/>
  <c r="P886" i="3" s="1"/>
  <c r="P644" i="3" a="1"/>
  <c r="P644" i="3" s="1"/>
  <c r="P910" i="3" a="1"/>
  <c r="P910" i="3" s="1"/>
  <c r="P578" i="3" a="1"/>
  <c r="P578" i="3" s="1"/>
  <c r="O742" i="3" a="1"/>
  <c r="O742" i="3" s="1"/>
  <c r="I742" i="3" s="1"/>
  <c r="O619" i="3" a="1"/>
  <c r="O619" i="3" s="1"/>
  <c r="I619" i="3" s="1"/>
  <c r="P742" i="3" a="1"/>
  <c r="P742" i="3" s="1"/>
  <c r="P735" i="3" a="1"/>
  <c r="P735" i="3" s="1"/>
  <c r="O603" i="3" a="1"/>
  <c r="O603" i="3" s="1"/>
  <c r="I603" i="3" s="1"/>
  <c r="P774" i="3" a="1"/>
  <c r="P774" i="3" s="1"/>
  <c r="O686" i="3" a="1"/>
  <c r="O686" i="3" s="1"/>
  <c r="I686" i="3" s="1"/>
  <c r="P922" i="3" a="1"/>
  <c r="P922" i="3" s="1"/>
  <c r="P903" i="3" a="1"/>
  <c r="P903" i="3" s="1"/>
  <c r="J903" i="3" s="1"/>
  <c r="P723" i="3" a="1"/>
  <c r="P723" i="3" s="1"/>
  <c r="P707" i="3" a="1"/>
  <c r="P707" i="3" s="1"/>
  <c r="O582" i="3" a="1"/>
  <c r="O582" i="3" s="1"/>
  <c r="I582" i="3" s="1"/>
  <c r="P869" i="3" a="1"/>
  <c r="P869" i="3" s="1"/>
  <c r="P667" i="3" a="1"/>
  <c r="P667" i="3" s="1"/>
  <c r="P718" i="3" a="1"/>
  <c r="P718" i="3" s="1"/>
  <c r="P900" i="3" a="1"/>
  <c r="P900" i="3" s="1"/>
  <c r="O902" i="3" a="1"/>
  <c r="O902" i="3" s="1"/>
  <c r="I902" i="3" s="1"/>
  <c r="G902" i="3" s="1" a="1"/>
  <c r="G902" i="3" s="1"/>
  <c r="O888" i="3" a="1"/>
  <c r="O888" i="3" s="1"/>
  <c r="I888" i="3" s="1"/>
  <c r="P648" i="3" a="1"/>
  <c r="P648" i="3" s="1"/>
  <c r="P730" i="3" a="1"/>
  <c r="P730" i="3" s="1"/>
  <c r="P676" i="3" a="1"/>
  <c r="P676" i="3" s="1"/>
  <c r="O719" i="3" a="1"/>
  <c r="O719" i="3" s="1"/>
  <c r="I719" i="3" s="1"/>
  <c r="P925" i="3" a="1"/>
  <c r="P925" i="3" s="1"/>
  <c r="P712" i="3" a="1"/>
  <c r="P712" i="3" s="1"/>
  <c r="P842" i="3" a="1"/>
  <c r="P842" i="3" s="1"/>
  <c r="O621" i="3" a="1"/>
  <c r="O621" i="3" s="1"/>
  <c r="I621" i="3" s="1"/>
  <c r="O743" i="3" a="1"/>
  <c r="O743" i="3" s="1"/>
  <c r="I743" i="3" s="1"/>
  <c r="O623" i="3" a="1"/>
  <c r="O623" i="3" s="1"/>
  <c r="I623" i="3" s="1"/>
  <c r="P582" i="3" a="1"/>
  <c r="P582" i="3" s="1"/>
  <c r="P913" i="3" a="1"/>
  <c r="P913" i="3" s="1"/>
  <c r="P867" i="3" a="1"/>
  <c r="P867" i="3" s="1"/>
  <c r="P680" i="3" a="1"/>
  <c r="P680" i="3" s="1"/>
  <c r="O620" i="3" a="1"/>
  <c r="O620" i="3" s="1"/>
  <c r="I620" i="3" s="1"/>
  <c r="O641" i="3" a="1"/>
  <c r="O641" i="3" s="1"/>
  <c r="I641" i="3" s="1"/>
  <c r="P822" i="3" a="1"/>
  <c r="P822" i="3" s="1"/>
  <c r="O753" i="3" a="1"/>
  <c r="O753" i="3" s="1"/>
  <c r="I753" i="3" s="1"/>
  <c r="P599" i="3" a="1"/>
  <c r="P599" i="3" s="1"/>
  <c r="P839" i="3" a="1"/>
  <c r="P839" i="3" s="1"/>
  <c r="P799" i="3" a="1"/>
  <c r="P799" i="3" s="1"/>
  <c r="O741" i="3" a="1"/>
  <c r="O741" i="3" s="1"/>
  <c r="I741" i="3" s="1"/>
  <c r="P601" i="3" a="1"/>
  <c r="P601" i="3" s="1"/>
  <c r="P736" i="3" a="1"/>
  <c r="P736" i="3" s="1"/>
  <c r="O635" i="3" a="1"/>
  <c r="O635" i="3" s="1"/>
  <c r="I635" i="3" s="1"/>
  <c r="O734" i="3" a="1"/>
  <c r="O734" i="3" s="1"/>
  <c r="I734" i="3" s="1"/>
  <c r="O673" i="3" a="1"/>
  <c r="O673" i="3" s="1"/>
  <c r="I673" i="3" s="1"/>
  <c r="O628" i="3" a="1"/>
  <c r="O628" i="3" s="1"/>
  <c r="I628" i="3" s="1"/>
  <c r="P607" i="3" a="1"/>
  <c r="P607" i="3" s="1"/>
  <c r="O814" i="3" a="1"/>
  <c r="O814" i="3" s="1"/>
  <c r="I814" i="3" s="1"/>
  <c r="O816" i="3" a="1"/>
  <c r="O816" i="3" s="1"/>
  <c r="I816" i="3" s="1"/>
  <c r="O921" i="3" a="1"/>
  <c r="O921" i="3" s="1"/>
  <c r="I921" i="3" s="1"/>
  <c r="O878" i="3" a="1"/>
  <c r="O878" i="3" s="1"/>
  <c r="I878" i="3" s="1"/>
  <c r="O826" i="3" a="1"/>
  <c r="O826" i="3" s="1"/>
  <c r="I826" i="3" s="1"/>
  <c r="P791" i="3" a="1"/>
  <c r="P791" i="3" s="1"/>
  <c r="P769" i="3" a="1"/>
  <c r="P769" i="3" s="1"/>
  <c r="P873" i="3" a="1"/>
  <c r="P873" i="3" s="1"/>
  <c r="O797" i="3" a="1"/>
  <c r="O797" i="3" s="1"/>
  <c r="I797" i="3" s="1"/>
  <c r="O721" i="3" a="1"/>
  <c r="O721" i="3" s="1"/>
  <c r="I721" i="3" s="1"/>
  <c r="P861" i="3" a="1"/>
  <c r="P861" i="3" s="1"/>
  <c r="P713" i="3" a="1"/>
  <c r="P713" i="3" s="1"/>
  <c r="P711" i="3" a="1"/>
  <c r="P711" i="3" s="1"/>
  <c r="P651" i="3" a="1"/>
  <c r="P651" i="3" s="1"/>
  <c r="O928" i="3" a="1"/>
  <c r="O928" i="3" s="1"/>
  <c r="I928" i="3" s="1"/>
  <c r="P830" i="3" a="1"/>
  <c r="P830" i="3" s="1"/>
  <c r="O764" i="3" a="1"/>
  <c r="O764" i="3" s="1"/>
  <c r="I764" i="3" s="1"/>
  <c r="P684" i="3" a="1"/>
  <c r="P684" i="3" s="1"/>
  <c r="P885" i="3" a="1"/>
  <c r="P885" i="3" s="1"/>
  <c r="O852" i="3" a="1"/>
  <c r="O852" i="3" s="1"/>
  <c r="I852" i="3" s="1"/>
  <c r="P825" i="3" a="1"/>
  <c r="P825" i="3" s="1"/>
  <c r="P829" i="3" a="1"/>
  <c r="P829" i="3" s="1"/>
  <c r="P809" i="3" a="1"/>
  <c r="P809" i="3" s="1"/>
  <c r="P444" i="3" a="1"/>
  <c r="P444" i="3" s="1"/>
  <c r="O444" i="3" a="1"/>
  <c r="O444" i="3" s="1"/>
  <c r="I444" i="3" s="1"/>
  <c r="P7" i="3" a="1"/>
  <c r="P7" i="3" s="1"/>
  <c r="P84" i="3" a="1"/>
  <c r="P84" i="3" s="1"/>
  <c r="O86" i="3" a="1"/>
  <c r="O86" i="3" s="1"/>
  <c r="I86" i="3" s="1"/>
  <c r="O84" i="3" a="1"/>
  <c r="O84" i="3" s="1"/>
  <c r="I84" i="3" s="1"/>
  <c r="P86" i="3" a="1"/>
  <c r="P86" i="3" s="1"/>
  <c r="O7" i="3" a="1"/>
  <c r="O7" i="3" s="1"/>
  <c r="I7" i="3" s="1"/>
  <c r="O95" i="3" a="1"/>
  <c r="O95" i="3" s="1"/>
  <c r="I95" i="3" s="1"/>
  <c r="P95" i="3" a="1"/>
  <c r="P95" i="3" s="1"/>
  <c r="O87" i="3" a="1"/>
  <c r="O87" i="3" s="1"/>
  <c r="I87" i="3" s="1"/>
  <c r="O64" i="3" a="1"/>
  <c r="O64" i="3" s="1"/>
  <c r="I64" i="3" s="1"/>
  <c r="P64" i="3" a="1"/>
  <c r="P64" i="3" s="1"/>
  <c r="O113" i="3" a="1"/>
  <c r="O113" i="3" s="1"/>
  <c r="I113" i="3" s="1"/>
  <c r="P113" i="3" a="1"/>
  <c r="P113" i="3" s="1"/>
  <c r="P87" i="3" a="1"/>
  <c r="P87" i="3" s="1"/>
  <c r="O118" i="3" a="1"/>
  <c r="O118" i="3" s="1"/>
  <c r="I118" i="3" s="1"/>
  <c r="P118" i="3" a="1"/>
  <c r="P118" i="3" s="1"/>
  <c r="P76" i="3" a="1"/>
  <c r="P76" i="3" s="1"/>
  <c r="P74" i="3" a="1"/>
  <c r="P74" i="3" s="1"/>
  <c r="O77" i="3" a="1"/>
  <c r="O77" i="3" s="1"/>
  <c r="I77" i="3" s="1"/>
  <c r="P79" i="3" a="1"/>
  <c r="P79" i="3" s="1"/>
  <c r="O73" i="3" a="1"/>
  <c r="O73" i="3" s="1"/>
  <c r="I73" i="3" s="1"/>
  <c r="O74" i="3" a="1"/>
  <c r="O74" i="3" s="1"/>
  <c r="I74" i="3" s="1"/>
  <c r="O79" i="3" a="1"/>
  <c r="O79" i="3" s="1"/>
  <c r="I79" i="3" s="1"/>
  <c r="P78" i="3" a="1"/>
  <c r="P78" i="3" s="1"/>
  <c r="P77" i="3" a="1"/>
  <c r="P77" i="3" s="1"/>
  <c r="P73" i="3" a="1"/>
  <c r="P73" i="3" s="1"/>
  <c r="O78" i="3" a="1"/>
  <c r="O78" i="3" s="1"/>
  <c r="I78" i="3" s="1"/>
  <c r="P75" i="3" a="1"/>
  <c r="P75" i="3" s="1"/>
  <c r="O75" i="3" a="1"/>
  <c r="O75" i="3" s="1"/>
  <c r="I75" i="3" s="1"/>
  <c r="O76" i="3" a="1"/>
  <c r="O76" i="3" s="1"/>
  <c r="I76" i="3" s="1"/>
  <c r="O85" i="3" a="1"/>
  <c r="O85" i="3" s="1"/>
  <c r="I85" i="3" s="1"/>
  <c r="P85" i="3" a="1"/>
  <c r="P85" i="3" s="1"/>
  <c r="P6" i="3" a="1"/>
  <c r="P6" i="3" s="1"/>
  <c r="O6" i="3" a="1"/>
  <c r="O6" i="3" s="1"/>
  <c r="I6" i="3" s="1"/>
  <c r="P181" i="3" a="1"/>
  <c r="P181" i="3" s="1"/>
  <c r="O181" i="3" a="1"/>
  <c r="O181" i="3" s="1"/>
  <c r="I181" i="3" s="1"/>
  <c r="O180" i="3" a="1"/>
  <c r="O180" i="3" s="1"/>
  <c r="I180" i="3" s="1"/>
  <c r="P180" i="3" a="1"/>
  <c r="P180" i="3" s="1"/>
  <c r="P30" i="3" a="1"/>
  <c r="P30" i="3" s="1"/>
  <c r="O142" i="3" a="1"/>
  <c r="O142" i="3" s="1"/>
  <c r="I142" i="3" s="1"/>
  <c r="O30" i="3" a="1"/>
  <c r="O30" i="3" s="1"/>
  <c r="I30" i="3" s="1"/>
  <c r="P142" i="3" a="1"/>
  <c r="P142" i="3" s="1"/>
  <c r="P40" i="3" a="1"/>
  <c r="P40" i="3" s="1"/>
  <c r="O153" i="3" a="1"/>
  <c r="O153" i="3" s="1"/>
  <c r="I153" i="3" s="1"/>
  <c r="P153" i="3" a="1"/>
  <c r="P153" i="3" s="1"/>
  <c r="O40" i="3" a="1"/>
  <c r="O40" i="3" s="1"/>
  <c r="I40" i="3" s="1"/>
  <c r="P61" i="3" a="1"/>
  <c r="P61" i="3" s="1"/>
  <c r="O125" i="3" a="1"/>
  <c r="O125" i="3" s="1"/>
  <c r="I125" i="3" s="1"/>
  <c r="P125" i="3" a="1"/>
  <c r="P125" i="3" s="1"/>
  <c r="O61" i="3" a="1"/>
  <c r="O61" i="3" s="1"/>
  <c r="I61" i="3" s="1"/>
  <c r="P22" i="3" a="1"/>
  <c r="P22" i="3" s="1"/>
  <c r="P224" i="3" a="1"/>
  <c r="P224" i="3" s="1"/>
  <c r="P228" i="3" a="1"/>
  <c r="P228" i="3" s="1"/>
  <c r="O224" i="3" a="1"/>
  <c r="O224" i="3" s="1"/>
  <c r="I224" i="3" s="1"/>
  <c r="O22" i="3" a="1"/>
  <c r="O22" i="3" s="1"/>
  <c r="I22" i="3" s="1"/>
  <c r="P188" i="3" a="1"/>
  <c r="P188" i="3" s="1"/>
  <c r="P220" i="3" a="1"/>
  <c r="P220" i="3" s="1"/>
  <c r="P221" i="3" a="1"/>
  <c r="P221" i="3" s="1"/>
  <c r="P227" i="3" a="1"/>
  <c r="P227" i="3" s="1"/>
  <c r="O188" i="3" a="1"/>
  <c r="O188" i="3" s="1"/>
  <c r="I188" i="3" s="1"/>
  <c r="O221" i="3" a="1"/>
  <c r="O221" i="3" s="1"/>
  <c r="I221" i="3" s="1"/>
  <c r="O220" i="3" a="1"/>
  <c r="O220" i="3" s="1"/>
  <c r="I220" i="3" s="1"/>
  <c r="O228" i="3" a="1"/>
  <c r="O228" i="3" s="1"/>
  <c r="I228" i="3" s="1"/>
  <c r="O227" i="3" a="1"/>
  <c r="O227" i="3" s="1"/>
  <c r="I227" i="3" s="1"/>
  <c r="O171" i="3" a="1"/>
  <c r="O171" i="3" s="1"/>
  <c r="I171" i="3" s="1"/>
  <c r="P26" i="3" a="1"/>
  <c r="P26" i="3" s="1"/>
  <c r="O139" i="3" a="1"/>
  <c r="O139" i="3" s="1"/>
  <c r="I139" i="3" s="1"/>
  <c r="O26" i="3" a="1"/>
  <c r="O26" i="3" s="1"/>
  <c r="I26" i="3" s="1"/>
  <c r="P139" i="3" a="1"/>
  <c r="P139" i="3" s="1"/>
  <c r="P171" i="3" a="1"/>
  <c r="P171" i="3" s="1"/>
  <c r="O47" i="3" a="1"/>
  <c r="O47" i="3" s="1"/>
  <c r="I47" i="3" s="1"/>
  <c r="P96" i="3" a="1"/>
  <c r="P96" i="3" s="1"/>
  <c r="P80" i="3" a="1"/>
  <c r="P80" i="3" s="1"/>
  <c r="P81" i="3" a="1"/>
  <c r="P81" i="3" s="1"/>
  <c r="O89" i="3" a="1"/>
  <c r="O89" i="3" s="1"/>
  <c r="I89" i="3" s="1"/>
  <c r="P47" i="3" a="1"/>
  <c r="P47" i="3" s="1"/>
  <c r="P90" i="3" a="1"/>
  <c r="P90" i="3" s="1"/>
  <c r="O81" i="3" a="1"/>
  <c r="O81" i="3" s="1"/>
  <c r="I81" i="3" s="1"/>
  <c r="P89" i="3" a="1"/>
  <c r="P89" i="3" s="1"/>
  <c r="O96" i="3" a="1"/>
  <c r="O96" i="3" s="1"/>
  <c r="I96" i="3" s="1"/>
  <c r="O80" i="3" a="1"/>
  <c r="O80" i="3" s="1"/>
  <c r="I80" i="3" s="1"/>
  <c r="O90" i="3" a="1"/>
  <c r="O90" i="3" s="1"/>
  <c r="I90" i="3" s="1"/>
  <c r="P67" i="3" a="1"/>
  <c r="P67" i="3" s="1"/>
  <c r="P68" i="3" a="1"/>
  <c r="P68" i="3" s="1"/>
  <c r="O72" i="3" a="1"/>
  <c r="O72" i="3" s="1"/>
  <c r="I72" i="3" s="1"/>
  <c r="P69" i="3" a="1"/>
  <c r="P69" i="3" s="1"/>
  <c r="O67" i="3" a="1"/>
  <c r="O67" i="3" s="1"/>
  <c r="I67" i="3" s="1"/>
  <c r="O69" i="3" a="1"/>
  <c r="O69" i="3" s="1"/>
  <c r="I69" i="3" s="1"/>
  <c r="O71" i="3" a="1"/>
  <c r="O71" i="3" s="1"/>
  <c r="I71" i="3" s="1"/>
  <c r="O70" i="3" a="1"/>
  <c r="O70" i="3" s="1"/>
  <c r="I70" i="3" s="1"/>
  <c r="O68" i="3" a="1"/>
  <c r="O68" i="3" s="1"/>
  <c r="I68" i="3" s="1"/>
  <c r="P70" i="3" a="1"/>
  <c r="P70" i="3" s="1"/>
  <c r="P71" i="3" a="1"/>
  <c r="P71" i="3" s="1"/>
  <c r="P72" i="3" a="1"/>
  <c r="P72" i="3" s="1"/>
  <c r="O103" i="3" a="1"/>
  <c r="O103" i="3" s="1"/>
  <c r="I103" i="3" s="1"/>
  <c r="P103" i="3" a="1"/>
  <c r="P103" i="3" s="1"/>
  <c r="P574" i="3" a="1"/>
  <c r="P574" i="3" s="1"/>
  <c r="O572" i="3" a="1"/>
  <c r="O572" i="3" s="1"/>
  <c r="I572" i="3" s="1"/>
  <c r="O574" i="3" a="1"/>
  <c r="O574" i="3" s="1"/>
  <c r="I574" i="3" s="1"/>
  <c r="O573" i="3" a="1"/>
  <c r="O573" i="3" s="1"/>
  <c r="I573" i="3" s="1"/>
  <c r="P573" i="3" a="1"/>
  <c r="P573" i="3" s="1"/>
  <c r="P577" i="3" a="1"/>
  <c r="P577" i="3" s="1"/>
  <c r="O576" i="3" a="1"/>
  <c r="O576" i="3" s="1"/>
  <c r="I576" i="3" s="1"/>
  <c r="O577" i="3" a="1"/>
  <c r="O577" i="3" s="1"/>
  <c r="I577" i="3" s="1"/>
  <c r="P575" i="3" a="1"/>
  <c r="P575" i="3" s="1"/>
  <c r="O575" i="3" a="1"/>
  <c r="O575" i="3" s="1"/>
  <c r="I575" i="3" s="1"/>
  <c r="P576" i="3" a="1"/>
  <c r="P576" i="3" s="1"/>
  <c r="P572" i="3" a="1"/>
  <c r="P572" i="3" s="1"/>
  <c r="P31" i="3" a="1"/>
  <c r="P31" i="3" s="1"/>
  <c r="O570" i="3" a="1"/>
  <c r="O570" i="3" s="1"/>
  <c r="I570" i="3" s="1"/>
  <c r="P570" i="3" a="1"/>
  <c r="P570" i="3" s="1"/>
  <c r="O571" i="3" a="1"/>
  <c r="O571" i="3" s="1"/>
  <c r="I571" i="3" s="1"/>
  <c r="P565" i="3" a="1"/>
  <c r="P565" i="3" s="1"/>
  <c r="P566" i="3" a="1"/>
  <c r="P566" i="3" s="1"/>
  <c r="J566" i="3" s="1"/>
  <c r="O568" i="3" a="1"/>
  <c r="O568" i="3" s="1"/>
  <c r="I568" i="3" s="1"/>
  <c r="P214" i="3" a="1"/>
  <c r="P214" i="3" s="1"/>
  <c r="O215" i="3" a="1"/>
  <c r="O215" i="3" s="1"/>
  <c r="I215" i="3" s="1"/>
  <c r="O565" i="3" a="1"/>
  <c r="O565" i="3" s="1"/>
  <c r="I565" i="3" s="1"/>
  <c r="O566" i="3" a="1"/>
  <c r="O566" i="3" s="1"/>
  <c r="I566" i="3" s="1"/>
  <c r="P569" i="3" a="1"/>
  <c r="P569" i="3" s="1"/>
  <c r="P567" i="3" a="1"/>
  <c r="P567" i="3" s="1"/>
  <c r="P568" i="3" a="1"/>
  <c r="P568" i="3" s="1"/>
  <c r="O569" i="3" a="1"/>
  <c r="O569" i="3" s="1"/>
  <c r="I569" i="3" s="1"/>
  <c r="O567" i="3" a="1"/>
  <c r="O567" i="3" s="1"/>
  <c r="I567" i="3" s="1"/>
  <c r="O214" i="3" a="1"/>
  <c r="O214" i="3" s="1"/>
  <c r="I214" i="3" s="1"/>
  <c r="P215" i="3" a="1"/>
  <c r="P215" i="3" s="1"/>
  <c r="O31" i="3" a="1"/>
  <c r="O31" i="3" s="1"/>
  <c r="I31" i="3" s="1"/>
  <c r="P571" i="3" a="1"/>
  <c r="P571" i="3" s="1"/>
  <c r="O143" i="3" a="1"/>
  <c r="O143" i="3" s="1"/>
  <c r="I143" i="3" s="1"/>
  <c r="P143" i="3" a="1"/>
  <c r="P143" i="3" s="1"/>
  <c r="P564" i="3" a="1"/>
  <c r="P564" i="3" s="1"/>
  <c r="J564" i="3" s="1"/>
  <c r="O564" i="3" a="1"/>
  <c r="O564" i="3" s="1"/>
  <c r="I564" i="3" s="1"/>
  <c r="P562" i="3" a="1"/>
  <c r="P562" i="3" s="1"/>
  <c r="O563" i="3" a="1"/>
  <c r="O563" i="3" s="1"/>
  <c r="I563" i="3" s="1"/>
  <c r="O562" i="3" a="1"/>
  <c r="O562" i="3" s="1"/>
  <c r="I562" i="3" s="1"/>
  <c r="P563" i="3" a="1"/>
  <c r="P563" i="3" s="1"/>
  <c r="P559" i="3" a="1"/>
  <c r="P559" i="3" s="1"/>
  <c r="O560" i="3" a="1"/>
  <c r="O560" i="3" s="1"/>
  <c r="I560" i="3" s="1"/>
  <c r="P560" i="3" a="1"/>
  <c r="P560" i="3" s="1"/>
  <c r="P555" i="3" a="1"/>
  <c r="P555" i="3" s="1"/>
  <c r="P195" i="3" a="1"/>
  <c r="P195" i="3" s="1"/>
  <c r="O558" i="3" a="1"/>
  <c r="O558" i="3" s="1"/>
  <c r="I558" i="3" s="1"/>
  <c r="P556" i="3" a="1"/>
  <c r="P556" i="3" s="1"/>
  <c r="P557" i="3" a="1"/>
  <c r="P557" i="3" s="1"/>
  <c r="P42" i="3" a="1"/>
  <c r="P42" i="3" s="1"/>
  <c r="P558" i="3" a="1"/>
  <c r="P558" i="3" s="1"/>
  <c r="O557" i="3" a="1"/>
  <c r="O557" i="3" s="1"/>
  <c r="I557" i="3" s="1"/>
  <c r="O42" i="3" a="1"/>
  <c r="O42" i="3" s="1"/>
  <c r="I42" i="3" s="1"/>
  <c r="O555" i="3" a="1"/>
  <c r="O555" i="3" s="1"/>
  <c r="I555" i="3" s="1"/>
  <c r="O158" i="3" a="1"/>
  <c r="O158" i="3" s="1"/>
  <c r="I158" i="3" s="1"/>
  <c r="P158" i="3" a="1"/>
  <c r="P158" i="3" s="1"/>
  <c r="O554" i="3" a="1"/>
  <c r="O554" i="3" s="1"/>
  <c r="I554" i="3" s="1"/>
  <c r="O195" i="3" a="1"/>
  <c r="O195" i="3" s="1"/>
  <c r="I195" i="3" s="1"/>
  <c r="P554" i="3" a="1"/>
  <c r="P554" i="3" s="1"/>
  <c r="O559" i="3" a="1"/>
  <c r="O559" i="3" s="1"/>
  <c r="I559" i="3" s="1"/>
  <c r="O556" i="3" a="1"/>
  <c r="O556" i="3" s="1"/>
  <c r="I556" i="3" s="1"/>
  <c r="P561" i="3" a="1"/>
  <c r="P561" i="3" s="1"/>
  <c r="J561" i="3" s="1"/>
  <c r="O561" i="3" a="1"/>
  <c r="O561" i="3" s="1"/>
  <c r="I561" i="3" s="1"/>
  <c r="A14" i="5"/>
  <c r="B14" i="5"/>
  <c r="E15" i="1"/>
  <c r="C19" i="1" s="1"/>
  <c r="O316" i="3" a="1"/>
  <c r="O316" i="3" s="1"/>
  <c r="I316" i="3" s="1"/>
  <c r="O476" i="3" a="1"/>
  <c r="O476" i="3" s="1"/>
  <c r="I476" i="3" s="1"/>
  <c r="O234" i="3" a="1"/>
  <c r="O234" i="3" s="1"/>
  <c r="I234" i="3" s="1"/>
  <c r="P462" i="3" a="1"/>
  <c r="P462" i="3" s="1"/>
  <c r="O246" i="3" a="1"/>
  <c r="O246" i="3" s="1"/>
  <c r="I246" i="3" s="1"/>
  <c r="O243" i="3" a="1"/>
  <c r="O243" i="3" s="1"/>
  <c r="I243" i="3" s="1"/>
  <c r="P249" i="3" a="1"/>
  <c r="P249" i="3" s="1"/>
  <c r="P239" i="3" a="1"/>
  <c r="P239" i="3" s="1"/>
  <c r="P199" i="3" a="1"/>
  <c r="P199" i="3" s="1"/>
  <c r="P267" i="3" a="1"/>
  <c r="P267" i="3" s="1"/>
  <c r="P205" i="3" a="1"/>
  <c r="P205" i="3" s="1"/>
  <c r="P8" i="3" a="1"/>
  <c r="P8" i="3" s="1"/>
  <c r="P486" i="3" a="1"/>
  <c r="P486" i="3" s="1"/>
  <c r="P284" i="3" a="1"/>
  <c r="P284" i="3" s="1"/>
  <c r="P204" i="3" a="1"/>
  <c r="P204" i="3" s="1"/>
  <c r="O524" i="3" a="1"/>
  <c r="O524" i="3" s="1"/>
  <c r="I524" i="3" s="1"/>
  <c r="P17" i="3" a="1"/>
  <c r="P17" i="3" s="1"/>
  <c r="O292" i="3" a="1"/>
  <c r="O292" i="3" s="1"/>
  <c r="I292" i="3" s="1"/>
  <c r="O147" i="3" a="1"/>
  <c r="O147" i="3" s="1"/>
  <c r="I147" i="3" s="1"/>
  <c r="O178" i="3" a="1"/>
  <c r="O178" i="3" s="1"/>
  <c r="I178" i="3" s="1"/>
  <c r="P297" i="3" a="1"/>
  <c r="P297" i="3" s="1"/>
  <c r="P178" i="3" a="1"/>
  <c r="P178" i="3" s="1"/>
  <c r="O307" i="3" a="1"/>
  <c r="O307" i="3" s="1"/>
  <c r="I307" i="3" s="1"/>
  <c r="P83" i="3" a="1"/>
  <c r="P83" i="3" s="1"/>
  <c r="O449" i="3" a="1"/>
  <c r="O449" i="3" s="1"/>
  <c r="I449" i="3" s="1"/>
  <c r="O312" i="3" a="1"/>
  <c r="O312" i="3" s="1"/>
  <c r="I312" i="3" s="1"/>
  <c r="P29" i="3" a="1"/>
  <c r="P29" i="3" s="1"/>
  <c r="O553" i="3" a="1"/>
  <c r="O553" i="3" s="1"/>
  <c r="I553" i="3" s="1"/>
  <c r="O235" i="3" a="1"/>
  <c r="O235" i="3" s="1"/>
  <c r="I235" i="3" s="1"/>
  <c r="O117" i="3" a="1"/>
  <c r="O117" i="3" s="1"/>
  <c r="I117" i="3" s="1"/>
  <c r="O262" i="3" a="1"/>
  <c r="O262" i="3" s="1"/>
  <c r="I262" i="3" s="1"/>
  <c r="O502" i="3" a="1"/>
  <c r="O502" i="3" s="1"/>
  <c r="I502" i="3" s="1"/>
  <c r="O155" i="3" a="1"/>
  <c r="O155" i="3" s="1"/>
  <c r="I155" i="3" s="1"/>
  <c r="P166" i="3" a="1"/>
  <c r="P166" i="3" s="1"/>
  <c r="P408" i="3" a="1"/>
  <c r="P408" i="3" s="1"/>
  <c r="P264" i="3" a="1"/>
  <c r="P264" i="3" s="1"/>
  <c r="P41" i="3" a="1"/>
  <c r="P41" i="3" s="1"/>
  <c r="O56" i="3" a="1"/>
  <c r="O56" i="3" s="1"/>
  <c r="I56" i="3" s="1"/>
  <c r="O487" i="3" a="1"/>
  <c r="O487" i="3" s="1"/>
  <c r="I487" i="3" s="1"/>
  <c r="O513" i="3" a="1"/>
  <c r="O513" i="3" s="1"/>
  <c r="I513" i="3" s="1"/>
  <c r="O146" i="3" a="1"/>
  <c r="O146" i="3" s="1"/>
  <c r="I146" i="3" s="1"/>
  <c r="P28" i="3" a="1"/>
  <c r="P28" i="3" s="1"/>
  <c r="P273" i="3" a="1"/>
  <c r="P273" i="3" s="1"/>
  <c r="P303" i="3" a="1"/>
  <c r="P303" i="3" s="1"/>
  <c r="P319" i="3" a="1"/>
  <c r="P319" i="3" s="1"/>
  <c r="P321" i="3" a="1"/>
  <c r="P321" i="3" s="1"/>
  <c r="J321" i="3" s="1"/>
  <c r="P314" i="3" a="1"/>
  <c r="P314" i="3" s="1"/>
  <c r="O176" i="3" a="1"/>
  <c r="O176" i="3" s="1"/>
  <c r="I176" i="3" s="1"/>
  <c r="O18" i="3" a="1"/>
  <c r="O18" i="3" s="1"/>
  <c r="I18" i="3" s="1"/>
  <c r="P133" i="3" a="1"/>
  <c r="P133" i="3" s="1"/>
  <c r="P247" i="3" a="1"/>
  <c r="P247" i="3" s="1"/>
  <c r="P265" i="3" a="1"/>
  <c r="P265" i="3" s="1"/>
  <c r="O279" i="3" a="1"/>
  <c r="O279" i="3" s="1"/>
  <c r="I279" i="3" s="1"/>
  <c r="P296" i="3" a="1"/>
  <c r="P296" i="3" s="1"/>
  <c r="O311" i="3" a="1"/>
  <c r="O311" i="3" s="1"/>
  <c r="I311" i="3" s="1"/>
  <c r="P301" i="3" a="1"/>
  <c r="P301" i="3" s="1"/>
  <c r="P406" i="3" a="1"/>
  <c r="P406" i="3" s="1"/>
  <c r="P112" i="3" a="1"/>
  <c r="P112" i="3" s="1"/>
  <c r="P550" i="3" a="1"/>
  <c r="P550" i="3" s="1"/>
  <c r="P236" i="3" a="1"/>
  <c r="P236" i="3" s="1"/>
  <c r="P464" i="3" a="1"/>
  <c r="P464" i="3" s="1"/>
  <c r="P211" i="3" a="1"/>
  <c r="P211" i="3" s="1"/>
  <c r="P44" i="3" a="1"/>
  <c r="P44" i="3" s="1"/>
  <c r="P116" i="3" a="1"/>
  <c r="P116" i="3" s="1"/>
  <c r="P529" i="3" a="1"/>
  <c r="P529" i="3" s="1"/>
  <c r="O257" i="3" a="1"/>
  <c r="O257" i="3" s="1"/>
  <c r="I257" i="3" s="1"/>
  <c r="P502" i="3" a="1"/>
  <c r="P502" i="3" s="1"/>
  <c r="P524" i="3" a="1"/>
  <c r="P524" i="3" s="1"/>
  <c r="P546" i="3" a="1"/>
  <c r="P546" i="3" s="1"/>
  <c r="P309" i="3" a="1"/>
  <c r="P309" i="3" s="1"/>
  <c r="P298" i="3" a="1"/>
  <c r="P298" i="3" s="1"/>
  <c r="O461" i="3" a="1"/>
  <c r="O461" i="3" s="1"/>
  <c r="I461" i="3" s="1"/>
  <c r="O249" i="3" a="1"/>
  <c r="O249" i="3" s="1"/>
  <c r="I249" i="3" s="1"/>
  <c r="O256" i="3" a="1"/>
  <c r="O256" i="3" s="1"/>
  <c r="I256" i="3" s="1"/>
  <c r="O154" i="3" a="1"/>
  <c r="O154" i="3" s="1"/>
  <c r="I154" i="3" s="1"/>
  <c r="P503" i="3" a="1"/>
  <c r="P503" i="3" s="1"/>
  <c r="P351" i="3" a="1"/>
  <c r="P351" i="3" s="1"/>
  <c r="J351" i="3" s="1"/>
  <c r="P261" i="3" a="1"/>
  <c r="P261" i="3" s="1"/>
  <c r="O270" i="3" a="1"/>
  <c r="O270" i="3" s="1"/>
  <c r="I270" i="3" s="1"/>
  <c r="O145" i="3" a="1"/>
  <c r="O145" i="3" s="1"/>
  <c r="I145" i="3" s="1"/>
  <c r="O20" i="3" a="1"/>
  <c r="O20" i="3" s="1"/>
  <c r="I20" i="3" s="1"/>
  <c r="O282" i="3" a="1"/>
  <c r="O282" i="3" s="1"/>
  <c r="I282" i="3" s="1"/>
  <c r="P279" i="3" a="1"/>
  <c r="P279" i="3" s="1"/>
  <c r="O285" i="3" a="1"/>
  <c r="O285" i="3" s="1"/>
  <c r="I285" i="3" s="1"/>
  <c r="P311" i="3" a="1"/>
  <c r="P311" i="3" s="1"/>
  <c r="P307" i="3" a="1"/>
  <c r="P307" i="3" s="1"/>
  <c r="P312" i="3" a="1"/>
  <c r="P312" i="3" s="1"/>
  <c r="O192" i="3" a="1"/>
  <c r="O192" i="3" s="1"/>
  <c r="I192" i="3" s="1"/>
  <c r="O328" i="3" a="1"/>
  <c r="O328" i="3" s="1"/>
  <c r="I328" i="3" s="1"/>
  <c r="P329" i="3" a="1"/>
  <c r="P329" i="3" s="1"/>
  <c r="O206" i="3" a="1"/>
  <c r="O206" i="3" s="1"/>
  <c r="I206" i="3" s="1"/>
  <c r="O457" i="3" a="1"/>
  <c r="O457" i="3" s="1"/>
  <c r="I457" i="3" s="1"/>
  <c r="O251" i="3" a="1"/>
  <c r="O251" i="3" s="1"/>
  <c r="I251" i="3" s="1"/>
  <c r="P461" i="3" a="1"/>
  <c r="P461" i="3" s="1"/>
  <c r="P232" i="3" a="1"/>
  <c r="P232" i="3" s="1"/>
  <c r="O244" i="3" a="1"/>
  <c r="O244" i="3" s="1"/>
  <c r="I244" i="3" s="1"/>
  <c r="O467" i="3" a="1"/>
  <c r="O467" i="3" s="1"/>
  <c r="I467" i="3" s="1"/>
  <c r="P242" i="3" a="1"/>
  <c r="P242" i="3" s="1"/>
  <c r="P245" i="3" a="1"/>
  <c r="P245" i="3" s="1"/>
  <c r="O383" i="3" a="1"/>
  <c r="O383" i="3" s="1"/>
  <c r="I383" i="3" s="1"/>
  <c r="P257" i="3" a="1"/>
  <c r="P257" i="3" s="1"/>
  <c r="P270" i="3" a="1"/>
  <c r="P270" i="3" s="1"/>
  <c r="P145" i="3" a="1"/>
  <c r="P145" i="3" s="1"/>
  <c r="P20" i="3" a="1"/>
  <c r="P20" i="3" s="1"/>
  <c r="P198" i="3" a="1"/>
  <c r="P198" i="3" s="1"/>
  <c r="P282" i="3" a="1"/>
  <c r="P282" i="3" s="1"/>
  <c r="P285" i="3" a="1"/>
  <c r="P285" i="3" s="1"/>
  <c r="O287" i="3" a="1"/>
  <c r="O287" i="3" s="1"/>
  <c r="I287" i="3" s="1"/>
  <c r="O289" i="3" a="1"/>
  <c r="O289" i="3" s="1"/>
  <c r="I289" i="3" s="1"/>
  <c r="O310" i="3" a="1"/>
  <c r="O310" i="3" s="1"/>
  <c r="I310" i="3" s="1"/>
  <c r="O309" i="3" a="1"/>
  <c r="O309" i="3" s="1"/>
  <c r="I309" i="3" s="1"/>
  <c r="O34" i="3" a="1"/>
  <c r="O34" i="3" s="1"/>
  <c r="I34" i="3" s="1"/>
  <c r="O326" i="3" a="1"/>
  <c r="O326" i="3" s="1"/>
  <c r="I326" i="3" s="1"/>
  <c r="O548" i="3" a="1"/>
  <c r="O548" i="3" s="1"/>
  <c r="I548" i="3" s="1"/>
  <c r="P299" i="3" a="1"/>
  <c r="P299" i="3" s="1"/>
  <c r="O302" i="3" a="1"/>
  <c r="O302" i="3" s="1"/>
  <c r="I302" i="3" s="1"/>
  <c r="P308" i="3" a="1"/>
  <c r="P308" i="3" s="1"/>
  <c r="P315" i="3" a="1"/>
  <c r="P315" i="3" s="1"/>
  <c r="P316" i="3" a="1"/>
  <c r="P316" i="3" s="1"/>
  <c r="P192" i="3" a="1"/>
  <c r="P192" i="3" s="1"/>
  <c r="O552" i="3" a="1"/>
  <c r="O552" i="3" s="1"/>
  <c r="I552" i="3" s="1"/>
  <c r="O239" i="3" a="1"/>
  <c r="O239" i="3" s="1"/>
  <c r="I239" i="3" s="1"/>
  <c r="P413" i="3" a="1"/>
  <c r="P413" i="3" s="1"/>
  <c r="O240" i="3" a="1"/>
  <c r="O240" i="3" s="1"/>
  <c r="I240" i="3" s="1"/>
  <c r="P506" i="3" a="1"/>
  <c r="P506" i="3" s="1"/>
  <c r="O140" i="3" a="1"/>
  <c r="O140" i="3" s="1"/>
  <c r="I140" i="3" s="1"/>
  <c r="P52" i="3" a="1"/>
  <c r="P52" i="3" s="1"/>
  <c r="O191" i="3" a="1"/>
  <c r="O191" i="3" s="1"/>
  <c r="I191" i="3" s="1"/>
  <c r="P433" i="3" a="1"/>
  <c r="P433" i="3" s="1"/>
  <c r="P288" i="3" a="1"/>
  <c r="P288" i="3" s="1"/>
  <c r="P222" i="3" a="1"/>
  <c r="P222" i="3" s="1"/>
  <c r="O133" i="3" a="1"/>
  <c r="O133" i="3" s="1"/>
  <c r="I133" i="3" s="1"/>
  <c r="P552" i="3" a="1"/>
  <c r="P552" i="3" s="1"/>
  <c r="P115" i="3" a="1"/>
  <c r="P115" i="3" s="1"/>
  <c r="P411" i="3" a="1"/>
  <c r="P411" i="3" s="1"/>
  <c r="O357" i="3" a="1"/>
  <c r="O357" i="3" s="1"/>
  <c r="I357" i="3" s="1"/>
  <c r="O189" i="3" a="1"/>
  <c r="O189" i="3" s="1"/>
  <c r="I189" i="3" s="1"/>
  <c r="O242" i="3" a="1"/>
  <c r="O242" i="3" s="1"/>
  <c r="I242" i="3" s="1"/>
  <c r="P240" i="3" a="1"/>
  <c r="P240" i="3" s="1"/>
  <c r="O272" i="3" a="1"/>
  <c r="O272" i="3" s="1"/>
  <c r="I272" i="3" s="1"/>
  <c r="P286" i="3" a="1"/>
  <c r="P286" i="3" s="1"/>
  <c r="O231" i="3" a="1"/>
  <c r="O231" i="3" s="1"/>
  <c r="I231" i="3" s="1"/>
  <c r="O294" i="3" a="1"/>
  <c r="O294" i="3" s="1"/>
  <c r="I294" i="3" s="1"/>
  <c r="O298" i="3" a="1"/>
  <c r="O298" i="3" s="1"/>
  <c r="I298" i="3" s="1"/>
  <c r="P434" i="3" a="1"/>
  <c r="P434" i="3" s="1"/>
  <c r="O36" i="3" a="1"/>
  <c r="O36" i="3" s="1"/>
  <c r="I36" i="3" s="1"/>
  <c r="P294" i="3" a="1"/>
  <c r="P294" i="3" s="1"/>
  <c r="P300" i="3" a="1"/>
  <c r="P300" i="3" s="1"/>
  <c r="O218" i="3" a="1"/>
  <c r="O218" i="3" s="1"/>
  <c r="I218" i="3" s="1"/>
  <c r="O82" i="3" a="1"/>
  <c r="O82" i="3" s="1"/>
  <c r="I82" i="3" s="1"/>
  <c r="P450" i="3" a="1"/>
  <c r="P450" i="3" s="1"/>
  <c r="P320" i="3" a="1"/>
  <c r="P320" i="3" s="1"/>
  <c r="J320" i="3" s="1"/>
  <c r="P325" i="3" a="1"/>
  <c r="P325" i="3" s="1"/>
  <c r="O333" i="3" a="1"/>
  <c r="O333" i="3" s="1"/>
  <c r="I333" i="3" s="1"/>
  <c r="O350" i="3" a="1"/>
  <c r="O350" i="3" s="1"/>
  <c r="I350" i="3" s="1"/>
  <c r="O355" i="3" a="1"/>
  <c r="O355" i="3" s="1"/>
  <c r="I355" i="3" s="1"/>
  <c r="P430" i="3" a="1"/>
  <c r="P430" i="3" s="1"/>
  <c r="O253" i="3" a="1"/>
  <c r="O253" i="3" s="1"/>
  <c r="I253" i="3" s="1"/>
  <c r="O237" i="3" a="1"/>
  <c r="O237" i="3" s="1"/>
  <c r="I237" i="3" s="1"/>
  <c r="P526" i="3" a="1"/>
  <c r="P526" i="3" s="1"/>
  <c r="O549" i="3" a="1"/>
  <c r="O549" i="3" s="1"/>
  <c r="I549" i="3" s="1"/>
  <c r="P504" i="3" a="1"/>
  <c r="P504" i="3" s="1"/>
  <c r="P258" i="3" a="1"/>
  <c r="P258" i="3" s="1"/>
  <c r="P268" i="3" a="1"/>
  <c r="P268" i="3" s="1"/>
  <c r="O157" i="3" a="1"/>
  <c r="O157" i="3" s="1"/>
  <c r="I157" i="3" s="1"/>
  <c r="O361" i="3" a="1"/>
  <c r="O361" i="3" s="1"/>
  <c r="I361" i="3" s="1"/>
  <c r="O205" i="3" a="1"/>
  <c r="O205" i="3" s="1"/>
  <c r="I205" i="3" s="1"/>
  <c r="P435" i="3" a="1"/>
  <c r="P435" i="3" s="1"/>
  <c r="P326" i="3" a="1"/>
  <c r="P326" i="3" s="1"/>
  <c r="P11" i="3" a="1"/>
  <c r="P11" i="3" s="1"/>
  <c r="P93" i="3" a="1"/>
  <c r="P93" i="3" s="1"/>
  <c r="P397" i="3" a="1"/>
  <c r="P397" i="3" s="1"/>
  <c r="J397" i="3" s="1"/>
  <c r="P541" i="3" a="1"/>
  <c r="P541" i="3" s="1"/>
  <c r="P263" i="3" a="1"/>
  <c r="P263" i="3" s="1"/>
  <c r="O349" i="3" a="1"/>
  <c r="O349" i="3" s="1"/>
  <c r="I349" i="3" s="1"/>
  <c r="P356" i="3" a="1"/>
  <c r="P356" i="3" s="1"/>
  <c r="O330" i="3" a="1"/>
  <c r="O330" i="3" s="1"/>
  <c r="I330" i="3" s="1"/>
  <c r="P248" i="3" a="1"/>
  <c r="P248" i="3" s="1"/>
  <c r="P549" i="3" a="1"/>
  <c r="P549" i="3" s="1"/>
  <c r="O13" i="3" a="1"/>
  <c r="O13" i="3" s="1"/>
  <c r="I13" i="3" s="1"/>
  <c r="P361" i="3" a="1"/>
  <c r="P361" i="3" s="1"/>
  <c r="P275" i="3" a="1"/>
  <c r="P275" i="3" s="1"/>
  <c r="O497" i="3" a="1"/>
  <c r="O497" i="3" s="1"/>
  <c r="I497" i="3" s="1"/>
  <c r="O295" i="3" a="1"/>
  <c r="O295" i="3" s="1"/>
  <c r="I295" i="3" s="1"/>
  <c r="P437" i="3" a="1"/>
  <c r="P437" i="3" s="1"/>
  <c r="O112" i="3" a="1"/>
  <c r="O112" i="3" s="1"/>
  <c r="I112" i="3" s="1"/>
  <c r="P305" i="3" a="1"/>
  <c r="P305" i="3" s="1"/>
  <c r="P449" i="3" a="1"/>
  <c r="P449" i="3" s="1"/>
  <c r="O313" i="3" a="1"/>
  <c r="O313" i="3" s="1"/>
  <c r="I313" i="3" s="1"/>
  <c r="O317" i="3" a="1"/>
  <c r="O317" i="3" s="1"/>
  <c r="I317" i="3" s="1"/>
  <c r="O327" i="3" a="1"/>
  <c r="O327" i="3" s="1"/>
  <c r="I327" i="3" s="1"/>
  <c r="O550" i="3" a="1"/>
  <c r="O550" i="3" s="1"/>
  <c r="I550" i="3" s="1"/>
  <c r="O335" i="3" a="1"/>
  <c r="O335" i="3" s="1"/>
  <c r="I335" i="3" s="1"/>
  <c r="P338" i="3" a="1"/>
  <c r="P338" i="3" s="1"/>
  <c r="O347" i="3" a="1"/>
  <c r="O347" i="3" s="1"/>
  <c r="I347" i="3" s="1"/>
  <c r="O38" i="3" a="1"/>
  <c r="O38" i="3" s="1"/>
  <c r="I38" i="3" s="1"/>
  <c r="O358" i="3" a="1"/>
  <c r="O358" i="3" s="1"/>
  <c r="I358" i="3" s="1"/>
  <c r="P243" i="3" a="1"/>
  <c r="P243" i="3" s="1"/>
  <c r="O261" i="3" a="1"/>
  <c r="O261" i="3" s="1"/>
  <c r="I261" i="3" s="1"/>
  <c r="O254" i="3" a="1"/>
  <c r="O254" i="3" s="1"/>
  <c r="I254" i="3" s="1"/>
  <c r="P244" i="3" a="1"/>
  <c r="P244" i="3" s="1"/>
  <c r="O264" i="3" a="1"/>
  <c r="O264" i="3" s="1"/>
  <c r="I264" i="3" s="1"/>
  <c r="O486" i="3" a="1"/>
  <c r="O486" i="3" s="1"/>
  <c r="I486" i="3" s="1"/>
  <c r="O198" i="3" a="1"/>
  <c r="O198" i="3" s="1"/>
  <c r="I198" i="3" s="1"/>
  <c r="O271" i="3" a="1"/>
  <c r="O271" i="3" s="1"/>
  <c r="I271" i="3" s="1"/>
  <c r="P147" i="3" a="1"/>
  <c r="P147" i="3" s="1"/>
  <c r="P313" i="3" a="1"/>
  <c r="P313" i="3" s="1"/>
  <c r="O29" i="3" a="1"/>
  <c r="O29" i="3" s="1"/>
  <c r="I29" i="3" s="1"/>
  <c r="O509" i="3" a="1"/>
  <c r="O509" i="3" s="1"/>
  <c r="I509" i="3" s="1"/>
  <c r="P99" i="3" a="1"/>
  <c r="P99" i="3" s="1"/>
  <c r="P182" i="3" a="1"/>
  <c r="P182" i="3" s="1"/>
  <c r="P347" i="3" a="1"/>
  <c r="P347" i="3" s="1"/>
  <c r="O351" i="3" a="1"/>
  <c r="O351" i="3" s="1"/>
  <c r="I351" i="3" s="1"/>
  <c r="P410" i="3" a="1"/>
  <c r="P410" i="3" s="1"/>
  <c r="O130" i="3" a="1"/>
  <c r="O130" i="3" s="1"/>
  <c r="I130" i="3" s="1"/>
  <c r="P130" i="3" a="1"/>
  <c r="P130" i="3" s="1"/>
  <c r="P262" i="3" a="1"/>
  <c r="P262" i="3" s="1"/>
  <c r="O41" i="3" a="1"/>
  <c r="O41" i="3" s="1"/>
  <c r="I41" i="3" s="1"/>
  <c r="P146" i="3" a="1"/>
  <c r="P146" i="3" s="1"/>
  <c r="O52" i="3" a="1"/>
  <c r="O52" i="3" s="1"/>
  <c r="I52" i="3" s="1"/>
  <c r="P497" i="3" a="1"/>
  <c r="P497" i="3" s="1"/>
  <c r="O544" i="3" a="1"/>
  <c r="O544" i="3" s="1"/>
  <c r="I544" i="3" s="1"/>
  <c r="O101" i="3" a="1"/>
  <c r="O101" i="3" s="1"/>
  <c r="I101" i="3" s="1"/>
  <c r="P304" i="3" a="1"/>
  <c r="P304" i="3" s="1"/>
  <c r="O448" i="3" a="1"/>
  <c r="O448" i="3" s="1"/>
  <c r="I448" i="3" s="1"/>
  <c r="O323" i="3" a="1"/>
  <c r="O323" i="3" s="1"/>
  <c r="I323" i="3" s="1"/>
  <c r="P509" i="3" a="1"/>
  <c r="P509" i="3" s="1"/>
  <c r="O336" i="3" a="1"/>
  <c r="O336" i="3" s="1"/>
  <c r="I336" i="3" s="1"/>
  <c r="O93" i="3" a="1"/>
  <c r="O93" i="3" s="1"/>
  <c r="I93" i="3" s="1"/>
  <c r="P340" i="3" a="1"/>
  <c r="P340" i="3" s="1"/>
  <c r="O541" i="3" a="1"/>
  <c r="O541" i="3" s="1"/>
  <c r="I541" i="3" s="1"/>
  <c r="P359" i="3" a="1"/>
  <c r="P359" i="3" s="1"/>
  <c r="O363" i="3" a="1"/>
  <c r="O363" i="3" s="1"/>
  <c r="I363" i="3" s="1"/>
  <c r="O105" i="3" a="1"/>
  <c r="O105" i="3" s="1"/>
  <c r="I105" i="3" s="1"/>
  <c r="O369" i="3" a="1"/>
  <c r="O369" i="3" s="1"/>
  <c r="I369" i="3" s="1"/>
  <c r="P374" i="3" a="1"/>
  <c r="P374" i="3" s="1"/>
  <c r="P372" i="3" a="1"/>
  <c r="P372" i="3" s="1"/>
  <c r="P200" i="3" a="1"/>
  <c r="P200" i="3" s="1"/>
  <c r="P379" i="3" a="1"/>
  <c r="P379" i="3" s="1"/>
  <c r="P194" i="3" a="1"/>
  <c r="P194" i="3" s="1"/>
  <c r="P441" i="3" a="1"/>
  <c r="P441" i="3" s="1"/>
  <c r="P3" i="3" a="1"/>
  <c r="P3" i="3" s="1"/>
  <c r="P13" i="3" a="1"/>
  <c r="P13" i="3" s="1"/>
  <c r="P191" i="3" a="1"/>
  <c r="P191" i="3" s="1"/>
  <c r="P310" i="3" a="1"/>
  <c r="P310" i="3" s="1"/>
  <c r="P290" i="3" a="1"/>
  <c r="P290" i="3" s="1"/>
  <c r="O453" i="3" a="1"/>
  <c r="O453" i="3" s="1"/>
  <c r="I453" i="3" s="1"/>
  <c r="O314" i="3" a="1"/>
  <c r="O314" i="3" s="1"/>
  <c r="I314" i="3" s="1"/>
  <c r="P332" i="3" a="1"/>
  <c r="P332" i="3" s="1"/>
  <c r="O99" i="3" a="1"/>
  <c r="O99" i="3" s="1"/>
  <c r="I99" i="3" s="1"/>
  <c r="P345" i="3" a="1"/>
  <c r="P345" i="3" s="1"/>
  <c r="O359" i="3" a="1"/>
  <c r="O359" i="3" s="1"/>
  <c r="I359" i="3" s="1"/>
  <c r="P363" i="3" a="1"/>
  <c r="P363" i="3" s="1"/>
  <c r="P369" i="3" a="1"/>
  <c r="P369" i="3" s="1"/>
  <c r="O377" i="3" a="1"/>
  <c r="O377" i="3" s="1"/>
  <c r="I377" i="3" s="1"/>
  <c r="P253" i="3" a="1"/>
  <c r="P253" i="3" s="1"/>
  <c r="O280" i="3" a="1"/>
  <c r="O280" i="3" s="1"/>
  <c r="I280" i="3" s="1"/>
  <c r="O48" i="3" a="1"/>
  <c r="O48" i="3" s="1"/>
  <c r="I48" i="3" s="1"/>
  <c r="O111" i="3" a="1"/>
  <c r="O111" i="3" s="1"/>
  <c r="I111" i="3" s="1"/>
  <c r="O434" i="3" a="1"/>
  <c r="O434" i="3" s="1"/>
  <c r="I434" i="3" s="1"/>
  <c r="O150" i="3" a="1"/>
  <c r="O150" i="3" s="1"/>
  <c r="I150" i="3" s="1"/>
  <c r="O300" i="3" a="1"/>
  <c r="O300" i="3" s="1"/>
  <c r="I300" i="3" s="1"/>
  <c r="O37" i="3" a="1"/>
  <c r="O37" i="3" s="1"/>
  <c r="I37" i="3" s="1"/>
  <c r="P453" i="3" a="1"/>
  <c r="P453" i="3" s="1"/>
  <c r="O11" i="3" a="1"/>
  <c r="O11" i="3" s="1"/>
  <c r="I11" i="3" s="1"/>
  <c r="O340" i="3" a="1"/>
  <c r="O340" i="3" s="1"/>
  <c r="I340" i="3" s="1"/>
  <c r="O148" i="3" a="1"/>
  <c r="O148" i="3" s="1"/>
  <c r="I148" i="3" s="1"/>
  <c r="O2" i="3" a="1"/>
  <c r="O2" i="3" s="1"/>
  <c r="I2" i="3" s="1"/>
  <c r="O353" i="3" a="1"/>
  <c r="O353" i="3" s="1"/>
  <c r="I353" i="3" s="1"/>
  <c r="P432" i="3" a="1"/>
  <c r="P432" i="3" s="1"/>
  <c r="P365" i="3" a="1"/>
  <c r="P365" i="3" s="1"/>
  <c r="P377" i="3" a="1"/>
  <c r="P377" i="3" s="1"/>
  <c r="P390" i="3" a="1"/>
  <c r="P390" i="3" s="1"/>
  <c r="P156" i="3" a="1"/>
  <c r="P156" i="3" s="1"/>
  <c r="O232" i="3" a="1"/>
  <c r="O232" i="3" s="1"/>
  <c r="I232" i="3" s="1"/>
  <c r="O469" i="3" a="1"/>
  <c r="O469" i="3" s="1"/>
  <c r="I469" i="3" s="1"/>
  <c r="P280" i="3" a="1"/>
  <c r="P280" i="3" s="1"/>
  <c r="P276" i="3" a="1"/>
  <c r="P276" i="3" s="1"/>
  <c r="P281" i="3" a="1"/>
  <c r="P281" i="3" s="1"/>
  <c r="P48" i="3" a="1"/>
  <c r="P48" i="3" s="1"/>
  <c r="P150" i="3" a="1"/>
  <c r="P150" i="3" s="1"/>
  <c r="O229" i="3" a="1"/>
  <c r="O229" i="3" s="1"/>
  <c r="I229" i="3" s="1"/>
  <c r="O63" i="3" a="1"/>
  <c r="O63" i="3" s="1"/>
  <c r="I63" i="3" s="1"/>
  <c r="P306" i="3" a="1"/>
  <c r="P306" i="3" s="1"/>
  <c r="P508" i="3" a="1"/>
  <c r="P508" i="3" s="1"/>
  <c r="P330" i="3" a="1"/>
  <c r="P330" i="3" s="1"/>
  <c r="P485" i="3" a="1"/>
  <c r="P485" i="3" s="1"/>
  <c r="O339" i="3" a="1"/>
  <c r="O339" i="3" s="1"/>
  <c r="I339" i="3" s="1"/>
  <c r="P346" i="3" a="1"/>
  <c r="P346" i="3" s="1"/>
  <c r="P2" i="3" a="1"/>
  <c r="P2" i="3" s="1"/>
  <c r="P353" i="3" a="1"/>
  <c r="P353" i="3" s="1"/>
  <c r="J353" i="3" s="1"/>
  <c r="O452" i="3" a="1"/>
  <c r="O452" i="3" s="1"/>
  <c r="I452" i="3" s="1"/>
  <c r="P54" i="3" a="1"/>
  <c r="P54" i="3" s="1"/>
  <c r="P10" i="3" a="1"/>
  <c r="P10" i="3" s="1"/>
  <c r="O165" i="3" a="1"/>
  <c r="O165" i="3" s="1"/>
  <c r="I165" i="3" s="1"/>
  <c r="P375" i="3" a="1"/>
  <c r="P375" i="3" s="1"/>
  <c r="O376" i="3" a="1"/>
  <c r="O376" i="3" s="1"/>
  <c r="I376" i="3" s="1"/>
  <c r="P187" i="3" a="1"/>
  <c r="P187" i="3" s="1"/>
  <c r="O389" i="3" a="1"/>
  <c r="O389" i="3" s="1"/>
  <c r="I389" i="3" s="1"/>
  <c r="P402" i="3" a="1"/>
  <c r="P402" i="3" s="1"/>
  <c r="O248" i="3" a="1"/>
  <c r="O248" i="3" s="1"/>
  <c r="I248" i="3" s="1"/>
  <c r="P527" i="3" a="1"/>
  <c r="P527" i="3" s="1"/>
  <c r="P255" i="3" a="1"/>
  <c r="P255" i="3" s="1"/>
  <c r="O259" i="3" a="1"/>
  <c r="O259" i="3" s="1"/>
  <c r="I259" i="3" s="1"/>
  <c r="O501" i="3" a="1"/>
  <c r="O501" i="3" s="1"/>
  <c r="I501" i="3" s="1"/>
  <c r="O267" i="3" a="1"/>
  <c r="O267" i="3" s="1"/>
  <c r="I267" i="3" s="1"/>
  <c r="P174" i="3" a="1"/>
  <c r="P174" i="3" s="1"/>
  <c r="P302" i="3" a="1"/>
  <c r="P302" i="3" s="1"/>
  <c r="O222" i="3" a="1"/>
  <c r="O222" i="3" s="1"/>
  <c r="I222" i="3" s="1"/>
  <c r="P37" i="3" a="1"/>
  <c r="P37" i="3" s="1"/>
  <c r="P507" i="3" a="1"/>
  <c r="P507" i="3" s="1"/>
  <c r="P38" i="3" a="1"/>
  <c r="P38" i="3" s="1"/>
  <c r="O356" i="3" a="1"/>
  <c r="O356" i="3" s="1"/>
  <c r="I356" i="3" s="1"/>
  <c r="P4" i="3" a="1"/>
  <c r="P4" i="3" s="1"/>
  <c r="P165" i="3" a="1"/>
  <c r="P165" i="3" s="1"/>
  <c r="P381" i="3" a="1"/>
  <c r="P381" i="3" s="1"/>
  <c r="O14" i="3" a="1"/>
  <c r="O14" i="3" s="1"/>
  <c r="I14" i="3" s="1"/>
  <c r="P387" i="3" a="1"/>
  <c r="P387" i="3" s="1"/>
  <c r="O45" i="3" a="1"/>
  <c r="O45" i="3" s="1"/>
  <c r="I45" i="3" s="1"/>
  <c r="O91" i="3" a="1"/>
  <c r="O91" i="3" s="1"/>
  <c r="I91" i="3" s="1"/>
  <c r="O16" i="3" a="1"/>
  <c r="O16" i="3" s="1"/>
  <c r="I16" i="3" s="1"/>
  <c r="O415" i="3" a="1"/>
  <c r="O415" i="3" s="1"/>
  <c r="I415" i="3" s="1"/>
  <c r="P416" i="3" a="1"/>
  <c r="P416" i="3" s="1"/>
  <c r="O394" i="3" a="1"/>
  <c r="O394" i="3" s="1"/>
  <c r="I394" i="3" s="1"/>
  <c r="O463" i="3" a="1"/>
  <c r="O463" i="3" s="1"/>
  <c r="I463" i="3" s="1"/>
  <c r="P234" i="3" a="1"/>
  <c r="P234" i="3" s="1"/>
  <c r="P157" i="3" a="1"/>
  <c r="P157" i="3" s="1"/>
  <c r="O8" i="3" a="1"/>
  <c r="O8" i="3" s="1"/>
  <c r="I8" i="3" s="1"/>
  <c r="O284" i="3" a="1"/>
  <c r="O284" i="3" s="1"/>
  <c r="I284" i="3" s="1"/>
  <c r="P436" i="3" a="1"/>
  <c r="P436" i="3" s="1"/>
  <c r="O427" i="3" a="1"/>
  <c r="O427" i="3" s="1"/>
  <c r="I427" i="3" s="1"/>
  <c r="P323" i="3" a="1"/>
  <c r="P323" i="3" s="1"/>
  <c r="O428" i="3" a="1"/>
  <c r="O428" i="3" s="1"/>
  <c r="I428" i="3" s="1"/>
  <c r="O354" i="3" a="1"/>
  <c r="O354" i="3" s="1"/>
  <c r="I354" i="3" s="1"/>
  <c r="O55" i="3" a="1"/>
  <c r="O55" i="3" s="1"/>
  <c r="I55" i="3" s="1"/>
  <c r="O19" i="3" a="1"/>
  <c r="O19" i="3" s="1"/>
  <c r="I19" i="3" s="1"/>
  <c r="P19" i="3" a="1"/>
  <c r="P19" i="3" s="1"/>
  <c r="P395" i="3" a="1"/>
  <c r="P395" i="3" s="1"/>
  <c r="P223" i="3" a="1"/>
  <c r="P223" i="3" s="1"/>
  <c r="O252" i="3" a="1"/>
  <c r="O252" i="3" s="1"/>
  <c r="I252" i="3" s="1"/>
  <c r="O175" i="3" a="1"/>
  <c r="O175" i="3" s="1"/>
  <c r="I175" i="3" s="1"/>
  <c r="P548" i="3" a="1"/>
  <c r="P548" i="3" s="1"/>
  <c r="O304" i="3" a="1"/>
  <c r="O304" i="3" s="1"/>
  <c r="I304" i="3" s="1"/>
  <c r="O407" i="3" a="1"/>
  <c r="O407" i="3" s="1"/>
  <c r="I407" i="3" s="1"/>
  <c r="P82" i="3" a="1"/>
  <c r="P82" i="3" s="1"/>
  <c r="P451" i="3" a="1"/>
  <c r="P451" i="3" s="1"/>
  <c r="P551" i="3" a="1"/>
  <c r="P551" i="3" s="1"/>
  <c r="P343" i="3" a="1"/>
  <c r="P343" i="3" s="1"/>
  <c r="O431" i="3" a="1"/>
  <c r="O431" i="3" s="1"/>
  <c r="I431" i="3" s="1"/>
  <c r="P360" i="3" a="1"/>
  <c r="P360" i="3" s="1"/>
  <c r="O365" i="3" a="1"/>
  <c r="O365" i="3" s="1"/>
  <c r="I365" i="3" s="1"/>
  <c r="O54" i="3" a="1"/>
  <c r="O54" i="3" s="1"/>
  <c r="I54" i="3" s="1"/>
  <c r="P55" i="3" a="1"/>
  <c r="P55" i="3" s="1"/>
  <c r="O374" i="3" a="1"/>
  <c r="O374" i="3" s="1"/>
  <c r="I374" i="3" s="1"/>
  <c r="P443" i="3" a="1"/>
  <c r="P443" i="3" s="1"/>
  <c r="P442" i="3" a="1"/>
  <c r="P442" i="3" s="1"/>
  <c r="O391" i="3" a="1"/>
  <c r="O391" i="3" s="1"/>
  <c r="I391" i="3" s="1"/>
  <c r="O403" i="3" a="1"/>
  <c r="O403" i="3" s="1"/>
  <c r="I403" i="3" s="1"/>
  <c r="O225" i="3" a="1"/>
  <c r="O225" i="3" s="1"/>
  <c r="I225" i="3" s="1"/>
  <c r="O274" i="3" a="1"/>
  <c r="O274" i="3" s="1"/>
  <c r="I274" i="3" s="1"/>
  <c r="P233" i="3" a="1"/>
  <c r="P233" i="3" s="1"/>
  <c r="P467" i="3" a="1"/>
  <c r="P467" i="3" s="1"/>
  <c r="P396" i="3" a="1"/>
  <c r="P396" i="3" s="1"/>
  <c r="J396" i="3" s="1"/>
  <c r="P487" i="3" a="1"/>
  <c r="P487" i="3" s="1"/>
  <c r="O275" i="3" a="1"/>
  <c r="O275" i="3" s="1"/>
  <c r="I275" i="3" s="1"/>
  <c r="P278" i="3" a="1"/>
  <c r="P278" i="3" s="1"/>
  <c r="O290" i="3" a="1"/>
  <c r="O290" i="3" s="1"/>
  <c r="I290" i="3" s="1"/>
  <c r="O122" i="3" a="1"/>
  <c r="O122" i="3" s="1"/>
  <c r="I122" i="3" s="1"/>
  <c r="O50" i="3" a="1"/>
  <c r="O50" i="3" s="1"/>
  <c r="I50" i="3" s="1"/>
  <c r="P352" i="3" a="1"/>
  <c r="P352" i="3" s="1"/>
  <c r="J352" i="3" s="1"/>
  <c r="P193" i="3" a="1"/>
  <c r="P193" i="3" s="1"/>
  <c r="O441" i="3" a="1"/>
  <c r="O441" i="3" s="1"/>
  <c r="I441" i="3" s="1"/>
  <c r="P384" i="3" a="1"/>
  <c r="P384" i="3" s="1"/>
  <c r="P49" i="3" a="1"/>
  <c r="P49" i="3" s="1"/>
  <c r="O59" i="3" a="1"/>
  <c r="O59" i="3" s="1"/>
  <c r="I59" i="3" s="1"/>
  <c r="P457" i="3" a="1"/>
  <c r="P457" i="3" s="1"/>
  <c r="O209" i="3" a="1"/>
  <c r="O209" i="3" s="1"/>
  <c r="I209" i="3" s="1"/>
  <c r="O493" i="3" a="1"/>
  <c r="O493" i="3" s="1"/>
  <c r="I493" i="3" s="1"/>
  <c r="P494" i="3" a="1"/>
  <c r="P494" i="3" s="1"/>
  <c r="P522" i="3" a="1"/>
  <c r="P522" i="3" s="1"/>
  <c r="P108" i="3" a="1"/>
  <c r="P108" i="3" s="1"/>
  <c r="P246" i="3" a="1"/>
  <c r="P246" i="3" s="1"/>
  <c r="O199" i="3" a="1"/>
  <c r="O199" i="3" s="1"/>
  <c r="I199" i="3" s="1"/>
  <c r="P34" i="3" a="1"/>
  <c r="P34" i="3" s="1"/>
  <c r="O546" i="3" a="1"/>
  <c r="O546" i="3" s="1"/>
  <c r="I546" i="3" s="1"/>
  <c r="P362" i="3" a="1"/>
  <c r="P362" i="3" s="1"/>
  <c r="J362" i="3" s="1"/>
  <c r="P218" i="3" a="1"/>
  <c r="P218" i="3" s="1"/>
  <c r="P322" i="3" a="1"/>
  <c r="P322" i="3" s="1"/>
  <c r="P327" i="3" a="1"/>
  <c r="P327" i="3" s="1"/>
  <c r="O510" i="3" a="1"/>
  <c r="O510" i="3" s="1"/>
  <c r="I510" i="3" s="1"/>
  <c r="O338" i="3" a="1"/>
  <c r="O338" i="3" s="1"/>
  <c r="I338" i="3" s="1"/>
  <c r="P50" i="3" a="1"/>
  <c r="P50" i="3" s="1"/>
  <c r="O345" i="3" a="1"/>
  <c r="O345" i="3" s="1"/>
  <c r="I345" i="3" s="1"/>
  <c r="O538" i="3" a="1"/>
  <c r="O538" i="3" s="1"/>
  <c r="I538" i="3" s="1"/>
  <c r="O151" i="3" a="1"/>
  <c r="O151" i="3" s="1"/>
  <c r="I151" i="3" s="1"/>
  <c r="O386" i="3" a="1"/>
  <c r="O386" i="3" s="1"/>
  <c r="I386" i="3" s="1"/>
  <c r="P400" i="3" a="1"/>
  <c r="P400" i="3" s="1"/>
  <c r="O456" i="3" a="1"/>
  <c r="O456" i="3" s="1"/>
  <c r="I456" i="3" s="1"/>
  <c r="O542" i="3" a="1"/>
  <c r="O542" i="3" s="1"/>
  <c r="I542" i="3" s="1"/>
  <c r="O405" i="3" a="1"/>
  <c r="O405" i="3" s="1"/>
  <c r="I405" i="3" s="1"/>
  <c r="O455" i="3" a="1"/>
  <c r="O455" i="3" s="1"/>
  <c r="I455" i="3" s="1"/>
  <c r="O21" i="3" a="1"/>
  <c r="O21" i="3" s="1"/>
  <c r="I21" i="3" s="1"/>
  <c r="O490" i="3" a="1"/>
  <c r="O490" i="3" s="1"/>
  <c r="I490" i="3" s="1"/>
  <c r="P415" i="3" a="1"/>
  <c r="P415" i="3" s="1"/>
  <c r="O423" i="3" a="1"/>
  <c r="O423" i="3" s="1"/>
  <c r="I423" i="3" s="1"/>
  <c r="O425" i="3" a="1"/>
  <c r="O425" i="3" s="1"/>
  <c r="I425" i="3" s="1"/>
  <c r="O35" i="3" a="1"/>
  <c r="O35" i="3" s="1"/>
  <c r="I35" i="3" s="1"/>
  <c r="O445" i="3" a="1"/>
  <c r="O445" i="3" s="1"/>
  <c r="I445" i="3" s="1"/>
  <c r="P465" i="3" a="1"/>
  <c r="P465" i="3" s="1"/>
  <c r="O281" i="3" a="1"/>
  <c r="O281" i="3" s="1"/>
  <c r="I281" i="3" s="1"/>
  <c r="O288" i="3" a="1"/>
  <c r="O288" i="3" s="1"/>
  <c r="I288" i="3" s="1"/>
  <c r="O433" i="3" a="1"/>
  <c r="O433" i="3" s="1"/>
  <c r="I433" i="3" s="1"/>
  <c r="P295" i="3" a="1"/>
  <c r="P295" i="3" s="1"/>
  <c r="P342" i="3" a="1"/>
  <c r="P342" i="3" s="1"/>
  <c r="O540" i="3" a="1"/>
  <c r="O540" i="3" s="1"/>
  <c r="I540" i="3" s="1"/>
  <c r="P344" i="3" a="1"/>
  <c r="P344" i="3" s="1"/>
  <c r="O409" i="3" a="1"/>
  <c r="O409" i="3" s="1"/>
  <c r="I409" i="3" s="1"/>
  <c r="O412" i="3" a="1"/>
  <c r="O412" i="3" s="1"/>
  <c r="I412" i="3" s="1"/>
  <c r="O127" i="3" a="1"/>
  <c r="O127" i="3" s="1"/>
  <c r="I127" i="3" s="1"/>
  <c r="P60" i="3" a="1"/>
  <c r="P60" i="3" s="1"/>
  <c r="O382" i="3" a="1"/>
  <c r="O382" i="3" s="1"/>
  <c r="I382" i="3" s="1"/>
  <c r="O443" i="3" a="1"/>
  <c r="O443" i="3" s="1"/>
  <c r="I443" i="3" s="1"/>
  <c r="O223" i="3" a="1"/>
  <c r="O223" i="3" s="1"/>
  <c r="I223" i="3" s="1"/>
  <c r="P525" i="3" a="1"/>
  <c r="P525" i="3" s="1"/>
  <c r="O27" i="3" a="1"/>
  <c r="O27" i="3" s="1"/>
  <c r="I27" i="3" s="1"/>
  <c r="O53" i="3" a="1"/>
  <c r="O53" i="3" s="1"/>
  <c r="I53" i="3" s="1"/>
  <c r="O233" i="3" a="1"/>
  <c r="O233" i="3" s="1"/>
  <c r="I233" i="3" s="1"/>
  <c r="O468" i="3" a="1"/>
  <c r="O468" i="3" s="1"/>
  <c r="I468" i="3" s="1"/>
  <c r="O269" i="3" a="1"/>
  <c r="O269" i="3" s="1"/>
  <c r="I269" i="3" s="1"/>
  <c r="O190" i="3" a="1"/>
  <c r="O190" i="3" s="1"/>
  <c r="I190" i="3" s="1"/>
  <c r="P336" i="3" a="1"/>
  <c r="P336" i="3" s="1"/>
  <c r="O344" i="3" a="1"/>
  <c r="O344" i="3" s="1"/>
  <c r="I344" i="3" s="1"/>
  <c r="O4" i="3" a="1"/>
  <c r="O4" i="3" s="1"/>
  <c r="I4" i="3" s="1"/>
  <c r="O488" i="3" a="1"/>
  <c r="O488" i="3" s="1"/>
  <c r="I488" i="3" s="1"/>
  <c r="P385" i="3" a="1"/>
  <c r="P385" i="3" s="1"/>
  <c r="P58" i="3" a="1"/>
  <c r="P58" i="3" s="1"/>
  <c r="P401" i="3" a="1"/>
  <c r="P401" i="3" s="1"/>
  <c r="P404" i="3" a="1"/>
  <c r="P404" i="3" s="1"/>
  <c r="P455" i="3" a="1"/>
  <c r="P455" i="3" s="1"/>
  <c r="O420" i="3" a="1"/>
  <c r="O420" i="3" s="1"/>
  <c r="I420" i="3" s="1"/>
  <c r="P438" i="3" a="1"/>
  <c r="P438" i="3" s="1"/>
  <c r="P423" i="3" a="1"/>
  <c r="P423" i="3" s="1"/>
  <c r="P183" i="3" a="1"/>
  <c r="P183" i="3" s="1"/>
  <c r="P202" i="3" a="1"/>
  <c r="P202" i="3" s="1"/>
  <c r="O208" i="3" a="1"/>
  <c r="O208" i="3" s="1"/>
  <c r="I208" i="3" s="1"/>
  <c r="O138" i="3" a="1"/>
  <c r="O138" i="3" s="1"/>
  <c r="I138" i="3" s="1"/>
  <c r="O483" i="3" a="1"/>
  <c r="O483" i="3" s="1"/>
  <c r="I483" i="3" s="1"/>
  <c r="O170" i="3" a="1"/>
  <c r="O170" i="3" s="1"/>
  <c r="I170" i="3" s="1"/>
  <c r="O238" i="3" a="1"/>
  <c r="O238" i="3" s="1"/>
  <c r="I238" i="3" s="1"/>
  <c r="P117" i="3" a="1"/>
  <c r="P117" i="3" s="1"/>
  <c r="O266" i="3" a="1"/>
  <c r="O266" i="3" s="1"/>
  <c r="I266" i="3" s="1"/>
  <c r="P505" i="3" a="1"/>
  <c r="P505" i="3" s="1"/>
  <c r="P140" i="3" a="1"/>
  <c r="P140" i="3" s="1"/>
  <c r="O318" i="3" a="1"/>
  <c r="O318" i="3" s="1"/>
  <c r="I318" i="3" s="1"/>
  <c r="P229" i="3" a="1"/>
  <c r="P229" i="3" s="1"/>
  <c r="P407" i="3" a="1"/>
  <c r="P407" i="3" s="1"/>
  <c r="O5" i="3" a="1"/>
  <c r="O5" i="3" s="1"/>
  <c r="I5" i="3" s="1"/>
  <c r="P448" i="3" a="1"/>
  <c r="P448" i="3" s="1"/>
  <c r="P176" i="3" a="1"/>
  <c r="P176" i="3" s="1"/>
  <c r="O346" i="3" a="1"/>
  <c r="O346" i="3" s="1"/>
  <c r="I346" i="3" s="1"/>
  <c r="O348" i="3" a="1"/>
  <c r="O348" i="3" s="1"/>
  <c r="I348" i="3" s="1"/>
  <c r="P354" i="3" a="1"/>
  <c r="P354" i="3" s="1"/>
  <c r="O167" i="3" a="1"/>
  <c r="O167" i="3" s="1"/>
  <c r="I167" i="3" s="1"/>
  <c r="P389" i="3" a="1"/>
  <c r="P389" i="3" s="1"/>
  <c r="O126" i="3" a="1"/>
  <c r="O126" i="3" s="1"/>
  <c r="I126" i="3" s="1"/>
  <c r="P91" i="3" a="1"/>
  <c r="P91" i="3" s="1"/>
  <c r="P186" i="3" a="1"/>
  <c r="P186" i="3" s="1"/>
  <c r="O132" i="3" a="1"/>
  <c r="O132" i="3" s="1"/>
  <c r="I132" i="3" s="1"/>
  <c r="P46" i="3" a="1"/>
  <c r="P46" i="3" s="1"/>
  <c r="P490" i="3" a="1"/>
  <c r="P490" i="3" s="1"/>
  <c r="P420" i="3" a="1"/>
  <c r="P420" i="3" s="1"/>
  <c r="P51" i="3" a="1"/>
  <c r="P51" i="3" s="1"/>
  <c r="O472" i="3" a="1"/>
  <c r="O472" i="3" s="1"/>
  <c r="I472" i="3" s="1"/>
  <c r="O213" i="3" a="1"/>
  <c r="O213" i="3" s="1"/>
  <c r="I213" i="3" s="1"/>
  <c r="P170" i="3" a="1"/>
  <c r="P170" i="3" s="1"/>
  <c r="O484" i="3" a="1"/>
  <c r="O484" i="3" s="1"/>
  <c r="I484" i="3" s="1"/>
  <c r="O236" i="3" a="1"/>
  <c r="O236" i="3" s="1"/>
  <c r="I236" i="3" s="1"/>
  <c r="P466" i="3" a="1"/>
  <c r="P466" i="3" s="1"/>
  <c r="P250" i="3" a="1"/>
  <c r="P250" i="3" s="1"/>
  <c r="P254" i="3" a="1"/>
  <c r="P254" i="3" s="1"/>
  <c r="O283" i="3" a="1"/>
  <c r="O283" i="3" s="1"/>
  <c r="I283" i="3" s="1"/>
  <c r="O437" i="3" a="1"/>
  <c r="O437" i="3" s="1"/>
  <c r="I437" i="3" s="1"/>
  <c r="O451" i="3" a="1"/>
  <c r="O451" i="3" s="1"/>
  <c r="I451" i="3" s="1"/>
  <c r="P18" i="3" a="1"/>
  <c r="P18" i="3" s="1"/>
  <c r="O343" i="3" a="1"/>
  <c r="O343" i="3" s="1"/>
  <c r="I343" i="3" s="1"/>
  <c r="O352" i="3" a="1"/>
  <c r="O352" i="3" s="1"/>
  <c r="I352" i="3" s="1"/>
  <c r="O489" i="3" a="1"/>
  <c r="O489" i="3" s="1"/>
  <c r="I489" i="3" s="1"/>
  <c r="P88" i="3" a="1"/>
  <c r="P88" i="3" s="1"/>
  <c r="O393" i="3" a="1"/>
  <c r="O393" i="3" s="1"/>
  <c r="I393" i="3" s="1"/>
  <c r="P392" i="3" a="1"/>
  <c r="P392" i="3" s="1"/>
  <c r="P119" i="3" a="1"/>
  <c r="P119" i="3" s="1"/>
  <c r="P405" i="3" a="1"/>
  <c r="P405" i="3" s="1"/>
  <c r="P132" i="3" a="1"/>
  <c r="P132" i="3" s="1"/>
  <c r="P426" i="3" a="1"/>
  <c r="P426" i="3" s="1"/>
  <c r="P447" i="3" a="1"/>
  <c r="P447" i="3" s="1"/>
  <c r="P454" i="3" a="1"/>
  <c r="P454" i="3" s="1"/>
  <c r="O471" i="3" a="1"/>
  <c r="O471" i="3" s="1"/>
  <c r="I471" i="3" s="1"/>
  <c r="P213" i="3" a="1"/>
  <c r="P213" i="3" s="1"/>
  <c r="P479" i="3" a="1"/>
  <c r="P479" i="3" s="1"/>
  <c r="P484" i="3" a="1"/>
  <c r="P484" i="3" s="1"/>
  <c r="P24" i="3" a="1"/>
  <c r="P24" i="3" s="1"/>
  <c r="O520" i="3" a="1"/>
  <c r="O520" i="3" s="1"/>
  <c r="I520" i="3" s="1"/>
  <c r="P517" i="3" a="1"/>
  <c r="P517" i="3" s="1"/>
  <c r="O531" i="3" a="1"/>
  <c r="O531" i="3" s="1"/>
  <c r="I531" i="3" s="1"/>
  <c r="P121" i="3" a="1"/>
  <c r="P121" i="3" s="1"/>
  <c r="P155" i="3" a="1"/>
  <c r="P155" i="3" s="1"/>
  <c r="O268" i="3" a="1"/>
  <c r="O268" i="3" s="1"/>
  <c r="I268" i="3" s="1"/>
  <c r="O159" i="3" a="1"/>
  <c r="O159" i="3" s="1"/>
  <c r="I159" i="3" s="1"/>
  <c r="P283" i="3" a="1"/>
  <c r="P283" i="3" s="1"/>
  <c r="P287" i="3" a="1"/>
  <c r="P287" i="3" s="1"/>
  <c r="O306" i="3" a="1"/>
  <c r="O306" i="3" s="1"/>
  <c r="I306" i="3" s="1"/>
  <c r="O226" i="3" a="1"/>
  <c r="O226" i="3" s="1"/>
  <c r="I226" i="3" s="1"/>
  <c r="O411" i="3" a="1"/>
  <c r="O411" i="3" s="1"/>
  <c r="I411" i="3" s="1"/>
  <c r="O430" i="3" a="1"/>
  <c r="O430" i="3" s="1"/>
  <c r="I430" i="3" s="1"/>
  <c r="O360" i="3" a="1"/>
  <c r="O360" i="3" s="1"/>
  <c r="I360" i="3" s="1"/>
  <c r="O366" i="3" a="1"/>
  <c r="O366" i="3" s="1"/>
  <c r="I366" i="3" s="1"/>
  <c r="P197" i="3" a="1"/>
  <c r="P197" i="3" s="1"/>
  <c r="P380" i="3" a="1"/>
  <c r="P380" i="3" s="1"/>
  <c r="O187" i="3" a="1"/>
  <c r="O187" i="3" s="1"/>
  <c r="I187" i="3" s="1"/>
  <c r="O384" i="3" a="1"/>
  <c r="O384" i="3" s="1"/>
  <c r="I384" i="3" s="1"/>
  <c r="O402" i="3" a="1"/>
  <c r="O402" i="3" s="1"/>
  <c r="I402" i="3" s="1"/>
  <c r="P123" i="3" a="1"/>
  <c r="P123" i="3" s="1"/>
  <c r="O124" i="3" a="1"/>
  <c r="O124" i="3" s="1"/>
  <c r="I124" i="3" s="1"/>
  <c r="O9" i="3" a="1"/>
  <c r="O9" i="3" s="1"/>
  <c r="I9" i="3" s="1"/>
  <c r="O424" i="3" a="1"/>
  <c r="O424" i="3" s="1"/>
  <c r="I424" i="3" s="1"/>
  <c r="P471" i="3" a="1"/>
  <c r="P471" i="3" s="1"/>
  <c r="P476" i="3" a="1"/>
  <c r="P476" i="3" s="1"/>
  <c r="O104" i="3" a="1"/>
  <c r="O104" i="3" s="1"/>
  <c r="I104" i="3" s="1"/>
  <c r="P492" i="3" a="1"/>
  <c r="P492" i="3" s="1"/>
  <c r="O128" i="3" a="1"/>
  <c r="O128" i="3" s="1"/>
  <c r="I128" i="3" s="1"/>
  <c r="O201" i="3" a="1"/>
  <c r="O201" i="3" s="1"/>
  <c r="I201" i="3" s="1"/>
  <c r="P144" i="3" a="1"/>
  <c r="P144" i="3" s="1"/>
  <c r="O514" i="3" a="1"/>
  <c r="O514" i="3" s="1"/>
  <c r="I514" i="3" s="1"/>
  <c r="P515" i="3" a="1"/>
  <c r="P515" i="3" s="1"/>
  <c r="P154" i="3" a="1"/>
  <c r="P154" i="3" s="1"/>
  <c r="O28" i="3" a="1"/>
  <c r="O28" i="3" s="1"/>
  <c r="I28" i="3" s="1"/>
  <c r="P101" i="3" a="1"/>
  <c r="P101" i="3" s="1"/>
  <c r="O296" i="3" a="1"/>
  <c r="O296" i="3" s="1"/>
  <c r="I296" i="3" s="1"/>
  <c r="O406" i="3" a="1"/>
  <c r="O406" i="3" s="1"/>
  <c r="I406" i="3" s="1"/>
  <c r="O325" i="3" a="1"/>
  <c r="O325" i="3" s="1"/>
  <c r="I325" i="3" s="1"/>
  <c r="P333" i="3" a="1"/>
  <c r="P333" i="3" s="1"/>
  <c r="P148" i="3" a="1"/>
  <c r="P148" i="3" s="1"/>
  <c r="O60" i="3" a="1"/>
  <c r="O60" i="3" s="1"/>
  <c r="I60" i="3" s="1"/>
  <c r="P373" i="3" a="1"/>
  <c r="P373" i="3" s="1"/>
  <c r="O58" i="3" a="1"/>
  <c r="O58" i="3" s="1"/>
  <c r="I58" i="3" s="1"/>
  <c r="O439" i="3" a="1"/>
  <c r="O439" i="3" s="1"/>
  <c r="I439" i="3" s="1"/>
  <c r="P539" i="3" a="1"/>
  <c r="P539" i="3" s="1"/>
  <c r="O474" i="3" a="1"/>
  <c r="O474" i="3" s="1"/>
  <c r="I474" i="3" s="1"/>
  <c r="O491" i="3" a="1"/>
  <c r="O491" i="3" s="1"/>
  <c r="I491" i="3" s="1"/>
  <c r="P164" i="3" a="1"/>
  <c r="P164" i="3" s="1"/>
  <c r="P33" i="3" a="1"/>
  <c r="P33" i="3" s="1"/>
  <c r="P23" i="3" a="1"/>
  <c r="P23" i="3" s="1"/>
  <c r="P107" i="3" a="1"/>
  <c r="P107" i="3" s="1"/>
  <c r="O3" i="3" a="1"/>
  <c r="O3" i="3" s="1"/>
  <c r="I3" i="3" s="1"/>
  <c r="O536" i="3" a="1"/>
  <c r="O536" i="3" s="1"/>
  <c r="I536" i="3" s="1"/>
  <c r="O245" i="3" a="1"/>
  <c r="O245" i="3" s="1"/>
  <c r="I245" i="3" s="1"/>
  <c r="P470" i="3" a="1"/>
  <c r="P470" i="3" s="1"/>
  <c r="P260" i="3" a="1"/>
  <c r="P260" i="3" s="1"/>
  <c r="P111" i="3" a="1"/>
  <c r="P111" i="3" s="1"/>
  <c r="P289" i="3" a="1"/>
  <c r="P289" i="3" s="1"/>
  <c r="P337" i="3" a="1"/>
  <c r="P337" i="3" s="1"/>
  <c r="O194" i="3" a="1"/>
  <c r="O194" i="3" s="1"/>
  <c r="I194" i="3" s="1"/>
  <c r="O442" i="3" a="1"/>
  <c r="O442" i="3" s="1"/>
  <c r="I442" i="3" s="1"/>
  <c r="O395" i="3" a="1"/>
  <c r="O395" i="3" s="1"/>
  <c r="I395" i="3" s="1"/>
  <c r="P14" i="3" a="1"/>
  <c r="P14" i="3" s="1"/>
  <c r="P9" i="3" a="1"/>
  <c r="P9" i="3" s="1"/>
  <c r="P129" i="3" a="1"/>
  <c r="P129" i="3" s="1"/>
  <c r="O418" i="3" a="1"/>
  <c r="O418" i="3" s="1"/>
  <c r="I418" i="3" s="1"/>
  <c r="O422" i="3" a="1"/>
  <c r="O422" i="3" s="1"/>
  <c r="I422" i="3" s="1"/>
  <c r="P474" i="3" a="1"/>
  <c r="P474" i="3" s="1"/>
  <c r="O477" i="3" a="1"/>
  <c r="O477" i="3" s="1"/>
  <c r="I477" i="3" s="1"/>
  <c r="O482" i="3" a="1"/>
  <c r="O482" i="3" s="1"/>
  <c r="I482" i="3" s="1"/>
  <c r="P53" i="3" a="1"/>
  <c r="P53" i="3" s="1"/>
  <c r="O43" i="3" a="1"/>
  <c r="O43" i="3" s="1"/>
  <c r="I43" i="3" s="1"/>
  <c r="O131" i="3" a="1"/>
  <c r="O131" i="3" s="1"/>
  <c r="I131" i="3" s="1"/>
  <c r="O504" i="3" a="1"/>
  <c r="O504" i="3" s="1"/>
  <c r="I504" i="3" s="1"/>
  <c r="O260" i="3" a="1"/>
  <c r="O260" i="3" s="1"/>
  <c r="I260" i="3" s="1"/>
  <c r="P317" i="3" a="1"/>
  <c r="P317" i="3" s="1"/>
  <c r="O202" i="3" a="1"/>
  <c r="O202" i="3" s="1"/>
  <c r="I202" i="3" s="1"/>
  <c r="O241" i="3" a="1"/>
  <c r="O241" i="3" s="1"/>
  <c r="I241" i="3" s="1"/>
  <c r="P383" i="3" a="1"/>
  <c r="P383" i="3" s="1"/>
  <c r="O204" i="3" a="1"/>
  <c r="O204" i="3" s="1"/>
  <c r="I204" i="3" s="1"/>
  <c r="O435" i="3" a="1"/>
  <c r="O435" i="3" s="1"/>
  <c r="I435" i="3" s="1"/>
  <c r="O320" i="3" a="1"/>
  <c r="O320" i="3" s="1"/>
  <c r="I320" i="3" s="1"/>
  <c r="P398" i="3" a="1"/>
  <c r="P398" i="3" s="1"/>
  <c r="J398" i="3" s="1"/>
  <c r="O481" i="3" a="1"/>
  <c r="O481" i="3" s="1"/>
  <c r="I481" i="3" s="1"/>
  <c r="P355" i="3" a="1"/>
  <c r="P355" i="3" s="1"/>
  <c r="O368" i="3" a="1"/>
  <c r="O368" i="3" s="1"/>
  <c r="I368" i="3" s="1"/>
  <c r="O380" i="3" a="1"/>
  <c r="O380" i="3" s="1"/>
  <c r="I380" i="3" s="1"/>
  <c r="O88" i="3" a="1"/>
  <c r="O88" i="3" s="1"/>
  <c r="I88" i="3" s="1"/>
  <c r="O426" i="3" a="1"/>
  <c r="O426" i="3" s="1"/>
  <c r="I426" i="3" s="1"/>
  <c r="O102" i="3" a="1"/>
  <c r="O102" i="3" s="1"/>
  <c r="I102" i="3" s="1"/>
  <c r="O51" i="3" a="1"/>
  <c r="O51" i="3" s="1"/>
  <c r="I51" i="3" s="1"/>
  <c r="O460" i="3" a="1"/>
  <c r="O460" i="3" s="1"/>
  <c r="I460" i="3" s="1"/>
  <c r="P206" i="3" a="1"/>
  <c r="P206" i="3" s="1"/>
  <c r="P477" i="3" a="1"/>
  <c r="P477" i="3" s="1"/>
  <c r="P482" i="3" a="1"/>
  <c r="P482" i="3" s="1"/>
  <c r="O24" i="3" a="1"/>
  <c r="O24" i="3" s="1"/>
  <c r="I24" i="3" s="1"/>
  <c r="O219" i="3" a="1"/>
  <c r="O219" i="3" s="1"/>
  <c r="I219" i="3" s="1"/>
  <c r="P514" i="3" a="1"/>
  <c r="P514" i="3" s="1"/>
  <c r="P169" i="3" a="1"/>
  <c r="P169" i="3" s="1"/>
  <c r="O210" i="3" a="1"/>
  <c r="O210" i="3" s="1"/>
  <c r="I210" i="3" s="1"/>
  <c r="P56" i="3" a="1"/>
  <c r="P56" i="3" s="1"/>
  <c r="P291" i="3" a="1"/>
  <c r="P291" i="3" s="1"/>
  <c r="O83" i="3" a="1"/>
  <c r="O83" i="3" s="1"/>
  <c r="I83" i="3" s="1"/>
  <c r="P241" i="3" a="1"/>
  <c r="P241" i="3" s="1"/>
  <c r="O273" i="3" a="1"/>
  <c r="O273" i="3" s="1"/>
  <c r="I273" i="3" s="1"/>
  <c r="O276" i="3" a="1"/>
  <c r="O276" i="3" s="1"/>
  <c r="I276" i="3" s="1"/>
  <c r="P231" i="3" a="1"/>
  <c r="P231" i="3" s="1"/>
  <c r="O301" i="3" a="1"/>
  <c r="O301" i="3" s="1"/>
  <c r="I301" i="3" s="1"/>
  <c r="P63" i="3" a="1"/>
  <c r="P63" i="3" s="1"/>
  <c r="O230" i="3" a="1"/>
  <c r="O230" i="3" s="1"/>
  <c r="I230" i="3" s="1"/>
  <c r="P335" i="3" a="1"/>
  <c r="P335" i="3" s="1"/>
  <c r="O337" i="3" a="1"/>
  <c r="O337" i="3" s="1"/>
  <c r="I337" i="3" s="1"/>
  <c r="O381" i="3" a="1"/>
  <c r="O381" i="3" s="1"/>
  <c r="I381" i="3" s="1"/>
  <c r="P124" i="3" a="1"/>
  <c r="P124" i="3" s="1"/>
  <c r="P21" i="3" a="1"/>
  <c r="P21" i="3" s="1"/>
  <c r="P102" i="3" a="1"/>
  <c r="P102" i="3" s="1"/>
  <c r="P460" i="3" a="1"/>
  <c r="P460" i="3" s="1"/>
  <c r="O65" i="3" a="1"/>
  <c r="O65" i="3" s="1"/>
  <c r="I65" i="3" s="1"/>
  <c r="P104" i="3" a="1"/>
  <c r="P104" i="3" s="1"/>
  <c r="O137" i="3" a="1"/>
  <c r="O137" i="3" s="1"/>
  <c r="I137" i="3" s="1"/>
  <c r="O152" i="3" a="1"/>
  <c r="O152" i="3" s="1"/>
  <c r="I152" i="3" s="1"/>
  <c r="P219" i="3" a="1"/>
  <c r="P219" i="3" s="1"/>
  <c r="P216" i="3" a="1"/>
  <c r="P216" i="3" s="1"/>
  <c r="O534" i="3" a="1"/>
  <c r="O534" i="3" s="1"/>
  <c r="I534" i="3" s="1"/>
  <c r="O545" i="3" a="1"/>
  <c r="O545" i="3" s="1"/>
  <c r="I545" i="3" s="1"/>
  <c r="O44" i="3" a="1"/>
  <c r="O44" i="3" s="1"/>
  <c r="I44" i="3" s="1"/>
  <c r="P463" i="3" a="1"/>
  <c r="P463" i="3" s="1"/>
  <c r="P468" i="3" a="1"/>
  <c r="P468" i="3" s="1"/>
  <c r="O265" i="3" a="1"/>
  <c r="O265" i="3" s="1"/>
  <c r="I265" i="3" s="1"/>
  <c r="O291" i="3" a="1"/>
  <c r="O291" i="3" s="1"/>
  <c r="I291" i="3" s="1"/>
  <c r="O436" i="3" a="1"/>
  <c r="O436" i="3" s="1"/>
  <c r="I436" i="3" s="1"/>
  <c r="O321" i="3" a="1"/>
  <c r="O321" i="3" s="1"/>
  <c r="I321" i="3" s="1"/>
  <c r="O331" i="3" a="1"/>
  <c r="O331" i="3" s="1"/>
  <c r="I331" i="3" s="1"/>
  <c r="P412" i="3" a="1"/>
  <c r="P412" i="3" s="1"/>
  <c r="O367" i="3" a="1"/>
  <c r="O367" i="3" s="1"/>
  <c r="I367" i="3" s="1"/>
  <c r="O10" i="3" a="1"/>
  <c r="O10" i="3" s="1"/>
  <c r="I10" i="3" s="1"/>
  <c r="P489" i="3" a="1"/>
  <c r="P489" i="3" s="1"/>
  <c r="P167" i="3" a="1"/>
  <c r="P167" i="3" s="1"/>
  <c r="P394" i="3" a="1"/>
  <c r="P394" i="3" s="1"/>
  <c r="P110" i="3" a="1"/>
  <c r="P110" i="3" s="1"/>
  <c r="P172" i="3" a="1"/>
  <c r="P172" i="3" s="1"/>
  <c r="O120" i="3" a="1"/>
  <c r="O120" i="3" s="1"/>
  <c r="I120" i="3" s="1"/>
  <c r="P537" i="3" a="1"/>
  <c r="P537" i="3" s="1"/>
  <c r="O535" i="3" a="1"/>
  <c r="O535" i="3" s="1"/>
  <c r="I535" i="3" s="1"/>
  <c r="P493" i="3" a="1"/>
  <c r="P493" i="3" s="1"/>
  <c r="P152" i="3" a="1"/>
  <c r="P152" i="3" s="1"/>
  <c r="O184" i="3" a="1"/>
  <c r="O184" i="3" s="1"/>
  <c r="I184" i="3" s="1"/>
  <c r="P530" i="3" a="1"/>
  <c r="P530" i="3" s="1"/>
  <c r="O255" i="3" a="1"/>
  <c r="O255" i="3" s="1"/>
  <c r="I255" i="3" s="1"/>
  <c r="P266" i="3" a="1"/>
  <c r="P266" i="3" s="1"/>
  <c r="O277" i="3" a="1"/>
  <c r="O277" i="3" s="1"/>
  <c r="I277" i="3" s="1"/>
  <c r="O299" i="3" a="1"/>
  <c r="O299" i="3" s="1"/>
  <c r="I299" i="3" s="1"/>
  <c r="O303" i="3" a="1"/>
  <c r="O303" i="3" s="1"/>
  <c r="I303" i="3" s="1"/>
  <c r="P230" i="3" a="1"/>
  <c r="P230" i="3" s="1"/>
  <c r="O475" i="3" a="1"/>
  <c r="O475" i="3" s="1"/>
  <c r="I475" i="3" s="1"/>
  <c r="P127" i="3" a="1"/>
  <c r="P127" i="3" s="1"/>
  <c r="O217" i="3" a="1"/>
  <c r="O217" i="3" s="1"/>
  <c r="I217" i="3" s="1"/>
  <c r="O397" i="3" a="1"/>
  <c r="O397" i="3" s="1"/>
  <c r="I397" i="3" s="1"/>
  <c r="P126" i="3" a="1"/>
  <c r="P126" i="3" s="1"/>
  <c r="O119" i="3" a="1"/>
  <c r="O119" i="3" s="1"/>
  <c r="I119" i="3" s="1"/>
  <c r="O417" i="3" a="1"/>
  <c r="O417" i="3" s="1"/>
  <c r="I417" i="3" s="1"/>
  <c r="P439" i="3" a="1"/>
  <c r="P439" i="3" s="1"/>
  <c r="O183" i="3" a="1"/>
  <c r="O183" i="3" s="1"/>
  <c r="I183" i="3" s="1"/>
  <c r="P446" i="3" a="1"/>
  <c r="P446" i="3" s="1"/>
  <c r="O109" i="3" a="1"/>
  <c r="O109" i="3" s="1"/>
  <c r="I109" i="3" s="1"/>
  <c r="P209" i="3" a="1"/>
  <c r="P209" i="3" s="1"/>
  <c r="P478" i="3" a="1"/>
  <c r="P478" i="3" s="1"/>
  <c r="P512" i="3" a="1"/>
  <c r="P512" i="3" s="1"/>
  <c r="O108" i="3" a="1"/>
  <c r="O108" i="3" s="1"/>
  <c r="I108" i="3" s="1"/>
  <c r="O136" i="3" a="1"/>
  <c r="O136" i="3" s="1"/>
  <c r="I136" i="3" s="1"/>
  <c r="P534" i="3" a="1"/>
  <c r="P534" i="3" s="1"/>
  <c r="J534" i="3" s="1"/>
  <c r="O66" i="3" a="1"/>
  <c r="O66" i="3" s="1"/>
  <c r="I66" i="3" s="1"/>
  <c r="P235" i="3" a="1"/>
  <c r="P235" i="3" s="1"/>
  <c r="O17" i="3" a="1"/>
  <c r="O17" i="3" s="1"/>
  <c r="I17" i="3" s="1"/>
  <c r="P36" i="3" a="1"/>
  <c r="P36" i="3" s="1"/>
  <c r="O305" i="3" a="1"/>
  <c r="O305" i="3" s="1"/>
  <c r="I305" i="3" s="1"/>
  <c r="P324" i="3" a="1"/>
  <c r="P324" i="3" s="1"/>
  <c r="O115" i="3" a="1"/>
  <c r="O115" i="3" s="1"/>
  <c r="I115" i="3" s="1"/>
  <c r="P358" i="3" a="1"/>
  <c r="P358" i="3" s="1"/>
  <c r="P366" i="3" a="1"/>
  <c r="P366" i="3" s="1"/>
  <c r="P151" i="3" a="1"/>
  <c r="P151" i="3" s="1"/>
  <c r="O390" i="3" a="1"/>
  <c r="O390" i="3" s="1"/>
  <c r="I390" i="3" s="1"/>
  <c r="O498" i="3" a="1"/>
  <c r="O498" i="3" s="1"/>
  <c r="I498" i="3" s="1"/>
  <c r="P35" i="3" a="1"/>
  <c r="P35" i="3" s="1"/>
  <c r="P499" i="3" a="1"/>
  <c r="P499" i="3" s="1"/>
  <c r="P66" i="3" a="1"/>
  <c r="P66" i="3" s="1"/>
  <c r="O465" i="3" a="1"/>
  <c r="O465" i="3" s="1"/>
  <c r="I465" i="3" s="1"/>
  <c r="O470" i="3" a="1"/>
  <c r="O470" i="3" s="1"/>
  <c r="I470" i="3" s="1"/>
  <c r="P57" i="3" a="1"/>
  <c r="P57" i="3" s="1"/>
  <c r="P251" i="3" a="1"/>
  <c r="P251" i="3" s="1"/>
  <c r="P159" i="3" a="1"/>
  <c r="P159" i="3" s="1"/>
  <c r="P277" i="3" a="1"/>
  <c r="P277" i="3" s="1"/>
  <c r="O322" i="3" a="1"/>
  <c r="O322" i="3" s="1"/>
  <c r="I322" i="3" s="1"/>
  <c r="O414" i="3" a="1"/>
  <c r="O414" i="3" s="1"/>
  <c r="I414" i="3" s="1"/>
  <c r="O508" i="3" a="1"/>
  <c r="O508" i="3" s="1"/>
  <c r="I508" i="3" s="1"/>
  <c r="P409" i="3" a="1"/>
  <c r="P409" i="3" s="1"/>
  <c r="O364" i="3" a="1"/>
  <c r="O364" i="3" s="1"/>
  <c r="I364" i="3" s="1"/>
  <c r="O440" i="3" a="1"/>
  <c r="O440" i="3" s="1"/>
  <c r="I440" i="3" s="1"/>
  <c r="O110" i="3" a="1"/>
  <c r="O110" i="3" s="1"/>
  <c r="I110" i="3" s="1"/>
  <c r="P100" i="3" a="1"/>
  <c r="P100" i="3" s="1"/>
  <c r="O473" i="3" a="1"/>
  <c r="O473" i="3" s="1"/>
  <c r="I473" i="3" s="1"/>
  <c r="O480" i="3" a="1"/>
  <c r="O480" i="3" s="1"/>
  <c r="I480" i="3" s="1"/>
  <c r="O496" i="3" a="1"/>
  <c r="O496" i="3" s="1"/>
  <c r="I496" i="3" s="1"/>
  <c r="O464" i="3" a="1"/>
  <c r="O464" i="3" s="1"/>
  <c r="I464" i="3" s="1"/>
  <c r="O503" i="3" a="1"/>
  <c r="O503" i="3" s="1"/>
  <c r="I503" i="3" s="1"/>
  <c r="P331" i="3" a="1"/>
  <c r="P331" i="3" s="1"/>
  <c r="O429" i="3" a="1"/>
  <c r="O429" i="3" s="1"/>
  <c r="I429" i="3" s="1"/>
  <c r="O172" i="3" a="1"/>
  <c r="O172" i="3" s="1"/>
  <c r="I172" i="3" s="1"/>
  <c r="O57" i="3" a="1"/>
  <c r="O57" i="3" s="1"/>
  <c r="I57" i="3" s="1"/>
  <c r="O135" i="3" a="1"/>
  <c r="O135" i="3" s="1"/>
  <c r="I135" i="3" s="1"/>
  <c r="O121" i="3" a="1"/>
  <c r="O121" i="3" s="1"/>
  <c r="I121" i="3" s="1"/>
  <c r="O247" i="3" a="1"/>
  <c r="O247" i="3" s="1"/>
  <c r="I247" i="3" s="1"/>
  <c r="P513" i="3" a="1"/>
  <c r="P513" i="3" s="1"/>
  <c r="O450" i="3" a="1"/>
  <c r="O450" i="3" s="1"/>
  <c r="I450" i="3" s="1"/>
  <c r="P414" i="3" a="1"/>
  <c r="P414" i="3" s="1"/>
  <c r="O371" i="3" a="1"/>
  <c r="O371" i="3" s="1"/>
  <c r="I371" i="3" s="1"/>
  <c r="P440" i="3" a="1"/>
  <c r="P440" i="3" s="1"/>
  <c r="P179" i="3" a="1"/>
  <c r="P179" i="3" s="1"/>
  <c r="O134" i="3" a="1"/>
  <c r="O134" i="3" s="1"/>
  <c r="I134" i="3" s="1"/>
  <c r="O25" i="3" a="1"/>
  <c r="O25" i="3" s="1"/>
  <c r="I25" i="3" s="1"/>
  <c r="O494" i="3" a="1"/>
  <c r="O494" i="3" s="1"/>
  <c r="I494" i="3" s="1"/>
  <c r="P520" i="3" a="1"/>
  <c r="P520" i="3" s="1"/>
  <c r="P168" i="3" a="1"/>
  <c r="P168" i="3" s="1"/>
  <c r="P173" i="3" a="1"/>
  <c r="P173" i="3" s="1"/>
  <c r="P350" i="3" a="1"/>
  <c r="P350" i="3" s="1"/>
  <c r="J350" i="3" s="1"/>
  <c r="O278" i="3" a="1"/>
  <c r="O278" i="3" s="1"/>
  <c r="I278" i="3" s="1"/>
  <c r="P544" i="3" a="1"/>
  <c r="P544" i="3" s="1"/>
  <c r="O454" i="3" a="1"/>
  <c r="O454" i="3" s="1"/>
  <c r="I454" i="3" s="1"/>
  <c r="O114" i="3" a="1"/>
  <c r="O114" i="3" s="1"/>
  <c r="I114" i="3" s="1"/>
  <c r="O12" i="3" a="1"/>
  <c r="O12" i="3" s="1"/>
  <c r="I12" i="3" s="1"/>
  <c r="O512" i="3" a="1"/>
  <c r="O512" i="3" s="1"/>
  <c r="I512" i="3" s="1"/>
  <c r="O527" i="3" a="1"/>
  <c r="O527" i="3" s="1"/>
  <c r="I527" i="3" s="1"/>
  <c r="P237" i="3" a="1"/>
  <c r="P237" i="3" s="1"/>
  <c r="O182" i="3" a="1"/>
  <c r="O182" i="3" s="1"/>
  <c r="I182" i="3" s="1"/>
  <c r="P348" i="3" a="1"/>
  <c r="P348" i="3" s="1"/>
  <c r="O432" i="3" a="1"/>
  <c r="O432" i="3" s="1"/>
  <c r="I432" i="3" s="1"/>
  <c r="O378" i="3" a="1"/>
  <c r="O378" i="3" s="1"/>
  <c r="I378" i="3" s="1"/>
  <c r="P382" i="3" a="1"/>
  <c r="P382" i="3" s="1"/>
  <c r="P403" i="3" a="1"/>
  <c r="P403" i="3" s="1"/>
  <c r="P542" i="3" a="1"/>
  <c r="P542" i="3" s="1"/>
  <c r="P225" i="3" a="1"/>
  <c r="P225" i="3" s="1"/>
  <c r="O537" i="3" a="1"/>
  <c r="O537" i="3" s="1"/>
  <c r="I537" i="3" s="1"/>
  <c r="O539" i="3" a="1"/>
  <c r="O539" i="3" s="1"/>
  <c r="I539" i="3" s="1"/>
  <c r="P203" i="3" a="1"/>
  <c r="P203" i="3" s="1"/>
  <c r="P491" i="3" a="1"/>
  <c r="P491" i="3" s="1"/>
  <c r="P43" i="3" a="1"/>
  <c r="P43" i="3" s="1"/>
  <c r="P184" i="3" a="1"/>
  <c r="P184" i="3" s="1"/>
  <c r="P32" i="3" a="1"/>
  <c r="P32" i="3" s="1"/>
  <c r="P149" i="3" a="1"/>
  <c r="P149" i="3" s="1"/>
  <c r="P259" i="3" a="1"/>
  <c r="P259" i="3" s="1"/>
  <c r="P190" i="3" a="1"/>
  <c r="P190" i="3" s="1"/>
  <c r="P160" i="3" a="1"/>
  <c r="P160" i="3" s="1"/>
  <c r="P122" i="3" a="1"/>
  <c r="P122" i="3" s="1"/>
  <c r="O329" i="3" a="1"/>
  <c r="O329" i="3" s="1"/>
  <c r="I329" i="3" s="1"/>
  <c r="O332" i="3" a="1"/>
  <c r="O332" i="3" s="1"/>
  <c r="I332" i="3" s="1"/>
  <c r="P428" i="3" a="1"/>
  <c r="P428" i="3" s="1"/>
  <c r="O362" i="3" a="1"/>
  <c r="O362" i="3" s="1"/>
  <c r="I362" i="3" s="1"/>
  <c r="P371" i="3" a="1"/>
  <c r="P371" i="3" s="1"/>
  <c r="O401" i="3" a="1"/>
  <c r="O401" i="3" s="1"/>
  <c r="I401" i="3" s="1"/>
  <c r="P15" i="3" a="1"/>
  <c r="P15" i="3" s="1"/>
  <c r="O530" i="3" a="1"/>
  <c r="O530" i="3" s="1"/>
  <c r="I530" i="3" s="1"/>
  <c r="O23" i="3" a="1"/>
  <c r="O23" i="3" s="1"/>
  <c r="I23" i="3" s="1"/>
  <c r="O526" i="3" a="1"/>
  <c r="O526" i="3" s="1"/>
  <c r="I526" i="3" s="1"/>
  <c r="P238" i="3" a="1"/>
  <c r="P238" i="3" s="1"/>
  <c r="P175" i="3" a="1"/>
  <c r="P175" i="3" s="1"/>
  <c r="P349" i="3" a="1"/>
  <c r="P349" i="3" s="1"/>
  <c r="O543" i="3" a="1"/>
  <c r="O543" i="3" s="1"/>
  <c r="I543" i="3" s="1"/>
  <c r="O400" i="3" a="1"/>
  <c r="O400" i="3" s="1"/>
  <c r="I400" i="3" s="1"/>
  <c r="P456" i="3" a="1"/>
  <c r="P456" i="3" s="1"/>
  <c r="O525" i="3" a="1"/>
  <c r="O525" i="3" s="1"/>
  <c r="I525" i="3" s="1"/>
  <c r="O46" i="3" a="1"/>
  <c r="O46" i="3" s="1"/>
  <c r="I46" i="3" s="1"/>
  <c r="P424" i="3" a="1"/>
  <c r="P424" i="3" s="1"/>
  <c r="P59" i="3" a="1"/>
  <c r="P59" i="3" s="1"/>
  <c r="P459" i="3" a="1"/>
  <c r="P459" i="3" s="1"/>
  <c r="P65" i="3" a="1"/>
  <c r="P65" i="3" s="1"/>
  <c r="P547" i="3" a="1"/>
  <c r="P547" i="3" s="1"/>
  <c r="P185" i="3" a="1"/>
  <c r="P185" i="3" s="1"/>
  <c r="O144" i="3" a="1"/>
  <c r="O144" i="3" s="1"/>
  <c r="I144" i="3" s="1"/>
  <c r="P533" i="3" a="1"/>
  <c r="P533" i="3" s="1"/>
  <c r="O392" i="3" a="1"/>
  <c r="O392" i="3" s="1"/>
  <c r="I392" i="3" s="1"/>
  <c r="O33" i="3" a="1"/>
  <c r="O33" i="3" s="1"/>
  <c r="I33" i="3" s="1"/>
  <c r="P131" i="3" a="1"/>
  <c r="P131" i="3" s="1"/>
  <c r="O169" i="3" a="1"/>
  <c r="O169" i="3" s="1"/>
  <c r="I169" i="3" s="1"/>
  <c r="O250" i="3" a="1"/>
  <c r="O250" i="3" s="1"/>
  <c r="I250" i="3" s="1"/>
  <c r="O293" i="3" a="1"/>
  <c r="O293" i="3" s="1"/>
  <c r="I293" i="3" s="1"/>
  <c r="P429" i="3" a="1"/>
  <c r="P429" i="3" s="1"/>
  <c r="O379" i="3" a="1"/>
  <c r="O379" i="3" s="1"/>
  <c r="I379" i="3" s="1"/>
  <c r="P378" i="3" a="1"/>
  <c r="P378" i="3" s="1"/>
  <c r="O385" i="3" a="1"/>
  <c r="O385" i="3" s="1"/>
  <c r="I385" i="3" s="1"/>
  <c r="P388" i="3" a="1"/>
  <c r="P388" i="3" s="1"/>
  <c r="P417" i="3" a="1"/>
  <c r="P417" i="3" s="1"/>
  <c r="P208" i="3" a="1"/>
  <c r="P208" i="3" s="1"/>
  <c r="P25" i="3" a="1"/>
  <c r="P25" i="3" s="1"/>
  <c r="O495" i="3" a="1"/>
  <c r="O495" i="3" s="1"/>
  <c r="I495" i="3" s="1"/>
  <c r="O15" i="3" a="1"/>
  <c r="O15" i="3" s="1"/>
  <c r="I15" i="3" s="1"/>
  <c r="P523" i="3" a="1"/>
  <c r="P523" i="3" s="1"/>
  <c r="O116" i="3" a="1"/>
  <c r="O116" i="3" s="1"/>
  <c r="I116" i="3" s="1"/>
  <c r="O505" i="3" a="1"/>
  <c r="O505" i="3" s="1"/>
  <c r="I505" i="3" s="1"/>
  <c r="P483" i="3" a="1"/>
  <c r="P483" i="3" s="1"/>
  <c r="P269" i="3" a="1"/>
  <c r="P269" i="3" s="1"/>
  <c r="O507" i="3" a="1"/>
  <c r="O507" i="3" s="1"/>
  <c r="I507" i="3" s="1"/>
  <c r="P431" i="3" a="1"/>
  <c r="P431" i="3" s="1"/>
  <c r="P105" i="3" a="1"/>
  <c r="P105" i="3" s="1"/>
  <c r="O197" i="3" a="1"/>
  <c r="O197" i="3" s="1"/>
  <c r="I197" i="3" s="1"/>
  <c r="O186" i="3" a="1"/>
  <c r="O186" i="3" s="1"/>
  <c r="I186" i="3" s="1"/>
  <c r="O438" i="3" a="1"/>
  <c r="O438" i="3" s="1"/>
  <c r="I438" i="3" s="1"/>
  <c r="O446" i="3" a="1"/>
  <c r="O446" i="3" s="1"/>
  <c r="I446" i="3" s="1"/>
  <c r="P138" i="3" a="1"/>
  <c r="P138" i="3" s="1"/>
  <c r="P495" i="3" a="1"/>
  <c r="P495" i="3" s="1"/>
  <c r="O521" i="3" a="1"/>
  <c r="O521" i="3" s="1"/>
  <c r="I521" i="3" s="1"/>
  <c r="O529" i="3" a="1"/>
  <c r="O529" i="3" s="1"/>
  <c r="I529" i="3" s="1"/>
  <c r="P427" i="3" a="1"/>
  <c r="P427" i="3" s="1"/>
  <c r="O315" i="3" a="1"/>
  <c r="O315" i="3" s="1"/>
  <c r="I315" i="3" s="1"/>
  <c r="P540" i="3" a="1"/>
  <c r="P540" i="3" s="1"/>
  <c r="P226" i="3" a="1"/>
  <c r="P226" i="3" s="1"/>
  <c r="P357" i="3" a="1"/>
  <c r="P357" i="3" s="1"/>
  <c r="J357" i="3" s="1"/>
  <c r="O156" i="3" a="1"/>
  <c r="O156" i="3" s="1"/>
  <c r="I156" i="3" s="1"/>
  <c r="P45" i="3" a="1"/>
  <c r="P45" i="3" s="1"/>
  <c r="O532" i="3" a="1"/>
  <c r="O532" i="3" s="1"/>
  <c r="I532" i="3" s="1"/>
  <c r="O413" i="3" a="1"/>
  <c r="O413" i="3" s="1"/>
  <c r="I413" i="3" s="1"/>
  <c r="P252" i="3" a="1"/>
  <c r="P252" i="3" s="1"/>
  <c r="P553" i="3" a="1"/>
  <c r="P553" i="3" s="1"/>
  <c r="P376" i="3" a="1"/>
  <c r="P376" i="3" s="1"/>
  <c r="O161" i="3" a="1"/>
  <c r="O161" i="3" s="1"/>
  <c r="I161" i="3" s="1"/>
  <c r="P418" i="3" a="1"/>
  <c r="P418" i="3" s="1"/>
  <c r="O100" i="3" a="1"/>
  <c r="O100" i="3" s="1"/>
  <c r="I100" i="3" s="1"/>
  <c r="O98" i="3" a="1"/>
  <c r="O98" i="3" s="1"/>
  <c r="I98" i="3" s="1"/>
  <c r="O94" i="3" a="1"/>
  <c r="O94" i="3" s="1"/>
  <c r="I94" i="3" s="1"/>
  <c r="P521" i="3" a="1"/>
  <c r="P521" i="3" s="1"/>
  <c r="O528" i="3" a="1"/>
  <c r="O528" i="3" s="1"/>
  <c r="I528" i="3" s="1"/>
  <c r="O408" i="3" a="1"/>
  <c r="O408" i="3" s="1"/>
  <c r="I408" i="3" s="1"/>
  <c r="O174" i="3" a="1"/>
  <c r="O174" i="3" s="1"/>
  <c r="I174" i="3" s="1"/>
  <c r="P452" i="3" a="1"/>
  <c r="P452" i="3" s="1"/>
  <c r="P98" i="3" a="1"/>
  <c r="P98" i="3" s="1"/>
  <c r="P137" i="3" a="1"/>
  <c r="P137" i="3" s="1"/>
  <c r="O177" i="3" a="1"/>
  <c r="O177" i="3" s="1"/>
  <c r="I177" i="3" s="1"/>
  <c r="P5" i="3" a="1"/>
  <c r="P5" i="3" s="1"/>
  <c r="P399" i="3" a="1"/>
  <c r="P399" i="3" s="1"/>
  <c r="P106" i="3" a="1"/>
  <c r="P106" i="3" s="1"/>
  <c r="O458" i="3" a="1"/>
  <c r="O458" i="3" s="1"/>
  <c r="I458" i="3" s="1"/>
  <c r="O519" i="3" a="1"/>
  <c r="O519" i="3" s="1"/>
  <c r="I519" i="3" s="1"/>
  <c r="P334" i="3" a="1"/>
  <c r="P334" i="3" s="1"/>
  <c r="J334" i="3" s="1"/>
  <c r="P545" i="3" a="1"/>
  <c r="P545" i="3" s="1"/>
  <c r="P135" i="3" a="1"/>
  <c r="P135" i="3" s="1"/>
  <c r="O286" i="3" a="1"/>
  <c r="O286" i="3" s="1"/>
  <c r="I286" i="3" s="1"/>
  <c r="O375" i="3" a="1"/>
  <c r="O375" i="3" s="1"/>
  <c r="I375" i="3" s="1"/>
  <c r="P94" i="3" a="1"/>
  <c r="P94" i="3" s="1"/>
  <c r="O216" i="3" a="1"/>
  <c r="O216" i="3" s="1"/>
  <c r="I216" i="3" s="1"/>
  <c r="P532" i="3" a="1"/>
  <c r="P532" i="3" s="1"/>
  <c r="O334" i="3" a="1"/>
  <c r="O334" i="3" s="1"/>
  <c r="I334" i="3" s="1"/>
  <c r="O462" i="3" a="1"/>
  <c r="O462" i="3" s="1"/>
  <c r="I462" i="3" s="1"/>
  <c r="P328" i="3" a="1"/>
  <c r="P328" i="3" s="1"/>
  <c r="O515" i="3" a="1"/>
  <c r="O515" i="3" s="1"/>
  <c r="I515" i="3" s="1"/>
  <c r="O410" i="3" a="1"/>
  <c r="O410" i="3" s="1"/>
  <c r="I410" i="3" s="1"/>
  <c r="O399" i="3" a="1"/>
  <c r="O399" i="3" s="1"/>
  <c r="I399" i="3" s="1"/>
  <c r="P161" i="3" a="1"/>
  <c r="P161" i="3" s="1"/>
  <c r="O106" i="3" a="1"/>
  <c r="O106" i="3" s="1"/>
  <c r="I106" i="3" s="1"/>
  <c r="P109" i="3" a="1"/>
  <c r="P109" i="3" s="1"/>
  <c r="P136" i="3" a="1"/>
  <c r="P136" i="3" s="1"/>
  <c r="O258" i="3" a="1"/>
  <c r="O258" i="3" s="1"/>
  <c r="I258" i="3" s="1"/>
  <c r="P341" i="3" a="1"/>
  <c r="P341" i="3" s="1"/>
  <c r="O129" i="3" a="1"/>
  <c r="O129" i="3" s="1"/>
  <c r="I129" i="3" s="1"/>
  <c r="O196" i="3" a="1"/>
  <c r="O196" i="3" s="1"/>
  <c r="I196" i="3" s="1"/>
  <c r="P518" i="3" a="1"/>
  <c r="P518" i="3" s="1"/>
  <c r="O466" i="3" a="1"/>
  <c r="O466" i="3" s="1"/>
  <c r="I466" i="3" s="1"/>
  <c r="O179" i="3" a="1"/>
  <c r="O179" i="3" s="1"/>
  <c r="I179" i="3" s="1"/>
  <c r="P114" i="3" a="1"/>
  <c r="P114" i="3" s="1"/>
  <c r="P293" i="3" a="1"/>
  <c r="P293" i="3" s="1"/>
  <c r="O324" i="3" a="1"/>
  <c r="O324" i="3" s="1"/>
  <c r="I324" i="3" s="1"/>
  <c r="O499" i="3" a="1"/>
  <c r="O499" i="3" s="1"/>
  <c r="I499" i="3" s="1"/>
  <c r="O492" i="3" a="1"/>
  <c r="O492" i="3" s="1"/>
  <c r="I492" i="3" s="1"/>
  <c r="P519" i="3" a="1"/>
  <c r="P519" i="3" s="1"/>
  <c r="P367" i="3" a="1"/>
  <c r="P367" i="3" s="1"/>
  <c r="P274" i="3" a="1"/>
  <c r="P274" i="3" s="1"/>
  <c r="O166" i="3" a="1"/>
  <c r="O166" i="3" s="1"/>
  <c r="I166" i="3" s="1"/>
  <c r="O308" i="3" a="1"/>
  <c r="O308" i="3" s="1"/>
  <c r="I308" i="3" s="1"/>
  <c r="P217" i="3" a="1"/>
  <c r="P217" i="3" s="1"/>
  <c r="O404" i="3" a="1"/>
  <c r="O404" i="3" s="1"/>
  <c r="I404" i="3" s="1"/>
  <c r="O207" i="3" a="1"/>
  <c r="O207" i="3" s="1"/>
  <c r="I207" i="3" s="1"/>
  <c r="P177" i="3" a="1"/>
  <c r="P177" i="3" s="1"/>
  <c r="P339" i="3" a="1"/>
  <c r="P339" i="3" s="1"/>
  <c r="O416" i="3" a="1"/>
  <c r="O416" i="3" s="1"/>
  <c r="I416" i="3" s="1"/>
  <c r="P207" i="3" a="1"/>
  <c r="P207" i="3" s="1"/>
  <c r="P189" i="3" a="1"/>
  <c r="P189" i="3" s="1"/>
  <c r="P196" i="3" a="1"/>
  <c r="P196" i="3" s="1"/>
  <c r="P516" i="3" a="1"/>
  <c r="P516" i="3" s="1"/>
  <c r="P368" i="3" a="1"/>
  <c r="P368" i="3" s="1"/>
  <c r="P16" i="3" a="1"/>
  <c r="P16" i="3" s="1"/>
  <c r="O107" i="3" a="1"/>
  <c r="O107" i="3" s="1"/>
  <c r="I107" i="3" s="1"/>
  <c r="P496" i="3" a="1"/>
  <c r="P496" i="3" s="1"/>
  <c r="P488" i="3" a="1"/>
  <c r="P488" i="3" s="1"/>
  <c r="P421" i="3" a="1"/>
  <c r="P421" i="3" s="1"/>
  <c r="P128" i="3" a="1"/>
  <c r="P128" i="3" s="1"/>
  <c r="J128" i="3" s="1"/>
  <c r="P511" i="3" a="1"/>
  <c r="P511" i="3" s="1"/>
  <c r="O211" i="3" a="1"/>
  <c r="O211" i="3" s="1"/>
  <c r="I211" i="3" s="1"/>
  <c r="P272" i="3" a="1"/>
  <c r="P272" i="3" s="1"/>
  <c r="O160" i="3" a="1"/>
  <c r="O160" i="3" s="1"/>
  <c r="I160" i="3" s="1"/>
  <c r="P481" i="3" a="1"/>
  <c r="P481" i="3" s="1"/>
  <c r="O478" i="3" a="1"/>
  <c r="O478" i="3" s="1"/>
  <c r="I478" i="3" s="1"/>
  <c r="P271" i="3" a="1"/>
  <c r="P271" i="3" s="1"/>
  <c r="O398" i="3" a="1"/>
  <c r="O398" i="3" s="1"/>
  <c r="I398" i="3" s="1"/>
  <c r="P445" i="3" a="1"/>
  <c r="P445" i="3" s="1"/>
  <c r="O164" i="3" a="1"/>
  <c r="O164" i="3" s="1"/>
  <c r="I164" i="3" s="1"/>
  <c r="O185" i="3" a="1"/>
  <c r="O185" i="3" s="1"/>
  <c r="I185" i="3" s="1"/>
  <c r="O319" i="3" a="1"/>
  <c r="O319" i="3" s="1"/>
  <c r="I319" i="3" s="1"/>
  <c r="O551" i="3" a="1"/>
  <c r="O551" i="3" s="1"/>
  <c r="I551" i="3" s="1"/>
  <c r="P391" i="3" a="1"/>
  <c r="P391" i="3" s="1"/>
  <c r="P498" i="3" a="1"/>
  <c r="P498" i="3" s="1"/>
  <c r="P163" i="3" a="1"/>
  <c r="P163" i="3" s="1"/>
  <c r="P422" i="3" a="1"/>
  <c r="P422" i="3" s="1"/>
  <c r="O479" i="3" a="1"/>
  <c r="O479" i="3" s="1"/>
  <c r="I479" i="3" s="1"/>
  <c r="O522" i="3" a="1"/>
  <c r="O522" i="3" s="1"/>
  <c r="I522" i="3" s="1"/>
  <c r="O168" i="3" a="1"/>
  <c r="O168" i="3" s="1"/>
  <c r="I168" i="3" s="1"/>
  <c r="O485" i="3" a="1"/>
  <c r="O485" i="3" s="1"/>
  <c r="I485" i="3" s="1"/>
  <c r="P500" i="3" a="1"/>
  <c r="P500" i="3" s="1"/>
  <c r="P12" i="3" a="1"/>
  <c r="P12" i="3" s="1"/>
  <c r="O149" i="3" a="1"/>
  <c r="O149" i="3" s="1"/>
  <c r="I149" i="3" s="1"/>
  <c r="O506" i="3" a="1"/>
  <c r="O506" i="3" s="1"/>
  <c r="I506" i="3" s="1"/>
  <c r="P475" i="3" a="1"/>
  <c r="P475" i="3" s="1"/>
  <c r="P543" i="3" a="1"/>
  <c r="P543" i="3" s="1"/>
  <c r="P425" i="3" a="1"/>
  <c r="P425" i="3" s="1"/>
  <c r="O518" i="3" a="1"/>
  <c r="O518" i="3" s="1"/>
  <c r="I518" i="3" s="1"/>
  <c r="P318" i="3" a="1"/>
  <c r="P318" i="3" s="1"/>
  <c r="P364" i="3" a="1"/>
  <c r="P364" i="3" s="1"/>
  <c r="O373" i="3" a="1"/>
  <c r="O373" i="3" s="1"/>
  <c r="I373" i="3" s="1"/>
  <c r="O203" i="3" a="1"/>
  <c r="O203" i="3" s="1"/>
  <c r="I203" i="3" s="1"/>
  <c r="P473" i="3" a="1"/>
  <c r="P473" i="3" s="1"/>
  <c r="O547" i="3" a="1"/>
  <c r="O547" i="3" s="1"/>
  <c r="I547" i="3" s="1"/>
  <c r="P212" i="3" a="1"/>
  <c r="P212" i="3" s="1"/>
  <c r="O32" i="3" a="1"/>
  <c r="O32" i="3" s="1"/>
  <c r="I32" i="3" s="1"/>
  <c r="O516" i="3" a="1"/>
  <c r="O516" i="3" s="1"/>
  <c r="I516" i="3" s="1"/>
  <c r="O533" i="3" a="1"/>
  <c r="O533" i="3" s="1"/>
  <c r="I533" i="3" s="1"/>
  <c r="P501" i="3" a="1"/>
  <c r="P501" i="3" s="1"/>
  <c r="P538" i="3" a="1"/>
  <c r="P538" i="3" s="1"/>
  <c r="O193" i="3" a="1"/>
  <c r="O193" i="3" s="1"/>
  <c r="I193" i="3" s="1"/>
  <c r="O387" i="3" a="1"/>
  <c r="O387" i="3" s="1"/>
  <c r="I387" i="3" s="1"/>
  <c r="O459" i="3" a="1"/>
  <c r="O459" i="3" s="1"/>
  <c r="I459" i="3" s="1"/>
  <c r="O39" i="3" a="1"/>
  <c r="O39" i="3" s="1"/>
  <c r="I39" i="3" s="1"/>
  <c r="P201" i="3" a="1"/>
  <c r="P201" i="3" s="1"/>
  <c r="O511" i="3" a="1"/>
  <c r="O511" i="3" s="1"/>
  <c r="I511" i="3" s="1"/>
  <c r="O517" i="3" a="1"/>
  <c r="O517" i="3" s="1"/>
  <c r="I517" i="3" s="1"/>
  <c r="P536" i="3" a="1"/>
  <c r="P536" i="3" s="1"/>
  <c r="J536" i="3" s="1"/>
  <c r="P469" i="3" a="1"/>
  <c r="P469" i="3" s="1"/>
  <c r="O297" i="3" a="1"/>
  <c r="O297" i="3" s="1"/>
  <c r="I297" i="3" s="1"/>
  <c r="P510" i="3" a="1"/>
  <c r="P510" i="3" s="1"/>
  <c r="O419" i="3" a="1"/>
  <c r="O419" i="3" s="1"/>
  <c r="I419" i="3" s="1"/>
  <c r="O421" i="3" a="1"/>
  <c r="O421" i="3" s="1"/>
  <c r="I421" i="3" s="1"/>
  <c r="O49" i="3" a="1"/>
  <c r="O49" i="3" s="1"/>
  <c r="I49" i="3" s="1"/>
  <c r="O447" i="3" a="1"/>
  <c r="O447" i="3" s="1"/>
  <c r="I447" i="3" s="1"/>
  <c r="P528" i="3" a="1"/>
  <c r="P528" i="3" s="1"/>
  <c r="O342" i="3" a="1"/>
  <c r="O342" i="3" s="1"/>
  <c r="I342" i="3" s="1"/>
  <c r="O388" i="3" a="1"/>
  <c r="O388" i="3" s="1"/>
  <c r="I388" i="3" s="1"/>
  <c r="P386" i="3" a="1"/>
  <c r="P386" i="3" s="1"/>
  <c r="P419" i="3" a="1"/>
  <c r="P419" i="3" s="1"/>
  <c r="P535" i="3" a="1"/>
  <c r="P535" i="3" s="1"/>
  <c r="P39" i="3" a="1"/>
  <c r="P39" i="3" s="1"/>
  <c r="O341" i="3" a="1"/>
  <c r="O341" i="3" s="1"/>
  <c r="I341" i="3" s="1"/>
  <c r="P27" i="3" a="1"/>
  <c r="P27" i="3" s="1"/>
  <c r="O263" i="3" a="1"/>
  <c r="O263" i="3" s="1"/>
  <c r="I263" i="3" s="1"/>
  <c r="P393" i="3" a="1"/>
  <c r="P393" i="3" s="1"/>
  <c r="O123" i="3" a="1"/>
  <c r="O123" i="3" s="1"/>
  <c r="I123" i="3" s="1"/>
  <c r="O173" i="3" a="1"/>
  <c r="O173" i="3" s="1"/>
  <c r="I173" i="3" s="1"/>
  <c r="O200" i="3" a="1"/>
  <c r="O200" i="3" s="1"/>
  <c r="I200" i="3" s="1"/>
  <c r="P256" i="3" a="1"/>
  <c r="P256" i="3" s="1"/>
  <c r="O163" i="3" a="1"/>
  <c r="O163" i="3" s="1"/>
  <c r="I163" i="3" s="1"/>
  <c r="O500" i="3" a="1"/>
  <c r="O500" i="3" s="1"/>
  <c r="I500" i="3" s="1"/>
  <c r="O141" i="3" a="1"/>
  <c r="O141" i="3" s="1"/>
  <c r="I141" i="3" s="1"/>
  <c r="P531" i="3" a="1"/>
  <c r="P531" i="3" s="1"/>
  <c r="O396" i="3" a="1"/>
  <c r="O396" i="3" s="1"/>
  <c r="I396" i="3" s="1"/>
  <c r="P120" i="3" a="1"/>
  <c r="P120" i="3" s="1"/>
  <c r="P472" i="3" a="1"/>
  <c r="P472" i="3" s="1"/>
  <c r="P141" i="3" a="1"/>
  <c r="P141" i="3" s="1"/>
  <c r="P210" i="3" a="1"/>
  <c r="P210" i="3" s="1"/>
  <c r="P134" i="3" a="1"/>
  <c r="P134" i="3" s="1"/>
  <c r="P480" i="3" a="1"/>
  <c r="P480" i="3" s="1"/>
  <c r="O212" i="3" a="1"/>
  <c r="O212" i="3" s="1"/>
  <c r="I212" i="3" s="1"/>
  <c r="P292" i="3" a="1"/>
  <c r="P292" i="3" s="1"/>
  <c r="O372" i="3" a="1"/>
  <c r="O372" i="3" s="1"/>
  <c r="I372" i="3" s="1"/>
  <c r="P458" i="3" a="1"/>
  <c r="P458" i="3" s="1"/>
  <c r="O523" i="3" a="1"/>
  <c r="O523" i="3" s="1"/>
  <c r="I523" i="3" s="1"/>
  <c r="G761" i="3" l="1" a="1"/>
  <c r="G761" i="3" s="1"/>
  <c r="G609" i="3" a="1"/>
  <c r="G609" i="3" s="1"/>
  <c r="G903" i="3" a="1"/>
  <c r="G903" i="3" s="1"/>
  <c r="J870" i="3"/>
  <c r="K870" i="3"/>
  <c r="G870" i="3" s="1" a="1"/>
  <c r="G870" i="3" s="1"/>
  <c r="J716" i="3"/>
  <c r="K716" i="3"/>
  <c r="G716" i="3" s="1" a="1"/>
  <c r="G716" i="3" s="1"/>
  <c r="J890" i="3"/>
  <c r="K890" i="3"/>
  <c r="J634" i="3"/>
  <c r="K634" i="3"/>
  <c r="K741" i="3"/>
  <c r="J741" i="3"/>
  <c r="J778" i="3"/>
  <c r="K778" i="3"/>
  <c r="J805" i="3"/>
  <c r="K805" i="3"/>
  <c r="J874" i="3"/>
  <c r="K874" i="3"/>
  <c r="J922" i="3"/>
  <c r="K922" i="3"/>
  <c r="J613" i="3"/>
  <c r="K613" i="3"/>
  <c r="J825" i="3"/>
  <c r="K825" i="3"/>
  <c r="G825" i="3" s="1" a="1"/>
  <c r="G825" i="3" s="1"/>
  <c r="J965" i="3"/>
  <c r="K965" i="3"/>
  <c r="J742" i="3"/>
  <c r="K742" i="3"/>
  <c r="J686" i="3"/>
  <c r="K686" i="3"/>
  <c r="J588" i="3"/>
  <c r="K588" i="3"/>
  <c r="J631" i="3"/>
  <c r="K631" i="3"/>
  <c r="K737" i="3"/>
  <c r="J737" i="3"/>
  <c r="G737" i="3" s="1" a="1"/>
  <c r="G737" i="3" s="1"/>
  <c r="J768" i="3"/>
  <c r="K768" i="3"/>
  <c r="J988" i="3"/>
  <c r="K988" i="3"/>
  <c r="J601" i="3"/>
  <c r="K601" i="3"/>
  <c r="J676" i="3"/>
  <c r="K676" i="3"/>
  <c r="J816" i="3"/>
  <c r="K816" i="3"/>
  <c r="G816" i="3" s="1" a="1"/>
  <c r="G816" i="3" s="1"/>
  <c r="J899" i="3"/>
  <c r="K899" i="3"/>
  <c r="J608" i="3"/>
  <c r="K608" i="3"/>
  <c r="J743" i="3"/>
  <c r="K743" i="3"/>
  <c r="K969" i="3"/>
  <c r="J969" i="3"/>
  <c r="J730" i="3"/>
  <c r="K730" i="3"/>
  <c r="G730" i="3" s="1" a="1"/>
  <c r="G730" i="3" s="1"/>
  <c r="J578" i="3"/>
  <c r="K578" i="3"/>
  <c r="J672" i="3"/>
  <c r="K672" i="3"/>
  <c r="J928" i="3"/>
  <c r="K928" i="3"/>
  <c r="J685" i="3"/>
  <c r="K685" i="3"/>
  <c r="G685" i="3" s="1" a="1"/>
  <c r="G685" i="3" s="1"/>
  <c r="J904" i="3"/>
  <c r="K904" i="3"/>
  <c r="G904" i="3" s="1" a="1"/>
  <c r="G904" i="3" s="1"/>
  <c r="J762" i="3"/>
  <c r="K762" i="3"/>
  <c r="K1005" i="3"/>
  <c r="J1005" i="3"/>
  <c r="J585" i="3"/>
  <c r="K585" i="3"/>
  <c r="J687" i="3"/>
  <c r="K687" i="3"/>
  <c r="J821" i="3"/>
  <c r="K821" i="3"/>
  <c r="J937" i="3"/>
  <c r="K937" i="3"/>
  <c r="J726" i="3"/>
  <c r="K726" i="3"/>
  <c r="K958" i="3"/>
  <c r="J958" i="3"/>
  <c r="J990" i="3"/>
  <c r="K990" i="3"/>
  <c r="J861" i="3"/>
  <c r="K861" i="3"/>
  <c r="G861" i="3" s="1" a="1"/>
  <c r="G861" i="3" s="1"/>
  <c r="J933" i="3"/>
  <c r="K933" i="3"/>
  <c r="J851" i="3"/>
  <c r="K851" i="3"/>
  <c r="J698" i="3"/>
  <c r="K698" i="3"/>
  <c r="J912" i="3"/>
  <c r="K912" i="3"/>
  <c r="J949" i="3"/>
  <c r="K949" i="3"/>
  <c r="J734" i="3"/>
  <c r="K734" i="3"/>
  <c r="J764" i="3"/>
  <c r="K764" i="3"/>
  <c r="K998" i="3"/>
  <c r="J998" i="3"/>
  <c r="G998" i="3" s="1" a="1"/>
  <c r="G998" i="3" s="1"/>
  <c r="K1008" i="3"/>
  <c r="J1008" i="3"/>
  <c r="G1008" i="3" s="1" a="1"/>
  <c r="G1008" i="3" s="1"/>
  <c r="J848" i="3"/>
  <c r="K848" i="3"/>
  <c r="J996" i="3"/>
  <c r="K996" i="3"/>
  <c r="J677" i="3"/>
  <c r="K677" i="3"/>
  <c r="J664" i="3"/>
  <c r="K664" i="3"/>
  <c r="J636" i="3"/>
  <c r="K636" i="3"/>
  <c r="J871" i="3"/>
  <c r="K871" i="3"/>
  <c r="G871" i="3" s="1" a="1"/>
  <c r="G871" i="3" s="1"/>
  <c r="J923" i="3"/>
  <c r="K923" i="3"/>
  <c r="G923" i="3" s="1" a="1"/>
  <c r="G923" i="3" s="1"/>
  <c r="J785" i="3"/>
  <c r="K785" i="3"/>
  <c r="K986" i="3"/>
  <c r="J986" i="3"/>
  <c r="J999" i="3"/>
  <c r="K999" i="3"/>
  <c r="J736" i="3"/>
  <c r="K736" i="3"/>
  <c r="J864" i="3"/>
  <c r="K864" i="3"/>
  <c r="J616" i="3"/>
  <c r="K616" i="3"/>
  <c r="J784" i="3"/>
  <c r="K784" i="3"/>
  <c r="J643" i="3"/>
  <c r="K643" i="3"/>
  <c r="J883" i="3"/>
  <c r="K883" i="3"/>
  <c r="G883" i="3" s="1" a="1"/>
  <c r="G883" i="3" s="1"/>
  <c r="K894" i="3"/>
  <c r="J894" i="3"/>
  <c r="K968" i="3"/>
  <c r="J968" i="3"/>
  <c r="J924" i="3"/>
  <c r="K924" i="3"/>
  <c r="J605" i="3"/>
  <c r="K605" i="3"/>
  <c r="J786" i="3"/>
  <c r="K786" i="3"/>
  <c r="J868" i="3"/>
  <c r="K868" i="3"/>
  <c r="K908" i="3"/>
  <c r="J908" i="3"/>
  <c r="J952" i="3"/>
  <c r="K952" i="3"/>
  <c r="J599" i="3"/>
  <c r="K599" i="3"/>
  <c r="J886" i="3"/>
  <c r="K886" i="3"/>
  <c r="G886" i="3" s="1" a="1"/>
  <c r="G886" i="3" s="1"/>
  <c r="J681" i="3"/>
  <c r="K681" i="3"/>
  <c r="G681" i="3" s="1" a="1"/>
  <c r="G681" i="3" s="1"/>
  <c r="J775" i="3"/>
  <c r="K775" i="3"/>
  <c r="J617" i="3"/>
  <c r="K617" i="3"/>
  <c r="J590" i="3"/>
  <c r="K590" i="3"/>
  <c r="J931" i="3"/>
  <c r="K931" i="3"/>
  <c r="J772" i="3"/>
  <c r="K772" i="3"/>
  <c r="K951" i="3"/>
  <c r="J951" i="3"/>
  <c r="J979" i="3"/>
  <c r="K979" i="3"/>
  <c r="J989" i="3"/>
  <c r="K989" i="3"/>
  <c r="J803" i="3"/>
  <c r="K803" i="3"/>
  <c r="J635" i="3"/>
  <c r="K635" i="3"/>
  <c r="J971" i="3"/>
  <c r="K971" i="3"/>
  <c r="J624" i="3"/>
  <c r="K624" i="3"/>
  <c r="J592" i="3"/>
  <c r="K592" i="3"/>
  <c r="J811" i="3"/>
  <c r="K811" i="3"/>
  <c r="J655" i="3"/>
  <c r="K655" i="3"/>
  <c r="J641" i="3"/>
  <c r="K641" i="3"/>
  <c r="J916" i="3"/>
  <c r="K916" i="3"/>
  <c r="J645" i="3"/>
  <c r="K645" i="3"/>
  <c r="J767" i="3"/>
  <c r="K767" i="3"/>
  <c r="G767" i="3" s="1" a="1"/>
  <c r="G767" i="3" s="1"/>
  <c r="J879" i="3"/>
  <c r="K879" i="3"/>
  <c r="J740" i="3"/>
  <c r="K740" i="3"/>
  <c r="J650" i="3"/>
  <c r="K650" i="3"/>
  <c r="K981" i="3"/>
  <c r="J981" i="3"/>
  <c r="J735" i="3"/>
  <c r="K735" i="3"/>
  <c r="J727" i="3"/>
  <c r="K727" i="3"/>
  <c r="J702" i="3"/>
  <c r="K702" i="3"/>
  <c r="J843" i="3"/>
  <c r="K843" i="3"/>
  <c r="J810" i="3"/>
  <c r="K810" i="3"/>
  <c r="J814" i="3"/>
  <c r="K814" i="3"/>
  <c r="G814" i="3" s="1" a="1"/>
  <c r="G814" i="3" s="1"/>
  <c r="J689" i="3"/>
  <c r="K689" i="3"/>
  <c r="J830" i="3"/>
  <c r="K830" i="3"/>
  <c r="J875" i="3"/>
  <c r="K875" i="3"/>
  <c r="J798" i="3"/>
  <c r="K798" i="3"/>
  <c r="J690" i="3"/>
  <c r="K690" i="3"/>
  <c r="J793" i="3"/>
  <c r="K793" i="3"/>
  <c r="J679" i="3"/>
  <c r="K679" i="3"/>
  <c r="J779" i="3"/>
  <c r="K779" i="3"/>
  <c r="J776" i="3"/>
  <c r="K776" i="3"/>
  <c r="J721" i="3"/>
  <c r="K721" i="3"/>
  <c r="G721" i="3" s="1" a="1"/>
  <c r="G721" i="3" s="1"/>
  <c r="J909" i="3"/>
  <c r="K909" i="3"/>
  <c r="J618" i="3"/>
  <c r="K618" i="3"/>
  <c r="J751" i="3"/>
  <c r="K751" i="3"/>
  <c r="J866" i="3"/>
  <c r="K866" i="3"/>
  <c r="J832" i="3"/>
  <c r="K832" i="3"/>
  <c r="J906" i="3"/>
  <c r="K906" i="3"/>
  <c r="J872" i="3"/>
  <c r="K872" i="3"/>
  <c r="G872" i="3" s="1" a="1"/>
  <c r="G872" i="3" s="1"/>
  <c r="J907" i="3"/>
  <c r="K907" i="3"/>
  <c r="J863" i="3"/>
  <c r="K863" i="3"/>
  <c r="J808" i="3"/>
  <c r="K808" i="3"/>
  <c r="G808" i="3" s="1" a="1"/>
  <c r="G808" i="3" s="1"/>
  <c r="J632" i="3"/>
  <c r="K632" i="3"/>
  <c r="J914" i="3"/>
  <c r="K914" i="3"/>
  <c r="G914" i="3" s="1" a="1"/>
  <c r="G914" i="3" s="1"/>
  <c r="J992" i="3"/>
  <c r="K992" i="3"/>
  <c r="K885" i="3"/>
  <c r="J885" i="3"/>
  <c r="G885" i="3" s="1" a="1"/>
  <c r="G885" i="3" s="1"/>
  <c r="J774" i="3"/>
  <c r="K774" i="3"/>
  <c r="J930" i="3"/>
  <c r="K930" i="3"/>
  <c r="J694" i="3"/>
  <c r="K694" i="3"/>
  <c r="G694" i="3" s="1" a="1"/>
  <c r="G694" i="3" s="1"/>
  <c r="J929" i="3"/>
  <c r="K929" i="3"/>
  <c r="J633" i="3"/>
  <c r="K633" i="3"/>
  <c r="J724" i="3"/>
  <c r="K724" i="3"/>
  <c r="J905" i="3"/>
  <c r="K905" i="3"/>
  <c r="J941" i="3"/>
  <c r="K941" i="3"/>
  <c r="G941" i="3" s="1" a="1"/>
  <c r="G941" i="3" s="1"/>
  <c r="J842" i="3"/>
  <c r="K842" i="3"/>
  <c r="K614" i="3"/>
  <c r="J614" i="3"/>
  <c r="G614" i="3" s="1" a="1"/>
  <c r="G614" i="3" s="1"/>
  <c r="J887" i="3"/>
  <c r="K887" i="3"/>
  <c r="K942" i="3"/>
  <c r="J942" i="3"/>
  <c r="G942" i="3" s="1" a="1"/>
  <c r="G942" i="3" s="1"/>
  <c r="J977" i="3"/>
  <c r="K977" i="3"/>
  <c r="J712" i="3"/>
  <c r="K712" i="3"/>
  <c r="G712" i="3" s="1" a="1"/>
  <c r="G712" i="3" s="1"/>
  <c r="J595" i="3"/>
  <c r="K595" i="3"/>
  <c r="J852" i="3"/>
  <c r="K852" i="3"/>
  <c r="J876" i="3"/>
  <c r="K876" i="3"/>
  <c r="J934" i="3"/>
  <c r="K934" i="3"/>
  <c r="J950" i="3"/>
  <c r="K950" i="3"/>
  <c r="K959" i="3"/>
  <c r="J959" i="3"/>
  <c r="K1000" i="3"/>
  <c r="J1000" i="3"/>
  <c r="K925" i="3"/>
  <c r="J925" i="3"/>
  <c r="J754" i="3"/>
  <c r="K754" i="3"/>
  <c r="J665" i="3"/>
  <c r="K665" i="3"/>
  <c r="J715" i="3"/>
  <c r="K715" i="3"/>
  <c r="J692" i="3"/>
  <c r="K692" i="3"/>
  <c r="J661" i="3"/>
  <c r="K661" i="3"/>
  <c r="J656" i="3"/>
  <c r="K656" i="3"/>
  <c r="J919" i="3"/>
  <c r="K919" i="3"/>
  <c r="J756" i="3"/>
  <c r="K756" i="3"/>
  <c r="G756" i="3" s="1" a="1"/>
  <c r="G756" i="3" s="1"/>
  <c r="J757" i="3"/>
  <c r="K757" i="3"/>
  <c r="J640" i="3"/>
  <c r="K640" i="3"/>
  <c r="J642" i="3"/>
  <c r="K642" i="3"/>
  <c r="J589" i="3"/>
  <c r="K589" i="3"/>
  <c r="J752" i="3"/>
  <c r="K752" i="3"/>
  <c r="J789" i="3"/>
  <c r="K789" i="3"/>
  <c r="J893" i="3"/>
  <c r="K893" i="3"/>
  <c r="J850" i="3"/>
  <c r="K850" i="3"/>
  <c r="J781" i="3"/>
  <c r="K781" i="3"/>
  <c r="J823" i="3"/>
  <c r="K823" i="3"/>
  <c r="G823" i="3" s="1" a="1"/>
  <c r="G823" i="3" s="1"/>
  <c r="J732" i="3"/>
  <c r="K732" i="3"/>
  <c r="K944" i="3"/>
  <c r="J944" i="3"/>
  <c r="G944" i="3" s="1" a="1"/>
  <c r="G944" i="3" s="1"/>
  <c r="J961" i="3"/>
  <c r="K961" i="3"/>
  <c r="G961" i="3" s="1" a="1"/>
  <c r="G961" i="3" s="1"/>
  <c r="J651" i="3"/>
  <c r="K651" i="3"/>
  <c r="J674" i="3"/>
  <c r="K674" i="3"/>
  <c r="G674" i="3" s="1" a="1"/>
  <c r="G674" i="3" s="1"/>
  <c r="J658" i="3"/>
  <c r="K658" i="3"/>
  <c r="J622" i="3"/>
  <c r="K622" i="3"/>
  <c r="J750" i="3"/>
  <c r="K750" i="3"/>
  <c r="J678" i="3"/>
  <c r="K678" i="3"/>
  <c r="K711" i="3"/>
  <c r="J711" i="3"/>
  <c r="G711" i="3" s="1" a="1"/>
  <c r="G711" i="3" s="1"/>
  <c r="J915" i="3"/>
  <c r="K915" i="3"/>
  <c r="J695" i="3"/>
  <c r="K695" i="3"/>
  <c r="G695" i="3" s="1" a="1"/>
  <c r="G695" i="3" s="1"/>
  <c r="J820" i="3"/>
  <c r="K820" i="3"/>
  <c r="J627" i="3"/>
  <c r="K627" i="3"/>
  <c r="J945" i="3"/>
  <c r="K945" i="3"/>
  <c r="J943" i="3"/>
  <c r="K943" i="3"/>
  <c r="K955" i="3"/>
  <c r="J955" i="3"/>
  <c r="G955" i="3" s="1" a="1"/>
  <c r="G955" i="3" s="1"/>
  <c r="J997" i="3"/>
  <c r="K997" i="3"/>
  <c r="G997" i="3" s="1" a="1"/>
  <c r="G997" i="3" s="1"/>
  <c r="J713" i="3"/>
  <c r="K713" i="3"/>
  <c r="J799" i="3"/>
  <c r="K799" i="3"/>
  <c r="J648" i="3"/>
  <c r="K648" i="3"/>
  <c r="J910" i="3"/>
  <c r="K910" i="3"/>
  <c r="J918" i="3"/>
  <c r="K918" i="3"/>
  <c r="G918" i="3" s="1" a="1"/>
  <c r="G918" i="3" s="1"/>
  <c r="J790" i="3"/>
  <c r="K790" i="3"/>
  <c r="J839" i="3"/>
  <c r="K839" i="3"/>
  <c r="J700" i="3"/>
  <c r="K700" i="3"/>
  <c r="J699" i="3"/>
  <c r="K699" i="3"/>
  <c r="J889" i="3"/>
  <c r="K889" i="3"/>
  <c r="J621" i="3"/>
  <c r="K621" i="3"/>
  <c r="J733" i="3"/>
  <c r="K733" i="3"/>
  <c r="J649" i="3"/>
  <c r="K649" i="3"/>
  <c r="J620" i="3"/>
  <c r="K620" i="3"/>
  <c r="K947" i="3"/>
  <c r="J947" i="3"/>
  <c r="G947" i="3" s="1" a="1"/>
  <c r="G947" i="3" s="1"/>
  <c r="K966" i="3"/>
  <c r="J966" i="3"/>
  <c r="K983" i="3"/>
  <c r="J983" i="3"/>
  <c r="G983" i="3" s="1" a="1"/>
  <c r="G983" i="3" s="1"/>
  <c r="J607" i="3"/>
  <c r="K607" i="3"/>
  <c r="J766" i="3"/>
  <c r="K766" i="3"/>
  <c r="J629" i="3"/>
  <c r="K629" i="3"/>
  <c r="J720" i="3"/>
  <c r="K720" i="3"/>
  <c r="J800" i="3"/>
  <c r="K800" i="3"/>
  <c r="J697" i="3"/>
  <c r="K697" i="3"/>
  <c r="J917" i="3"/>
  <c r="K917" i="3"/>
  <c r="J581" i="3"/>
  <c r="K581" i="3"/>
  <c r="J771" i="3"/>
  <c r="K771" i="3"/>
  <c r="J818" i="3"/>
  <c r="K818" i="3"/>
  <c r="G818" i="3" s="1" a="1"/>
  <c r="G818" i="3" s="1"/>
  <c r="K980" i="3"/>
  <c r="J980" i="3"/>
  <c r="J932" i="3"/>
  <c r="K932" i="3"/>
  <c r="J777" i="3"/>
  <c r="K777" i="3"/>
  <c r="G777" i="3" s="1" a="1"/>
  <c r="G777" i="3" s="1"/>
  <c r="K985" i="3"/>
  <c r="J985" i="3"/>
  <c r="J684" i="3"/>
  <c r="K684" i="3"/>
  <c r="J860" i="3"/>
  <c r="K860" i="3"/>
  <c r="J849" i="3"/>
  <c r="K849" i="3"/>
  <c r="J639" i="3"/>
  <c r="K639" i="3"/>
  <c r="G639" i="3" s="1" a="1"/>
  <c r="G639" i="3" s="1"/>
  <c r="K974" i="3"/>
  <c r="J974" i="3"/>
  <c r="J612" i="3"/>
  <c r="K612" i="3"/>
  <c r="J647" i="3"/>
  <c r="K647" i="3"/>
  <c r="K973" i="3"/>
  <c r="J973" i="3"/>
  <c r="G973" i="3" s="1" a="1"/>
  <c r="G973" i="3" s="1"/>
  <c r="J806" i="3"/>
  <c r="K806" i="3"/>
  <c r="K747" i="3"/>
  <c r="J747" i="3"/>
  <c r="K660" i="3"/>
  <c r="J660" i="3"/>
  <c r="G660" i="3" s="1" a="1"/>
  <c r="G660" i="3" s="1"/>
  <c r="J831" i="3"/>
  <c r="K831" i="3"/>
  <c r="J668" i="3"/>
  <c r="K668" i="3"/>
  <c r="J586" i="3"/>
  <c r="K586" i="3"/>
  <c r="J796" i="3"/>
  <c r="K796" i="3"/>
  <c r="J865" i="3"/>
  <c r="K865" i="3"/>
  <c r="K940" i="3"/>
  <c r="J940" i="3"/>
  <c r="J956" i="3"/>
  <c r="K956" i="3"/>
  <c r="J987" i="3"/>
  <c r="K987" i="3"/>
  <c r="J787" i="3"/>
  <c r="K787" i="3"/>
  <c r="J603" i="3"/>
  <c r="K603" i="3"/>
  <c r="K835" i="3"/>
  <c r="J835" i="3"/>
  <c r="J783" i="3"/>
  <c r="K783" i="3"/>
  <c r="K1004" i="3"/>
  <c r="J1004" i="3"/>
  <c r="J644" i="3"/>
  <c r="K644" i="3"/>
  <c r="G644" i="3" s="1" a="1"/>
  <c r="G644" i="3" s="1"/>
  <c r="J637" i="3"/>
  <c r="K637" i="3"/>
  <c r="J719" i="3"/>
  <c r="K719" i="3"/>
  <c r="J579" i="3"/>
  <c r="K579" i="3"/>
  <c r="J853" i="3"/>
  <c r="K853" i="3"/>
  <c r="J857" i="3"/>
  <c r="K857" i="3"/>
  <c r="J797" i="3"/>
  <c r="K797" i="3"/>
  <c r="J1011" i="3"/>
  <c r="K1011" i="3"/>
  <c r="J706" i="3"/>
  <c r="K706" i="3"/>
  <c r="J880" i="3"/>
  <c r="K880" i="3"/>
  <c r="J62" i="3"/>
  <c r="K62" i="3"/>
  <c r="K970" i="3"/>
  <c r="J970" i="3"/>
  <c r="K1010" i="3"/>
  <c r="J1010" i="3"/>
  <c r="J873" i="3"/>
  <c r="K873" i="3"/>
  <c r="J731" i="3"/>
  <c r="K731" i="3"/>
  <c r="J884" i="3"/>
  <c r="K884" i="3"/>
  <c r="J675" i="3"/>
  <c r="K675" i="3"/>
  <c r="J630" i="3"/>
  <c r="K630" i="3"/>
  <c r="J833" i="3"/>
  <c r="K833" i="3"/>
  <c r="J878" i="3"/>
  <c r="K878" i="3"/>
  <c r="J646" i="3"/>
  <c r="K646" i="3"/>
  <c r="J794" i="3"/>
  <c r="K794" i="3"/>
  <c r="K957" i="3"/>
  <c r="J957" i="3"/>
  <c r="J995" i="3"/>
  <c r="K995" i="3"/>
  <c r="J791" i="3"/>
  <c r="K791" i="3"/>
  <c r="J869" i="3"/>
  <c r="K869" i="3"/>
  <c r="J705" i="3"/>
  <c r="K705" i="3"/>
  <c r="J619" i="3"/>
  <c r="K619" i="3"/>
  <c r="J897" i="3"/>
  <c r="K897" i="3"/>
  <c r="J792" i="3"/>
  <c r="K792" i="3"/>
  <c r="K611" i="3"/>
  <c r="J611" i="3"/>
  <c r="G611" i="3" s="1" a="1"/>
  <c r="G611" i="3" s="1"/>
  <c r="J680" i="3"/>
  <c r="K680" i="3"/>
  <c r="J597" i="3"/>
  <c r="K597" i="3"/>
  <c r="K939" i="3"/>
  <c r="J939" i="3"/>
  <c r="J841" i="3"/>
  <c r="K841" i="3"/>
  <c r="J725" i="3"/>
  <c r="K725" i="3"/>
  <c r="K722" i="3"/>
  <c r="J722" i="3"/>
  <c r="J840" i="3"/>
  <c r="K840" i="3"/>
  <c r="J755" i="3"/>
  <c r="K755" i="3"/>
  <c r="J704" i="3"/>
  <c r="K704" i="3"/>
  <c r="J746" i="3"/>
  <c r="K746" i="3"/>
  <c r="G746" i="3" s="1" a="1"/>
  <c r="G746" i="3" s="1"/>
  <c r="J911" i="3"/>
  <c r="K911" i="3"/>
  <c r="J593" i="3"/>
  <c r="K593" i="3"/>
  <c r="J745" i="3"/>
  <c r="K745" i="3"/>
  <c r="G780" i="3" a="1"/>
  <c r="G780" i="3" s="1"/>
  <c r="J770" i="3"/>
  <c r="K770" i="3"/>
  <c r="J856" i="3"/>
  <c r="K856" i="3"/>
  <c r="J812" i="3"/>
  <c r="K812" i="3"/>
  <c r="K795" i="3"/>
  <c r="J795" i="3"/>
  <c r="J837" i="3"/>
  <c r="K837" i="3"/>
  <c r="K901" i="3"/>
  <c r="J901" i="3"/>
  <c r="K946" i="3"/>
  <c r="J946" i="3"/>
  <c r="J92" i="3"/>
  <c r="K92" i="3"/>
  <c r="J1007" i="3"/>
  <c r="K1007" i="3"/>
  <c r="J994" i="3"/>
  <c r="K994" i="3"/>
  <c r="J895" i="3"/>
  <c r="K895" i="3"/>
  <c r="J749" i="3"/>
  <c r="K749" i="3"/>
  <c r="G749" i="3" s="1" a="1"/>
  <c r="G749" i="3" s="1"/>
  <c r="J683" i="3"/>
  <c r="K683" i="3"/>
  <c r="J822" i="3"/>
  <c r="K822" i="3"/>
  <c r="J718" i="3"/>
  <c r="K718" i="3"/>
  <c r="J759" i="3"/>
  <c r="K759" i="3"/>
  <c r="J758" i="3"/>
  <c r="K758" i="3"/>
  <c r="G758" i="3" s="1" a="1"/>
  <c r="G758" i="3" s="1"/>
  <c r="J846" i="3"/>
  <c r="K846" i="3"/>
  <c r="J854" i="3"/>
  <c r="K854" i="3"/>
  <c r="K1002" i="3"/>
  <c r="J1002" i="3"/>
  <c r="J623" i="3"/>
  <c r="K623" i="3"/>
  <c r="J666" i="3"/>
  <c r="K666" i="3"/>
  <c r="J765" i="3"/>
  <c r="K765" i="3"/>
  <c r="J802" i="3"/>
  <c r="K802" i="3"/>
  <c r="J696" i="3"/>
  <c r="K696" i="3"/>
  <c r="J580" i="3"/>
  <c r="K580" i="3"/>
  <c r="J859" i="3"/>
  <c r="K859" i="3"/>
  <c r="J867" i="3"/>
  <c r="K867" i="3"/>
  <c r="J707" i="3"/>
  <c r="K707" i="3"/>
  <c r="J596" i="3"/>
  <c r="K596" i="3"/>
  <c r="J584" i="3"/>
  <c r="K584" i="3"/>
  <c r="J921" i="3"/>
  <c r="K921" i="3"/>
  <c r="J845" i="3"/>
  <c r="K845" i="3"/>
  <c r="J708" i="3"/>
  <c r="K708" i="3"/>
  <c r="J598" i="3"/>
  <c r="K598" i="3"/>
  <c r="J788" i="3"/>
  <c r="K788" i="3"/>
  <c r="J628" i="3"/>
  <c r="K628" i="3"/>
  <c r="G628" i="3" s="1" a="1"/>
  <c r="G628" i="3" s="1"/>
  <c r="J662" i="3"/>
  <c r="K662" i="3"/>
  <c r="J817" i="3"/>
  <c r="K817" i="3"/>
  <c r="J594" i="3"/>
  <c r="K594" i="3"/>
  <c r="J583" i="3"/>
  <c r="K583" i="3"/>
  <c r="J858" i="3"/>
  <c r="K858" i="3"/>
  <c r="G858" i="3" s="1" a="1"/>
  <c r="G858" i="3" s="1"/>
  <c r="J653" i="3"/>
  <c r="K653" i="3"/>
  <c r="J97" i="3"/>
  <c r="K97" i="3"/>
  <c r="J1001" i="3"/>
  <c r="K1001" i="3"/>
  <c r="G1001" i="3" s="1" a="1"/>
  <c r="G1001" i="3" s="1"/>
  <c r="J900" i="3"/>
  <c r="K900" i="3"/>
  <c r="J654" i="3"/>
  <c r="K654" i="3"/>
  <c r="J714" i="3"/>
  <c r="K714" i="3"/>
  <c r="K877" i="3"/>
  <c r="J877" i="3"/>
  <c r="K606" i="3"/>
  <c r="J606" i="3"/>
  <c r="J882" i="3"/>
  <c r="K882" i="3"/>
  <c r="K763" i="3"/>
  <c r="J763" i="3"/>
  <c r="J891" i="3"/>
  <c r="K891" i="3"/>
  <c r="J626" i="3"/>
  <c r="K626" i="3"/>
  <c r="J688" i="3"/>
  <c r="K688" i="3"/>
  <c r="K896" i="3"/>
  <c r="J896" i="3"/>
  <c r="K975" i="3"/>
  <c r="J975" i="3"/>
  <c r="G975" i="3" s="1" a="1"/>
  <c r="G975" i="3" s="1"/>
  <c r="J744" i="3"/>
  <c r="K744" i="3"/>
  <c r="J748" i="3"/>
  <c r="K748" i="3"/>
  <c r="J954" i="3"/>
  <c r="K954" i="3"/>
  <c r="J976" i="3"/>
  <c r="K976" i="3"/>
  <c r="J769" i="3"/>
  <c r="K769" i="3"/>
  <c r="G769" i="3" s="1" a="1"/>
  <c r="G769" i="3" s="1"/>
  <c r="J667" i="3"/>
  <c r="K667" i="3"/>
  <c r="J815" i="3"/>
  <c r="K815" i="3"/>
  <c r="J898" i="3"/>
  <c r="K898" i="3"/>
  <c r="J826" i="3"/>
  <c r="K826" i="3"/>
  <c r="J638" i="3"/>
  <c r="K638" i="3"/>
  <c r="G638" i="3" s="1" a="1"/>
  <c r="G638" i="3" s="1"/>
  <c r="J691" i="3"/>
  <c r="K691" i="3"/>
  <c r="K1003" i="3"/>
  <c r="J1003" i="3"/>
  <c r="J717" i="3"/>
  <c r="K717" i="3"/>
  <c r="J847" i="3"/>
  <c r="K847" i="3"/>
  <c r="G587" i="3" a="1"/>
  <c r="G587" i="3" s="1"/>
  <c r="J615" i="3"/>
  <c r="K615" i="3"/>
  <c r="J836" i="3"/>
  <c r="K836" i="3"/>
  <c r="J926" i="3"/>
  <c r="K926" i="3"/>
  <c r="J693" i="3"/>
  <c r="K693" i="3"/>
  <c r="J809" i="3"/>
  <c r="K809" i="3"/>
  <c r="J913" i="3"/>
  <c r="K913" i="3"/>
  <c r="J723" i="3"/>
  <c r="K723" i="3"/>
  <c r="J801" i="3"/>
  <c r="K801" i="3"/>
  <c r="K600" i="3"/>
  <c r="J600" i="3"/>
  <c r="J604" i="3"/>
  <c r="K604" i="3"/>
  <c r="J855" i="3"/>
  <c r="K855" i="3"/>
  <c r="J892" i="3"/>
  <c r="K892" i="3"/>
  <c r="J935" i="3"/>
  <c r="K935" i="3"/>
  <c r="J927" i="3"/>
  <c r="K927" i="3"/>
  <c r="J671" i="3"/>
  <c r="K671" i="3"/>
  <c r="J602" i="3"/>
  <c r="K602" i="3"/>
  <c r="J652" i="3"/>
  <c r="K652" i="3"/>
  <c r="J738" i="3"/>
  <c r="K738" i="3"/>
  <c r="J663" i="3"/>
  <c r="K663" i="3"/>
  <c r="J729" i="3"/>
  <c r="K729" i="3"/>
  <c r="J773" i="3"/>
  <c r="K773" i="3"/>
  <c r="J728" i="3"/>
  <c r="K728" i="3"/>
  <c r="K920" i="3"/>
  <c r="J920" i="3"/>
  <c r="G920" i="3" s="1" a="1"/>
  <c r="G920" i="3" s="1"/>
  <c r="J804" i="3"/>
  <c r="K804" i="3"/>
  <c r="J760" i="3"/>
  <c r="K760" i="3"/>
  <c r="J782" i="3"/>
  <c r="K782" i="3"/>
  <c r="J844" i="3"/>
  <c r="K844" i="3"/>
  <c r="J162" i="3"/>
  <c r="K162" i="3"/>
  <c r="K962" i="3"/>
  <c r="J962" i="3"/>
  <c r="J963" i="3"/>
  <c r="K963" i="3"/>
  <c r="J982" i="3"/>
  <c r="K982" i="3"/>
  <c r="K1006" i="3"/>
  <c r="J1006" i="3"/>
  <c r="K1013" i="3"/>
  <c r="J1013" i="3"/>
  <c r="G1013" i="3" s="1" a="1"/>
  <c r="G1013" i="3" s="1"/>
  <c r="J807" i="3"/>
  <c r="K807" i="3"/>
  <c r="J370" i="3"/>
  <c r="K370" i="3"/>
  <c r="J701" i="3"/>
  <c r="K701" i="3"/>
  <c r="K1009" i="3"/>
  <c r="J1009" i="3"/>
  <c r="J824" i="3"/>
  <c r="K824" i="3"/>
  <c r="J610" i="3"/>
  <c r="K610" i="3"/>
  <c r="J888" i="3"/>
  <c r="K888" i="3"/>
  <c r="J670" i="3"/>
  <c r="K670" i="3"/>
  <c r="J834" i="3"/>
  <c r="K834" i="3"/>
  <c r="J591" i="3"/>
  <c r="K591" i="3"/>
  <c r="K960" i="3"/>
  <c r="J960" i="3"/>
  <c r="J978" i="3"/>
  <c r="K978" i="3"/>
  <c r="G978" i="3" s="1" a="1"/>
  <c r="G978" i="3" s="1"/>
  <c r="J682" i="3"/>
  <c r="K682" i="3"/>
  <c r="J828" i="3"/>
  <c r="K828" i="3"/>
  <c r="K953" i="3"/>
  <c r="J953" i="3"/>
  <c r="J967" i="3"/>
  <c r="K967" i="3"/>
  <c r="J993" i="3"/>
  <c r="K993" i="3"/>
  <c r="J829" i="3"/>
  <c r="K829" i="3"/>
  <c r="J582" i="3"/>
  <c r="K582" i="3"/>
  <c r="J657" i="3"/>
  <c r="K657" i="3"/>
  <c r="G657" i="3" s="1" a="1"/>
  <c r="G657" i="3" s="1"/>
  <c r="J625" i="3"/>
  <c r="K625" i="3"/>
  <c r="J862" i="3"/>
  <c r="K862" i="3"/>
  <c r="J827" i="3"/>
  <c r="K827" i="3"/>
  <c r="J710" i="3"/>
  <c r="K710" i="3"/>
  <c r="J753" i="3"/>
  <c r="K753" i="3"/>
  <c r="J669" i="3"/>
  <c r="K669" i="3"/>
  <c r="J709" i="3"/>
  <c r="K709" i="3"/>
  <c r="G709" i="3" s="1" a="1"/>
  <c r="G709" i="3" s="1"/>
  <c r="J819" i="3"/>
  <c r="K819" i="3"/>
  <c r="J659" i="3"/>
  <c r="K659" i="3"/>
  <c r="J838" i="3"/>
  <c r="K838" i="3"/>
  <c r="G838" i="3" s="1" a="1"/>
  <c r="G838" i="3" s="1"/>
  <c r="J936" i="3"/>
  <c r="K936" i="3"/>
  <c r="J813" i="3"/>
  <c r="K813" i="3"/>
  <c r="J703" i="3"/>
  <c r="K703" i="3"/>
  <c r="J881" i="3"/>
  <c r="K881" i="3"/>
  <c r="J739" i="3"/>
  <c r="K739" i="3"/>
  <c r="J673" i="3"/>
  <c r="K673" i="3"/>
  <c r="J948" i="3"/>
  <c r="K948" i="3"/>
  <c r="K964" i="3"/>
  <c r="J964" i="3"/>
  <c r="K972" i="3"/>
  <c r="J972" i="3"/>
  <c r="J984" i="3"/>
  <c r="K984" i="3"/>
  <c r="J991" i="3"/>
  <c r="K991" i="3"/>
  <c r="J1012" i="3"/>
  <c r="K1012" i="3"/>
  <c r="J343" i="3"/>
  <c r="K343" i="3"/>
  <c r="J344" i="3"/>
  <c r="K344" i="3"/>
  <c r="J345" i="3"/>
  <c r="K345" i="3"/>
  <c r="K221" i="3"/>
  <c r="J221" i="3"/>
  <c r="J87" i="3"/>
  <c r="K87" i="3"/>
  <c r="K220" i="3"/>
  <c r="J220" i="3"/>
  <c r="J113" i="3"/>
  <c r="K113" i="3"/>
  <c r="K95" i="3"/>
  <c r="J95" i="3"/>
  <c r="K188" i="3"/>
  <c r="J188" i="3"/>
  <c r="K77" i="3"/>
  <c r="J77" i="3"/>
  <c r="K84" i="3"/>
  <c r="J84" i="3"/>
  <c r="J78" i="3"/>
  <c r="K78" i="3"/>
  <c r="J22" i="3"/>
  <c r="K22" i="3"/>
  <c r="K142" i="3"/>
  <c r="J142" i="3"/>
  <c r="J85" i="3"/>
  <c r="K85" i="3"/>
  <c r="J79" i="3"/>
  <c r="K79" i="3"/>
  <c r="J125" i="3"/>
  <c r="K125" i="3"/>
  <c r="J76" i="3"/>
  <c r="K76" i="3"/>
  <c r="K75" i="3"/>
  <c r="J75" i="3"/>
  <c r="J86" i="3"/>
  <c r="K86" i="3"/>
  <c r="J153" i="3"/>
  <c r="K153" i="3"/>
  <c r="J228" i="3"/>
  <c r="K228" i="3"/>
  <c r="J74" i="3"/>
  <c r="K74" i="3"/>
  <c r="J30" i="3"/>
  <c r="K30" i="3"/>
  <c r="K61" i="3"/>
  <c r="J61" i="3"/>
  <c r="K7" i="3"/>
  <c r="J7" i="3"/>
  <c r="K64" i="3"/>
  <c r="J64" i="3"/>
  <c r="K180" i="3"/>
  <c r="J180" i="3"/>
  <c r="J181" i="3"/>
  <c r="K181" i="3"/>
  <c r="J444" i="3"/>
  <c r="K444" i="3"/>
  <c r="J40" i="3"/>
  <c r="K40" i="3"/>
  <c r="K224" i="3"/>
  <c r="J224" i="3"/>
  <c r="J6" i="3"/>
  <c r="K6" i="3"/>
  <c r="K118" i="3"/>
  <c r="J118" i="3"/>
  <c r="K227" i="3"/>
  <c r="J227" i="3"/>
  <c r="J73" i="3"/>
  <c r="K73" i="3"/>
  <c r="C21" i="1"/>
  <c r="C20" i="1"/>
  <c r="B19" i="1"/>
  <c r="J96" i="3"/>
  <c r="K96" i="3"/>
  <c r="K72" i="3"/>
  <c r="J72" i="3"/>
  <c r="K71" i="3"/>
  <c r="J71" i="3"/>
  <c r="J574" i="3"/>
  <c r="K574" i="3"/>
  <c r="G564" i="3" a="1"/>
  <c r="G564" i="3" s="1"/>
  <c r="J103" i="3"/>
  <c r="K103" i="3"/>
  <c r="J26" i="3"/>
  <c r="K26" i="3"/>
  <c r="K575" i="3"/>
  <c r="J575" i="3"/>
  <c r="K47" i="3"/>
  <c r="J47" i="3"/>
  <c r="J139" i="3"/>
  <c r="K139" i="3"/>
  <c r="J573" i="3"/>
  <c r="K573" i="3"/>
  <c r="K572" i="3"/>
  <c r="J572" i="3"/>
  <c r="J69" i="3"/>
  <c r="K69" i="3"/>
  <c r="K89" i="3"/>
  <c r="J89" i="3"/>
  <c r="K577" i="3"/>
  <c r="J577" i="3"/>
  <c r="J80" i="3"/>
  <c r="K80" i="3"/>
  <c r="J70" i="3"/>
  <c r="K70" i="3"/>
  <c r="K576" i="3"/>
  <c r="J576" i="3"/>
  <c r="J81" i="3"/>
  <c r="K81" i="3"/>
  <c r="J68" i="3"/>
  <c r="K68" i="3"/>
  <c r="J90" i="3"/>
  <c r="K90" i="3"/>
  <c r="J171" i="3"/>
  <c r="K171" i="3"/>
  <c r="J67" i="3"/>
  <c r="K67" i="3"/>
  <c r="G561" i="3" a="1"/>
  <c r="G561" i="3" s="1"/>
  <c r="G536" i="3" a="1"/>
  <c r="G536" i="3" s="1"/>
  <c r="G566" i="3" a="1"/>
  <c r="G566" i="3" s="1"/>
  <c r="G350" i="3" a="1"/>
  <c r="G350" i="3" s="1"/>
  <c r="G334" i="3" a="1"/>
  <c r="G334" i="3" s="1"/>
  <c r="G321" i="3" a="1"/>
  <c r="G321" i="3" s="1"/>
  <c r="J215" i="3"/>
  <c r="K215" i="3"/>
  <c r="J557" i="3"/>
  <c r="K557" i="3"/>
  <c r="J555" i="3"/>
  <c r="K555" i="3"/>
  <c r="K563" i="3"/>
  <c r="J563" i="3"/>
  <c r="K158" i="3"/>
  <c r="J158" i="3"/>
  <c r="J570" i="3"/>
  <c r="K570" i="3"/>
  <c r="J558" i="3"/>
  <c r="K558" i="3"/>
  <c r="K42" i="3"/>
  <c r="J42" i="3"/>
  <c r="J556" i="3"/>
  <c r="K556" i="3"/>
  <c r="K569" i="3"/>
  <c r="J569" i="3"/>
  <c r="G357" i="3" a="1"/>
  <c r="G357" i="3" s="1"/>
  <c r="G396" i="3" a="1"/>
  <c r="G396" i="3" s="1"/>
  <c r="J559" i="3"/>
  <c r="K559" i="3"/>
  <c r="J214" i="3"/>
  <c r="K214" i="3"/>
  <c r="J143" i="3"/>
  <c r="K143" i="3"/>
  <c r="K568" i="3"/>
  <c r="J568" i="3"/>
  <c r="J195" i="3"/>
  <c r="K195" i="3"/>
  <c r="J560" i="3"/>
  <c r="K560" i="3"/>
  <c r="K554" i="3"/>
  <c r="J554" i="3"/>
  <c r="J565" i="3"/>
  <c r="K565" i="3"/>
  <c r="J31" i="3"/>
  <c r="K31" i="3"/>
  <c r="J567" i="3"/>
  <c r="K567" i="3"/>
  <c r="J562" i="3"/>
  <c r="K562" i="3"/>
  <c r="K571" i="3"/>
  <c r="J571" i="3"/>
  <c r="G397" i="3" a="1"/>
  <c r="G397" i="3" s="1"/>
  <c r="G353" i="3" a="1"/>
  <c r="G353" i="3" s="1"/>
  <c r="G320" i="3" a="1"/>
  <c r="G320" i="3" s="1"/>
  <c r="G398" i="3" a="1"/>
  <c r="G398" i="3" s="1"/>
  <c r="G128" i="3" a="1"/>
  <c r="G128" i="3" s="1"/>
  <c r="G351" i="3" a="1"/>
  <c r="G351" i="3" s="1"/>
  <c r="G534" i="3" a="1"/>
  <c r="G534" i="3" s="1"/>
  <c r="G352" i="3" a="1"/>
  <c r="G352" i="3" s="1"/>
  <c r="G362" i="3" a="1"/>
  <c r="G362" i="3" s="1"/>
  <c r="F15" i="1"/>
  <c r="G15" i="1" s="1"/>
  <c r="E7" i="4"/>
  <c r="D7" i="4" s="1"/>
  <c r="K17" i="3"/>
  <c r="J17" i="3"/>
  <c r="J335" i="3"/>
  <c r="K335" i="3"/>
  <c r="K53" i="3"/>
  <c r="J53" i="3"/>
  <c r="J486" i="3"/>
  <c r="K486" i="3"/>
  <c r="J205" i="3"/>
  <c r="K205" i="3"/>
  <c r="J199" i="3"/>
  <c r="K199" i="3"/>
  <c r="K239" i="3"/>
  <c r="J239" i="3"/>
  <c r="J395" i="3"/>
  <c r="K395" i="3"/>
  <c r="K194" i="3"/>
  <c r="J194" i="3"/>
  <c r="J526" i="3"/>
  <c r="K526" i="3"/>
  <c r="J192" i="3"/>
  <c r="K192" i="3"/>
  <c r="K210" i="3"/>
  <c r="J210" i="3"/>
  <c r="K501" i="3"/>
  <c r="J501" i="3"/>
  <c r="K274" i="3"/>
  <c r="J274" i="3"/>
  <c r="J459" i="3"/>
  <c r="K459" i="3"/>
  <c r="K412" i="3"/>
  <c r="J412" i="3"/>
  <c r="K146" i="3"/>
  <c r="J146" i="3"/>
  <c r="J457" i="3"/>
  <c r="K457" i="3"/>
  <c r="K442" i="3"/>
  <c r="J442" i="3"/>
  <c r="K443" i="3"/>
  <c r="J443" i="3"/>
  <c r="J381" i="3"/>
  <c r="K381" i="3"/>
  <c r="K253" i="3"/>
  <c r="J253" i="3"/>
  <c r="K372" i="3"/>
  <c r="J372" i="3"/>
  <c r="J308" i="3"/>
  <c r="K308" i="3"/>
  <c r="J41" i="3"/>
  <c r="K41" i="3"/>
  <c r="K120" i="3"/>
  <c r="J120" i="3"/>
  <c r="J422" i="3"/>
  <c r="K422" i="3"/>
  <c r="J417" i="3"/>
  <c r="K417" i="3"/>
  <c r="K190" i="3"/>
  <c r="J190" i="3"/>
  <c r="J473" i="3"/>
  <c r="K473" i="3"/>
  <c r="K391" i="3"/>
  <c r="J391" i="3"/>
  <c r="J16" i="3"/>
  <c r="K16" i="3"/>
  <c r="K378" i="3"/>
  <c r="J378" i="3"/>
  <c r="J32" i="3"/>
  <c r="K32" i="3"/>
  <c r="K530" i="3"/>
  <c r="J530" i="3"/>
  <c r="J164" i="3"/>
  <c r="K164" i="3"/>
  <c r="K287" i="3"/>
  <c r="J287" i="3"/>
  <c r="K490" i="3"/>
  <c r="J490" i="3"/>
  <c r="J193" i="3"/>
  <c r="K193" i="3"/>
  <c r="K377" i="3"/>
  <c r="J377" i="3"/>
  <c r="J363" i="3"/>
  <c r="K363" i="3"/>
  <c r="K541" i="3"/>
  <c r="J541" i="3"/>
  <c r="K325" i="3"/>
  <c r="J325" i="3"/>
  <c r="K552" i="3"/>
  <c r="J552" i="3"/>
  <c r="K114" i="3"/>
  <c r="J114" i="3"/>
  <c r="J510" i="3"/>
  <c r="K510" i="3"/>
  <c r="K516" i="3"/>
  <c r="J516" i="3"/>
  <c r="K429" i="3"/>
  <c r="J429" i="3"/>
  <c r="K349" i="3"/>
  <c r="J349" i="3"/>
  <c r="J43" i="3"/>
  <c r="K43" i="3"/>
  <c r="K66" i="3"/>
  <c r="J66" i="3"/>
  <c r="K209" i="3"/>
  <c r="J209" i="3"/>
  <c r="J152" i="3"/>
  <c r="K152" i="3"/>
  <c r="J88" i="3"/>
  <c r="K88" i="3"/>
  <c r="J37" i="3"/>
  <c r="K37" i="3"/>
  <c r="J2" i="3"/>
  <c r="K2" i="3"/>
  <c r="K432" i="3"/>
  <c r="J432" i="3"/>
  <c r="J222" i="3"/>
  <c r="K222" i="3"/>
  <c r="J418" i="3"/>
  <c r="K418" i="3"/>
  <c r="K175" i="3"/>
  <c r="J175" i="3"/>
  <c r="J318" i="3"/>
  <c r="K318" i="3"/>
  <c r="K189" i="3"/>
  <c r="J189" i="3"/>
  <c r="J203" i="3"/>
  <c r="K203" i="3"/>
  <c r="K155" i="3"/>
  <c r="J155" i="3"/>
  <c r="K551" i="3"/>
  <c r="J551" i="3"/>
  <c r="J332" i="3"/>
  <c r="K332" i="3"/>
  <c r="J433" i="3"/>
  <c r="K433" i="3"/>
  <c r="J207" i="3"/>
  <c r="K207" i="3"/>
  <c r="J376" i="3"/>
  <c r="K376" i="3"/>
  <c r="K278" i="3"/>
  <c r="J278" i="3"/>
  <c r="K451" i="3"/>
  <c r="J451" i="3"/>
  <c r="K174" i="3"/>
  <c r="J174" i="3"/>
  <c r="J449" i="3"/>
  <c r="K449" i="3"/>
  <c r="J435" i="3"/>
  <c r="K435" i="3"/>
  <c r="K300" i="3"/>
  <c r="J300" i="3"/>
  <c r="J553" i="3"/>
  <c r="K553" i="3"/>
  <c r="K431" i="3"/>
  <c r="J431" i="3"/>
  <c r="J219" i="3"/>
  <c r="K219" i="3"/>
  <c r="J82" i="3"/>
  <c r="K82" i="3"/>
  <c r="K234" i="3"/>
  <c r="J234" i="3"/>
  <c r="J313" i="3"/>
  <c r="K313" i="3"/>
  <c r="K393" i="3"/>
  <c r="J393" i="3"/>
  <c r="J543" i="3"/>
  <c r="K543" i="3"/>
  <c r="J341" i="3"/>
  <c r="K341" i="3"/>
  <c r="J225" i="3"/>
  <c r="K225" i="3"/>
  <c r="K151" i="3"/>
  <c r="J151" i="3"/>
  <c r="J172" i="3"/>
  <c r="K172" i="3"/>
  <c r="K56" i="3"/>
  <c r="J56" i="3"/>
  <c r="J517" i="3"/>
  <c r="K517" i="3"/>
  <c r="J183" i="3"/>
  <c r="K183" i="3"/>
  <c r="J415" i="3"/>
  <c r="K415" i="3"/>
  <c r="J34" i="3"/>
  <c r="K34" i="3"/>
  <c r="K487" i="3"/>
  <c r="J487" i="3"/>
  <c r="K419" i="3"/>
  <c r="J419" i="3"/>
  <c r="K65" i="3"/>
  <c r="J65" i="3"/>
  <c r="K348" i="3"/>
  <c r="J348" i="3"/>
  <c r="J482" i="3"/>
  <c r="K482" i="3"/>
  <c r="K401" i="3"/>
  <c r="J401" i="3"/>
  <c r="K281" i="3"/>
  <c r="J281" i="3"/>
  <c r="K407" i="3"/>
  <c r="J407" i="3"/>
  <c r="J58" i="3"/>
  <c r="K58" i="3"/>
  <c r="J400" i="3"/>
  <c r="K400" i="3"/>
  <c r="J19" i="3"/>
  <c r="K19" i="3"/>
  <c r="J549" i="3"/>
  <c r="K549" i="3"/>
  <c r="J141" i="3"/>
  <c r="K141" i="3"/>
  <c r="J367" i="3"/>
  <c r="K367" i="3"/>
  <c r="J452" i="3"/>
  <c r="K452" i="3"/>
  <c r="J154" i="3"/>
  <c r="K154" i="3"/>
  <c r="J315" i="3"/>
  <c r="K315" i="3"/>
  <c r="J261" i="3"/>
  <c r="K261" i="3"/>
  <c r="K277" i="3"/>
  <c r="J277" i="3"/>
  <c r="K515" i="3"/>
  <c r="J515" i="3"/>
  <c r="K375" i="3"/>
  <c r="J375" i="3"/>
  <c r="J430" i="3"/>
  <c r="K430" i="3"/>
  <c r="J488" i="3"/>
  <c r="K488" i="3"/>
  <c r="J38" i="3"/>
  <c r="K38" i="3"/>
  <c r="K368" i="3"/>
  <c r="J368" i="3"/>
  <c r="J94" i="3"/>
  <c r="K94" i="3"/>
  <c r="J478" i="3"/>
  <c r="K478" i="3"/>
  <c r="J231" i="3"/>
  <c r="K231" i="3"/>
  <c r="J283" i="3"/>
  <c r="K283" i="3"/>
  <c r="K331" i="3"/>
  <c r="J331" i="3"/>
  <c r="J327" i="3"/>
  <c r="K327" i="3"/>
  <c r="J436" i="3"/>
  <c r="K436" i="3"/>
  <c r="J182" i="3"/>
  <c r="K182" i="3"/>
  <c r="J450" i="3"/>
  <c r="K450" i="3"/>
  <c r="J247" i="3"/>
  <c r="K247" i="3"/>
  <c r="K173" i="3"/>
  <c r="J173" i="3"/>
  <c r="J91" i="3"/>
  <c r="K91" i="3"/>
  <c r="J157" i="3"/>
  <c r="K157" i="3"/>
  <c r="J520" i="3"/>
  <c r="K520" i="3"/>
  <c r="K389" i="3"/>
  <c r="J389" i="3"/>
  <c r="J305" i="3"/>
  <c r="K305" i="3"/>
  <c r="J27" i="3"/>
  <c r="K27" i="3"/>
  <c r="J136" i="3"/>
  <c r="K136" i="3"/>
  <c r="K483" i="3"/>
  <c r="J483" i="3"/>
  <c r="J533" i="3"/>
  <c r="K533" i="3"/>
  <c r="K403" i="3"/>
  <c r="J403" i="3"/>
  <c r="K358" i="3"/>
  <c r="J358" i="3"/>
  <c r="J394" i="3"/>
  <c r="K394" i="3"/>
  <c r="K169" i="3"/>
  <c r="J169" i="3"/>
  <c r="K24" i="3"/>
  <c r="J24" i="3"/>
  <c r="J462" i="3"/>
  <c r="K462" i="3"/>
  <c r="K137" i="3"/>
  <c r="J137" i="3"/>
  <c r="K226" i="3"/>
  <c r="J226" i="3"/>
  <c r="J36" i="3"/>
  <c r="K36" i="3"/>
  <c r="J101" i="3"/>
  <c r="K101" i="3"/>
  <c r="K197" i="3"/>
  <c r="J197" i="3"/>
  <c r="J236" i="3"/>
  <c r="K236" i="3"/>
  <c r="J386" i="3"/>
  <c r="K386" i="3"/>
  <c r="J511" i="3"/>
  <c r="K511" i="3"/>
  <c r="J540" i="3"/>
  <c r="K540" i="3"/>
  <c r="J124" i="3"/>
  <c r="K124" i="3"/>
  <c r="J454" i="3"/>
  <c r="K454" i="3"/>
  <c r="K379" i="3"/>
  <c r="J379" i="3"/>
  <c r="J25" i="3"/>
  <c r="K25" i="3"/>
  <c r="J237" i="3"/>
  <c r="K237" i="3"/>
  <c r="J170" i="3"/>
  <c r="K170" i="3"/>
  <c r="K229" i="3"/>
  <c r="J229" i="3"/>
  <c r="K385" i="3"/>
  <c r="J385" i="3"/>
  <c r="J280" i="3"/>
  <c r="K280" i="3"/>
  <c r="K200" i="3"/>
  <c r="J200" i="3"/>
  <c r="J243" i="3"/>
  <c r="K243" i="3"/>
  <c r="K242" i="3"/>
  <c r="J242" i="3"/>
  <c r="K421" i="3"/>
  <c r="J421" i="3"/>
  <c r="K427" i="3"/>
  <c r="J427" i="3"/>
  <c r="K424" i="3"/>
  <c r="J424" i="3"/>
  <c r="K342" i="3"/>
  <c r="J342" i="3"/>
  <c r="K406" i="3"/>
  <c r="J406" i="3"/>
  <c r="K293" i="3"/>
  <c r="J293" i="3"/>
  <c r="J468" i="3"/>
  <c r="K468" i="3"/>
  <c r="K323" i="3"/>
  <c r="J323" i="3"/>
  <c r="K544" i="3"/>
  <c r="J544" i="3"/>
  <c r="K463" i="3"/>
  <c r="J463" i="3"/>
  <c r="J256" i="3"/>
  <c r="K256" i="3"/>
  <c r="K491" i="3"/>
  <c r="J491" i="3"/>
  <c r="K469" i="3"/>
  <c r="J469" i="3"/>
  <c r="K518" i="3"/>
  <c r="J518" i="3"/>
  <c r="K35" i="3"/>
  <c r="J35" i="3"/>
  <c r="J446" i="3"/>
  <c r="K446" i="3"/>
  <c r="J241" i="3"/>
  <c r="K241" i="3"/>
  <c r="J471" i="3"/>
  <c r="K471" i="3"/>
  <c r="J302" i="3"/>
  <c r="K302" i="3"/>
  <c r="K326" i="3"/>
  <c r="J326" i="3"/>
  <c r="K546" i="3"/>
  <c r="J546" i="3"/>
  <c r="K168" i="3"/>
  <c r="J168" i="3"/>
  <c r="J216" i="3"/>
  <c r="K216" i="3"/>
  <c r="J131" i="3"/>
  <c r="K131" i="3"/>
  <c r="J373" i="3"/>
  <c r="K373" i="3"/>
  <c r="J18" i="3"/>
  <c r="K18" i="3"/>
  <c r="K202" i="3"/>
  <c r="J202" i="3"/>
  <c r="K525" i="3"/>
  <c r="J525" i="3"/>
  <c r="K330" i="3"/>
  <c r="J330" i="3"/>
  <c r="K271" i="3"/>
  <c r="J271" i="3"/>
  <c r="K106" i="3"/>
  <c r="J106" i="3"/>
  <c r="K126" i="3"/>
  <c r="J126" i="3"/>
  <c r="J104" i="3"/>
  <c r="K104" i="3"/>
  <c r="K383" i="3"/>
  <c r="J383" i="3"/>
  <c r="J337" i="3"/>
  <c r="K337" i="3"/>
  <c r="J333" i="3"/>
  <c r="K333" i="3"/>
  <c r="J134" i="3"/>
  <c r="K134" i="3"/>
  <c r="J538" i="3"/>
  <c r="K538" i="3"/>
  <c r="K414" i="3"/>
  <c r="J414" i="3"/>
  <c r="K21" i="3"/>
  <c r="J21" i="3"/>
  <c r="K470" i="3"/>
  <c r="J470" i="3"/>
  <c r="K98" i="3"/>
  <c r="J98" i="3"/>
  <c r="K230" i="3"/>
  <c r="J230" i="3"/>
  <c r="K477" i="3"/>
  <c r="J477" i="3"/>
  <c r="K387" i="3"/>
  <c r="J387" i="3"/>
  <c r="J187" i="3"/>
  <c r="K187" i="3"/>
  <c r="K276" i="3"/>
  <c r="J276" i="3"/>
  <c r="K240" i="3"/>
  <c r="J240" i="3"/>
  <c r="J316" i="3"/>
  <c r="K316" i="3"/>
  <c r="J245" i="3"/>
  <c r="K245" i="3"/>
  <c r="J550" i="3"/>
  <c r="K550" i="3"/>
  <c r="J59" i="3"/>
  <c r="K59" i="3"/>
  <c r="J122" i="3"/>
  <c r="K122" i="3"/>
  <c r="K513" i="3"/>
  <c r="J513" i="3"/>
  <c r="J235" i="3"/>
  <c r="K235" i="3"/>
  <c r="J447" i="3"/>
  <c r="K447" i="3"/>
  <c r="K112" i="3"/>
  <c r="J112" i="3"/>
  <c r="J519" i="3"/>
  <c r="K519" i="3"/>
  <c r="K208" i="3"/>
  <c r="J208" i="3"/>
  <c r="J160" i="3"/>
  <c r="K160" i="3"/>
  <c r="K159" i="3"/>
  <c r="J159" i="3"/>
  <c r="J138" i="3"/>
  <c r="K138" i="3"/>
  <c r="J474" i="3"/>
  <c r="K474" i="3"/>
  <c r="K392" i="3"/>
  <c r="J392" i="3"/>
  <c r="K117" i="3"/>
  <c r="J117" i="3"/>
  <c r="J492" i="3"/>
  <c r="K492" i="3"/>
  <c r="J364" i="3"/>
  <c r="K364" i="3"/>
  <c r="J196" i="3"/>
  <c r="K196" i="3"/>
  <c r="J135" i="3"/>
  <c r="K135" i="3"/>
  <c r="J238" i="3"/>
  <c r="K238" i="3"/>
  <c r="K218" i="3"/>
  <c r="J218" i="3"/>
  <c r="J445" i="3"/>
  <c r="K445" i="3"/>
  <c r="K105" i="3"/>
  <c r="J105" i="3"/>
  <c r="J537" i="3"/>
  <c r="K537" i="3"/>
  <c r="K14" i="3"/>
  <c r="J14" i="3"/>
  <c r="J425" i="3"/>
  <c r="K425" i="3"/>
  <c r="K509" i="3"/>
  <c r="J509" i="3"/>
  <c r="K39" i="3"/>
  <c r="J39" i="3"/>
  <c r="J12" i="3"/>
  <c r="K12" i="3"/>
  <c r="K324" i="3"/>
  <c r="J324" i="3"/>
  <c r="K206" i="3"/>
  <c r="J206" i="3"/>
  <c r="K248" i="3"/>
  <c r="J248" i="3"/>
  <c r="J472" i="3"/>
  <c r="K472" i="3"/>
  <c r="K328" i="3"/>
  <c r="J328" i="3"/>
  <c r="J426" i="3"/>
  <c r="K426" i="3"/>
  <c r="J262" i="3"/>
  <c r="K262" i="3"/>
  <c r="K528" i="3"/>
  <c r="J528" i="3"/>
  <c r="J512" i="3"/>
  <c r="K512" i="3"/>
  <c r="J184" i="3"/>
  <c r="K184" i="3"/>
  <c r="K93" i="3"/>
  <c r="J93" i="3"/>
  <c r="K298" i="3"/>
  <c r="J298" i="3"/>
  <c r="J9" i="3"/>
  <c r="K9" i="3"/>
  <c r="J545" i="3"/>
  <c r="K545" i="3"/>
  <c r="J121" i="3"/>
  <c r="K121" i="3"/>
  <c r="K485" i="3"/>
  <c r="J485" i="3"/>
  <c r="K524" i="3"/>
  <c r="J524" i="3"/>
  <c r="K439" i="3"/>
  <c r="J439" i="3"/>
  <c r="K291" i="3"/>
  <c r="J291" i="3"/>
  <c r="J339" i="3"/>
  <c r="K339" i="3"/>
  <c r="J252" i="3"/>
  <c r="K252" i="3"/>
  <c r="K217" i="3"/>
  <c r="J217" i="3"/>
  <c r="K5" i="3"/>
  <c r="J5" i="3"/>
  <c r="K185" i="3"/>
  <c r="J185" i="3"/>
  <c r="K440" i="3"/>
  <c r="J440" i="3"/>
  <c r="K489" i="3"/>
  <c r="J489" i="3"/>
  <c r="J460" i="3"/>
  <c r="K460" i="3"/>
  <c r="K107" i="3"/>
  <c r="J107" i="3"/>
  <c r="K132" i="3"/>
  <c r="J132" i="3"/>
  <c r="K140" i="3"/>
  <c r="J140" i="3"/>
  <c r="J295" i="3"/>
  <c r="K295" i="3"/>
  <c r="J49" i="3"/>
  <c r="K49" i="3"/>
  <c r="J165" i="3"/>
  <c r="K165" i="3"/>
  <c r="J374" i="3"/>
  <c r="K374" i="3"/>
  <c r="K130" i="3"/>
  <c r="J130" i="3"/>
  <c r="K356" i="3"/>
  <c r="J356" i="3"/>
  <c r="K503" i="3"/>
  <c r="J503" i="3"/>
  <c r="K301" i="3"/>
  <c r="J301" i="3"/>
  <c r="K264" i="3"/>
  <c r="J264" i="3"/>
  <c r="J212" i="3"/>
  <c r="K212" i="3"/>
  <c r="J163" i="3"/>
  <c r="K163" i="3"/>
  <c r="J496" i="3"/>
  <c r="K496" i="3"/>
  <c r="K388" i="3"/>
  <c r="J388" i="3"/>
  <c r="J259" i="3"/>
  <c r="K259" i="3"/>
  <c r="J251" i="3"/>
  <c r="K251" i="3"/>
  <c r="K266" i="3"/>
  <c r="J266" i="3"/>
  <c r="J23" i="3"/>
  <c r="K23" i="3"/>
  <c r="J144" i="3"/>
  <c r="K144" i="3"/>
  <c r="J405" i="3"/>
  <c r="K405" i="3"/>
  <c r="K51" i="3"/>
  <c r="J51" i="3"/>
  <c r="K505" i="3"/>
  <c r="J505" i="3"/>
  <c r="J384" i="3"/>
  <c r="K384" i="3"/>
  <c r="J55" i="3"/>
  <c r="K55" i="3"/>
  <c r="J4" i="3"/>
  <c r="K4" i="3"/>
  <c r="J10" i="3"/>
  <c r="K10" i="3"/>
  <c r="K156" i="3"/>
  <c r="J156" i="3"/>
  <c r="J411" i="3"/>
  <c r="K411" i="3"/>
  <c r="K299" i="3"/>
  <c r="J299" i="3"/>
  <c r="J232" i="3"/>
  <c r="K232" i="3"/>
  <c r="K408" i="3"/>
  <c r="J408" i="3"/>
  <c r="J204" i="3"/>
  <c r="K204" i="3"/>
  <c r="K531" i="3"/>
  <c r="J531" i="3"/>
  <c r="J498" i="3"/>
  <c r="K498" i="3"/>
  <c r="J532" i="3"/>
  <c r="K532" i="3"/>
  <c r="J521" i="3"/>
  <c r="K521" i="3"/>
  <c r="J495" i="3"/>
  <c r="K495" i="3"/>
  <c r="J456" i="3"/>
  <c r="K456" i="3"/>
  <c r="J149" i="3"/>
  <c r="K149" i="3"/>
  <c r="J57" i="3"/>
  <c r="K57" i="3"/>
  <c r="K63" i="3"/>
  <c r="J63" i="3"/>
  <c r="J33" i="3"/>
  <c r="K33" i="3"/>
  <c r="K119" i="3"/>
  <c r="J119" i="3"/>
  <c r="K420" i="3"/>
  <c r="J420" i="3"/>
  <c r="J336" i="3"/>
  <c r="K336" i="3"/>
  <c r="K50" i="3"/>
  <c r="J50" i="3"/>
  <c r="J54" i="3"/>
  <c r="K54" i="3"/>
  <c r="K390" i="3"/>
  <c r="J390" i="3"/>
  <c r="J369" i="3"/>
  <c r="K369" i="3"/>
  <c r="K410" i="3"/>
  <c r="J410" i="3"/>
  <c r="J338" i="3"/>
  <c r="K338" i="3"/>
  <c r="K263" i="3"/>
  <c r="J263" i="3"/>
  <c r="J115" i="3"/>
  <c r="K115" i="3"/>
  <c r="K461" i="3"/>
  <c r="J461" i="3"/>
  <c r="K296" i="3"/>
  <c r="J296" i="3"/>
  <c r="J166" i="3"/>
  <c r="K166" i="3"/>
  <c r="J284" i="3"/>
  <c r="K284" i="3"/>
  <c r="J46" i="3"/>
  <c r="K46" i="3"/>
  <c r="J465" i="3"/>
  <c r="K465" i="3"/>
  <c r="K360" i="3"/>
  <c r="J360" i="3"/>
  <c r="J507" i="3"/>
  <c r="K507" i="3"/>
  <c r="J365" i="3"/>
  <c r="K365" i="3"/>
  <c r="K359" i="3"/>
  <c r="J359" i="3"/>
  <c r="J347" i="3"/>
  <c r="K347" i="3"/>
  <c r="K265" i="3"/>
  <c r="J265" i="3"/>
  <c r="J8" i="3"/>
  <c r="K8" i="3"/>
  <c r="K499" i="3"/>
  <c r="J499" i="3"/>
  <c r="K493" i="3"/>
  <c r="J493" i="3"/>
  <c r="J355" i="3"/>
  <c r="K355" i="3"/>
  <c r="K129" i="3"/>
  <c r="J129" i="3"/>
  <c r="J539" i="3"/>
  <c r="K539" i="3"/>
  <c r="J476" i="3"/>
  <c r="K476" i="3"/>
  <c r="J186" i="3"/>
  <c r="K186" i="3"/>
  <c r="K322" i="3"/>
  <c r="J322" i="3"/>
  <c r="K346" i="3"/>
  <c r="J346" i="3"/>
  <c r="K340" i="3"/>
  <c r="J340" i="3"/>
  <c r="K99" i="3"/>
  <c r="J99" i="3"/>
  <c r="K11" i="3"/>
  <c r="J11" i="3"/>
  <c r="J288" i="3"/>
  <c r="K288" i="3"/>
  <c r="J329" i="3"/>
  <c r="K329" i="3"/>
  <c r="K309" i="3"/>
  <c r="J309" i="3"/>
  <c r="K133" i="3"/>
  <c r="J133" i="3"/>
  <c r="J267" i="3"/>
  <c r="K267" i="3"/>
  <c r="J294" i="3"/>
  <c r="K294" i="3"/>
  <c r="J52" i="3"/>
  <c r="K52" i="3"/>
  <c r="J285" i="3"/>
  <c r="K285" i="3"/>
  <c r="K312" i="3"/>
  <c r="J312" i="3"/>
  <c r="K502" i="3"/>
  <c r="J502" i="3"/>
  <c r="J314" i="3"/>
  <c r="K314" i="3"/>
  <c r="J29" i="3"/>
  <c r="K29" i="3"/>
  <c r="K249" i="3"/>
  <c r="J249" i="3"/>
  <c r="K508" i="3"/>
  <c r="J508" i="3"/>
  <c r="K290" i="3"/>
  <c r="J290" i="3"/>
  <c r="J147" i="3"/>
  <c r="K147" i="3"/>
  <c r="K282" i="3"/>
  <c r="J282" i="3"/>
  <c r="K307" i="3"/>
  <c r="J307" i="3"/>
  <c r="J458" i="3"/>
  <c r="K458" i="3"/>
  <c r="K201" i="3"/>
  <c r="J201" i="3"/>
  <c r="K475" i="3"/>
  <c r="J475" i="3"/>
  <c r="J177" i="3"/>
  <c r="K177" i="3"/>
  <c r="K269" i="3"/>
  <c r="J269" i="3"/>
  <c r="K15" i="3"/>
  <c r="J15" i="3"/>
  <c r="K542" i="3"/>
  <c r="J542" i="3"/>
  <c r="J100" i="3"/>
  <c r="K100" i="3"/>
  <c r="J366" i="3"/>
  <c r="K366" i="3"/>
  <c r="J110" i="3"/>
  <c r="K110" i="3"/>
  <c r="J148" i="3"/>
  <c r="K148" i="3"/>
  <c r="J123" i="3"/>
  <c r="K123" i="3"/>
  <c r="K354" i="3"/>
  <c r="J354" i="3"/>
  <c r="K423" i="3"/>
  <c r="J423" i="3"/>
  <c r="K306" i="3"/>
  <c r="J306" i="3"/>
  <c r="J453" i="3"/>
  <c r="K453" i="3"/>
  <c r="K310" i="3"/>
  <c r="J310" i="3"/>
  <c r="K437" i="3"/>
  <c r="J437" i="3"/>
  <c r="K434" i="3"/>
  <c r="J434" i="3"/>
  <c r="J506" i="3"/>
  <c r="K506" i="3"/>
  <c r="K198" i="3"/>
  <c r="J198" i="3"/>
  <c r="K311" i="3"/>
  <c r="J311" i="3"/>
  <c r="K529" i="3"/>
  <c r="J529" i="3"/>
  <c r="J319" i="3"/>
  <c r="K319" i="3"/>
  <c r="K438" i="3"/>
  <c r="J438" i="3"/>
  <c r="J246" i="3"/>
  <c r="K246" i="3"/>
  <c r="K467" i="3"/>
  <c r="J467" i="3"/>
  <c r="K548" i="3"/>
  <c r="J548" i="3"/>
  <c r="K416" i="3"/>
  <c r="J416" i="3"/>
  <c r="J255" i="3"/>
  <c r="K255" i="3"/>
  <c r="K191" i="3"/>
  <c r="J191" i="3"/>
  <c r="K304" i="3"/>
  <c r="J304" i="3"/>
  <c r="K268" i="3"/>
  <c r="J268" i="3"/>
  <c r="K20" i="3"/>
  <c r="J20" i="3"/>
  <c r="K116" i="3"/>
  <c r="J116" i="3"/>
  <c r="K303" i="3"/>
  <c r="J303" i="3"/>
  <c r="J83" i="3"/>
  <c r="K83" i="3"/>
  <c r="J292" i="3"/>
  <c r="K292" i="3"/>
  <c r="K481" i="3"/>
  <c r="J481" i="3"/>
  <c r="K109" i="3"/>
  <c r="J109" i="3"/>
  <c r="J399" i="3"/>
  <c r="K399" i="3"/>
  <c r="K45" i="3"/>
  <c r="J45" i="3"/>
  <c r="J371" i="3"/>
  <c r="K371" i="3"/>
  <c r="J382" i="3"/>
  <c r="K382" i="3"/>
  <c r="K179" i="3"/>
  <c r="J179" i="3"/>
  <c r="J167" i="3"/>
  <c r="K167" i="3"/>
  <c r="J514" i="3"/>
  <c r="K514" i="3"/>
  <c r="K289" i="3"/>
  <c r="J289" i="3"/>
  <c r="K484" i="3"/>
  <c r="J484" i="3"/>
  <c r="J254" i="3"/>
  <c r="K254" i="3"/>
  <c r="K60" i="3"/>
  <c r="J60" i="3"/>
  <c r="K108" i="3"/>
  <c r="J108" i="3"/>
  <c r="K233" i="3"/>
  <c r="J233" i="3"/>
  <c r="J527" i="3"/>
  <c r="K527" i="3"/>
  <c r="K13" i="3"/>
  <c r="J13" i="3"/>
  <c r="J258" i="3"/>
  <c r="K258" i="3"/>
  <c r="J413" i="3"/>
  <c r="K413" i="3"/>
  <c r="J145" i="3"/>
  <c r="K145" i="3"/>
  <c r="K279" i="3"/>
  <c r="J279" i="3"/>
  <c r="K44" i="3"/>
  <c r="J44" i="3"/>
  <c r="J273" i="3"/>
  <c r="K273" i="3"/>
  <c r="K111" i="3"/>
  <c r="J111" i="3"/>
  <c r="J479" i="3"/>
  <c r="K479" i="3"/>
  <c r="J250" i="3"/>
  <c r="K250" i="3"/>
  <c r="K176" i="3"/>
  <c r="J176" i="3"/>
  <c r="K455" i="3"/>
  <c r="J455" i="3"/>
  <c r="K522" i="3"/>
  <c r="J522" i="3"/>
  <c r="J150" i="3"/>
  <c r="K150" i="3"/>
  <c r="K3" i="3"/>
  <c r="J3" i="3"/>
  <c r="K275" i="3"/>
  <c r="J275" i="3"/>
  <c r="J504" i="3"/>
  <c r="K504" i="3"/>
  <c r="J270" i="3"/>
  <c r="K270" i="3"/>
  <c r="K211" i="3"/>
  <c r="J211" i="3"/>
  <c r="J28" i="3"/>
  <c r="K28" i="3"/>
  <c r="J178" i="3"/>
  <c r="K178" i="3"/>
  <c r="J480" i="3"/>
  <c r="K480" i="3"/>
  <c r="K535" i="3"/>
  <c r="J535" i="3"/>
  <c r="J500" i="3"/>
  <c r="K500" i="3"/>
  <c r="K272" i="3"/>
  <c r="J272" i="3"/>
  <c r="J161" i="3"/>
  <c r="K161" i="3"/>
  <c r="K523" i="3"/>
  <c r="J523" i="3"/>
  <c r="J547" i="3"/>
  <c r="K547" i="3"/>
  <c r="K428" i="3"/>
  <c r="J428" i="3"/>
  <c r="J409" i="3"/>
  <c r="K409" i="3"/>
  <c r="J127" i="3"/>
  <c r="K127" i="3"/>
  <c r="J102" i="3"/>
  <c r="K102" i="3"/>
  <c r="K317" i="3"/>
  <c r="J317" i="3"/>
  <c r="J260" i="3"/>
  <c r="K260" i="3"/>
  <c r="K380" i="3"/>
  <c r="J380" i="3"/>
  <c r="J213" i="3"/>
  <c r="K213" i="3"/>
  <c r="K466" i="3"/>
  <c r="J466" i="3"/>
  <c r="K448" i="3"/>
  <c r="J448" i="3"/>
  <c r="J404" i="3"/>
  <c r="K404" i="3"/>
  <c r="J494" i="3"/>
  <c r="K494" i="3"/>
  <c r="K223" i="3"/>
  <c r="J223" i="3"/>
  <c r="J402" i="3"/>
  <c r="K402" i="3"/>
  <c r="J48" i="3"/>
  <c r="K48" i="3"/>
  <c r="J441" i="3"/>
  <c r="K441" i="3"/>
  <c r="K497" i="3"/>
  <c r="J497" i="3"/>
  <c r="K244" i="3"/>
  <c r="J244" i="3"/>
  <c r="J361" i="3"/>
  <c r="K361" i="3"/>
  <c r="J286" i="3"/>
  <c r="K286" i="3"/>
  <c r="J257" i="3"/>
  <c r="K257" i="3"/>
  <c r="K464" i="3"/>
  <c r="J464" i="3"/>
  <c r="J297" i="3"/>
  <c r="K297" i="3"/>
  <c r="G990" i="3" l="1" a="1"/>
  <c r="G990" i="3" s="1"/>
  <c r="G936" i="3" a="1"/>
  <c r="G936" i="3" s="1"/>
  <c r="G960" i="3" a="1"/>
  <c r="G960" i="3" s="1"/>
  <c r="G896" i="3" a="1"/>
  <c r="G896" i="3" s="1"/>
  <c r="G580" i="3" a="1"/>
  <c r="G580" i="3" s="1"/>
  <c r="G901" i="3" a="1"/>
  <c r="G901" i="3" s="1"/>
  <c r="G687" i="3" a="1"/>
  <c r="G687" i="3" s="1"/>
  <c r="G969" i="3" a="1"/>
  <c r="G969" i="3" s="1"/>
  <c r="G778" i="3" a="1"/>
  <c r="G778" i="3" s="1"/>
  <c r="G659" i="3" a="1"/>
  <c r="G659" i="3" s="1"/>
  <c r="G582" i="3" a="1"/>
  <c r="G582" i="3" s="1"/>
  <c r="G1006" i="3" a="1"/>
  <c r="G1006" i="3" s="1"/>
  <c r="G626" i="3" a="1"/>
  <c r="G626" i="3" s="1"/>
  <c r="G742" i="3" a="1"/>
  <c r="G742" i="3" s="1"/>
  <c r="G606" i="3" a="1"/>
  <c r="G606" i="3" s="1"/>
  <c r="G1002" i="3" a="1"/>
  <c r="G1002" i="3" s="1"/>
  <c r="G994" i="3" a="1"/>
  <c r="G994" i="3" s="1"/>
  <c r="G937" i="3" a="1"/>
  <c r="G937" i="3" s="1"/>
  <c r="G874" i="3" a="1"/>
  <c r="G874" i="3" s="1"/>
  <c r="G851" i="3" a="1"/>
  <c r="G851" i="3" s="1"/>
  <c r="G1005" i="3" a="1"/>
  <c r="G1005" i="3" s="1"/>
  <c r="G608" i="3" a="1"/>
  <c r="G608" i="3" s="1"/>
  <c r="G705" i="3" a="1"/>
  <c r="G705" i="3" s="1"/>
  <c r="G959" i="3" a="1"/>
  <c r="G959" i="3" s="1"/>
  <c r="G811" i="3" a="1"/>
  <c r="G811" i="3" s="1"/>
  <c r="G931" i="3" a="1"/>
  <c r="G931" i="3" s="1"/>
  <c r="G786" i="3" a="1"/>
  <c r="G786" i="3" s="1"/>
  <c r="G736" i="3" a="1"/>
  <c r="G736" i="3" s="1"/>
  <c r="G793" i="3" a="1"/>
  <c r="G793" i="3" s="1"/>
  <c r="G727" i="3" a="1"/>
  <c r="G727" i="3" s="1"/>
  <c r="G663" i="3" a="1"/>
  <c r="G663" i="3" s="1"/>
  <c r="G847" i="3" a="1"/>
  <c r="G847" i="3" s="1"/>
  <c r="G583" i="3" a="1"/>
  <c r="G583" i="3" s="1"/>
  <c r="G584" i="3" a="1"/>
  <c r="G584" i="3" s="1"/>
  <c r="G781" i="3" a="1"/>
  <c r="G781" i="3" s="1"/>
  <c r="G919" i="3" a="1"/>
  <c r="G919" i="3" s="1"/>
  <c r="G992" i="3" a="1"/>
  <c r="G992" i="3" s="1"/>
  <c r="G798" i="3" a="1"/>
  <c r="G798" i="3" s="1"/>
  <c r="G605" i="3" a="1"/>
  <c r="G605" i="3" s="1"/>
  <c r="G841" i="3" a="1"/>
  <c r="G841" i="3" s="1"/>
  <c r="G791" i="3" a="1"/>
  <c r="G791" i="3" s="1"/>
  <c r="G618" i="3" a="1"/>
  <c r="G618" i="3" s="1"/>
  <c r="G1000" i="3" a="1"/>
  <c r="G1000" i="3" s="1"/>
  <c r="G962" i="3" a="1"/>
  <c r="G962" i="3" s="1"/>
  <c r="G747" i="3" a="1"/>
  <c r="G747" i="3" s="1"/>
  <c r="G985" i="3" a="1"/>
  <c r="G985" i="3" s="1"/>
  <c r="G981" i="3" a="1"/>
  <c r="G981" i="3" s="1"/>
  <c r="G600" i="3" a="1"/>
  <c r="G600" i="3" s="1"/>
  <c r="G794" i="3" a="1"/>
  <c r="G794" i="3" s="1"/>
  <c r="G970" i="3" a="1"/>
  <c r="G970" i="3" s="1"/>
  <c r="G865" i="3" a="1"/>
  <c r="G865" i="3" s="1"/>
  <c r="G894" i="3" a="1"/>
  <c r="G894" i="3" s="1"/>
  <c r="G734" i="3" a="1"/>
  <c r="G734" i="3" s="1"/>
  <c r="G672" i="3" a="1"/>
  <c r="G672" i="3" s="1"/>
  <c r="G927" i="3" a="1"/>
  <c r="G927" i="3" s="1"/>
  <c r="G704" i="3" a="1"/>
  <c r="G704" i="3" s="1"/>
  <c r="G935" i="3" a="1"/>
  <c r="G935" i="3" s="1"/>
  <c r="G668" i="3" a="1"/>
  <c r="G668" i="3" s="1"/>
  <c r="G836" i="3" a="1"/>
  <c r="G836" i="3" s="1"/>
  <c r="G619" i="3" a="1"/>
  <c r="G619" i="3" s="1"/>
  <c r="G630" i="3" a="1"/>
  <c r="G630" i="3" s="1"/>
  <c r="G835" i="3" a="1"/>
  <c r="G835" i="3" s="1"/>
  <c r="G972" i="3" a="1"/>
  <c r="G972" i="3" s="1"/>
  <c r="G964" i="3" a="1"/>
  <c r="G964" i="3" s="1"/>
  <c r="G819" i="3" a="1"/>
  <c r="G819" i="3" s="1"/>
  <c r="G860" i="3" a="1"/>
  <c r="G860" i="3" s="1"/>
  <c r="G697" i="3" a="1"/>
  <c r="G697" i="3" s="1"/>
  <c r="G640" i="3" a="1"/>
  <c r="G640" i="3" s="1"/>
  <c r="G925" i="3" a="1"/>
  <c r="G925" i="3" s="1"/>
  <c r="G930" i="3" a="1"/>
  <c r="G930" i="3" s="1"/>
  <c r="G702" i="3" a="1"/>
  <c r="G702" i="3" s="1"/>
  <c r="G641" i="3" a="1"/>
  <c r="G641" i="3" s="1"/>
  <c r="G908" i="3" a="1"/>
  <c r="G908" i="3" s="1"/>
  <c r="G677" i="3" a="1"/>
  <c r="G677" i="3" s="1"/>
  <c r="G585" i="3" a="1"/>
  <c r="G585" i="3" s="1"/>
  <c r="G743" i="3" a="1"/>
  <c r="G743" i="3" s="1"/>
  <c r="G741" i="3" a="1"/>
  <c r="G741" i="3" s="1"/>
  <c r="G869" i="3" a="1"/>
  <c r="G869" i="3" s="1"/>
  <c r="G884" i="3" a="1"/>
  <c r="G884" i="3" s="1"/>
  <c r="G731" i="3" a="1"/>
  <c r="G731" i="3" s="1"/>
  <c r="G853" i="3" a="1"/>
  <c r="G853" i="3" s="1"/>
  <c r="G987" i="3" a="1"/>
  <c r="G987" i="3" s="1"/>
  <c r="G905" i="3" a="1"/>
  <c r="G905" i="3" s="1"/>
  <c r="G652" i="3" a="1"/>
  <c r="G652" i="3" s="1"/>
  <c r="G1003" i="3" a="1"/>
  <c r="G1003" i="3" s="1"/>
  <c r="G748" i="3" a="1"/>
  <c r="G748" i="3" s="1"/>
  <c r="G877" i="3" a="1"/>
  <c r="G877" i="3" s="1"/>
  <c r="G707" i="3" a="1"/>
  <c r="G707" i="3" s="1"/>
  <c r="G745" i="3" a="1"/>
  <c r="G745" i="3" s="1"/>
  <c r="G939" i="3" a="1"/>
  <c r="G939" i="3" s="1"/>
  <c r="G701" i="3" a="1"/>
  <c r="G701" i="3" s="1"/>
  <c r="G782" i="3" a="1"/>
  <c r="G782" i="3" s="1"/>
  <c r="G602" i="3" a="1"/>
  <c r="G602" i="3" s="1"/>
  <c r="G744" i="3" a="1"/>
  <c r="G744" i="3" s="1"/>
  <c r="G714" i="3" a="1"/>
  <c r="G714" i="3" s="1"/>
  <c r="G662" i="3" a="1"/>
  <c r="G662" i="3" s="1"/>
  <c r="G593" i="3" a="1"/>
  <c r="G593" i="3" s="1"/>
  <c r="G957" i="3" a="1"/>
  <c r="G957" i="3" s="1"/>
  <c r="G1010" i="3" a="1"/>
  <c r="G1010" i="3" s="1"/>
  <c r="G827" i="3" a="1"/>
  <c r="G827" i="3" s="1"/>
  <c r="G723" i="3" a="1"/>
  <c r="G723" i="3" s="1"/>
  <c r="G673" i="3" a="1"/>
  <c r="G673" i="3" s="1"/>
  <c r="G890" i="3" a="1"/>
  <c r="G890" i="3" s="1"/>
  <c r="G669" i="3" a="1"/>
  <c r="G669" i="3" s="1"/>
  <c r="G830" i="3" a="1"/>
  <c r="G830" i="3" s="1"/>
  <c r="G633" i="3" a="1"/>
  <c r="G633" i="3" s="1"/>
  <c r="G795" i="3" a="1"/>
  <c r="G795" i="3" s="1"/>
  <c r="G913" i="3" a="1"/>
  <c r="G913" i="3" s="1"/>
  <c r="G693" i="3" a="1"/>
  <c r="G693" i="3" s="1"/>
  <c r="G696" i="3" a="1"/>
  <c r="G696" i="3" s="1"/>
  <c r="G627" i="3" a="1"/>
  <c r="G627" i="3" s="1"/>
  <c r="G995" i="3" a="1"/>
  <c r="G995" i="3" s="1"/>
  <c r="G929" i="3" a="1"/>
  <c r="G929" i="3" s="1"/>
  <c r="G946" i="3" a="1"/>
  <c r="G946" i="3" s="1"/>
  <c r="G980" i="3" a="1"/>
  <c r="G980" i="3" s="1"/>
  <c r="G658" i="3" a="1"/>
  <c r="G658" i="3" s="1"/>
  <c r="G789" i="3" a="1"/>
  <c r="G789" i="3" s="1"/>
  <c r="G661" i="3" a="1"/>
  <c r="G661" i="3" s="1"/>
  <c r="G958" i="3" a="1"/>
  <c r="G958" i="3" s="1"/>
  <c r="G766" i="3" a="1"/>
  <c r="G766" i="3" s="1"/>
  <c r="G829" i="3" a="1"/>
  <c r="G829" i="3" s="1"/>
  <c r="G728" i="3" a="1"/>
  <c r="G728" i="3" s="1"/>
  <c r="G718" i="3" a="1"/>
  <c r="G718" i="3" s="1"/>
  <c r="G607" i="3" a="1"/>
  <c r="G607" i="3" s="1"/>
  <c r="G700" i="3" a="1"/>
  <c r="G700" i="3" s="1"/>
  <c r="G943" i="3" a="1"/>
  <c r="G943" i="3" s="1"/>
  <c r="G876" i="3" a="1"/>
  <c r="G876" i="3" s="1"/>
  <c r="G590" i="3" a="1"/>
  <c r="G590" i="3" s="1"/>
  <c r="G653" i="3" a="1"/>
  <c r="G653" i="3" s="1"/>
  <c r="G764" i="3" a="1"/>
  <c r="G764" i="3" s="1"/>
  <c r="G921" i="3" a="1"/>
  <c r="G921" i="3" s="1"/>
  <c r="G162" i="3" a="1"/>
  <c r="G162" i="3" s="1"/>
  <c r="G655" i="3" a="1"/>
  <c r="G655" i="3" s="1"/>
  <c r="G699" i="3" a="1"/>
  <c r="G699" i="3" s="1"/>
  <c r="G934" i="3" a="1"/>
  <c r="G934" i="3" s="1"/>
  <c r="G735" i="3" a="1"/>
  <c r="G735" i="3" s="1"/>
  <c r="G624" i="3" a="1"/>
  <c r="G624" i="3" s="1"/>
  <c r="G924" i="3" a="1"/>
  <c r="G924" i="3" s="1"/>
  <c r="G986" i="3" a="1"/>
  <c r="G986" i="3" s="1"/>
  <c r="G812" i="3" a="1"/>
  <c r="G812" i="3" s="1"/>
  <c r="G844" i="3" a="1"/>
  <c r="G844" i="3" s="1"/>
  <c r="G594" i="3" a="1"/>
  <c r="G594" i="3" s="1"/>
  <c r="G691" i="3" a="1"/>
  <c r="G691" i="3" s="1"/>
  <c r="G370" i="3" a="1"/>
  <c r="G370" i="3" s="1"/>
  <c r="G97" i="3" a="1"/>
  <c r="G97" i="3" s="1"/>
  <c r="G708" i="3" a="1"/>
  <c r="G708" i="3" s="1"/>
  <c r="G586" i="3" a="1"/>
  <c r="G586" i="3" s="1"/>
  <c r="G974" i="3" a="1"/>
  <c r="G974" i="3" s="1"/>
  <c r="G839" i="3" a="1"/>
  <c r="G839" i="3" s="1"/>
  <c r="G875" i="3" a="1"/>
  <c r="G875" i="3" s="1"/>
  <c r="G989" i="3" a="1"/>
  <c r="G989" i="3" s="1"/>
  <c r="G616" i="3" a="1"/>
  <c r="G616" i="3" s="1"/>
  <c r="G832" i="3" a="1"/>
  <c r="G832" i="3" s="1"/>
  <c r="G834" i="3" a="1"/>
  <c r="G834" i="3" s="1"/>
  <c r="G855" i="3" a="1"/>
  <c r="G855" i="3" s="1"/>
  <c r="G897" i="3" a="1"/>
  <c r="G897" i="3" s="1"/>
  <c r="G771" i="3" a="1"/>
  <c r="G771" i="3" s="1"/>
  <c r="G966" i="3" a="1"/>
  <c r="G966" i="3" s="1"/>
  <c r="G651" i="3" a="1"/>
  <c r="G651" i="3" s="1"/>
  <c r="G724" i="3" a="1"/>
  <c r="G724" i="3" s="1"/>
  <c r="G968" i="3" a="1"/>
  <c r="G968" i="3" s="1"/>
  <c r="G785" i="3" a="1"/>
  <c r="G785" i="3" s="1"/>
  <c r="G801" i="3" a="1"/>
  <c r="G801" i="3" s="1"/>
  <c r="G625" i="3" a="1"/>
  <c r="G625" i="3" s="1"/>
  <c r="G895" i="3" a="1"/>
  <c r="G895" i="3" s="1"/>
  <c r="G649" i="3" a="1"/>
  <c r="G649" i="3" s="1"/>
  <c r="G915" i="3" a="1"/>
  <c r="G915" i="3" s="1"/>
  <c r="G800" i="3" a="1"/>
  <c r="G800" i="3" s="1"/>
  <c r="G617" i="3" a="1"/>
  <c r="G617" i="3" s="1"/>
  <c r="G956" i="3" a="1"/>
  <c r="G956" i="3" s="1"/>
  <c r="G806" i="3" a="1"/>
  <c r="G806" i="3" s="1"/>
  <c r="G762" i="3" a="1"/>
  <c r="G762" i="3" s="1"/>
  <c r="G813" i="3" a="1"/>
  <c r="G813" i="3" s="1"/>
  <c r="G828" i="3" a="1"/>
  <c r="G828" i="3" s="1"/>
  <c r="G1009" i="3" a="1"/>
  <c r="G1009" i="3" s="1"/>
  <c r="G604" i="3" a="1"/>
  <c r="G604" i="3" s="1"/>
  <c r="G763" i="3" a="1"/>
  <c r="G763" i="3" s="1"/>
  <c r="G822" i="3" a="1"/>
  <c r="G822" i="3" s="1"/>
  <c r="G878" i="3" a="1"/>
  <c r="G878" i="3" s="1"/>
  <c r="G880" i="3" a="1"/>
  <c r="G880" i="3" s="1"/>
  <c r="G1004" i="3" a="1"/>
  <c r="G1004" i="3" s="1"/>
  <c r="G647" i="3" a="1"/>
  <c r="G647" i="3" s="1"/>
  <c r="G850" i="3" a="1"/>
  <c r="G850" i="3" s="1"/>
  <c r="G645" i="3" a="1"/>
  <c r="G645" i="3" s="1"/>
  <c r="G676" i="3" a="1"/>
  <c r="G676" i="3" s="1"/>
  <c r="G922" i="3" a="1"/>
  <c r="G922" i="3" s="1"/>
  <c r="G591" i="3" a="1"/>
  <c r="G591" i="3" s="1"/>
  <c r="G589" i="3" a="1"/>
  <c r="G589" i="3" s="1"/>
  <c r="G588" i="3" a="1"/>
  <c r="G588" i="3" s="1"/>
  <c r="G597" i="3" a="1"/>
  <c r="G597" i="3" s="1"/>
  <c r="G859" i="3" a="1"/>
  <c r="G859" i="3" s="1"/>
  <c r="G799" i="3" a="1"/>
  <c r="G799" i="3" s="1"/>
  <c r="G773" i="3" a="1"/>
  <c r="G773" i="3" s="1"/>
  <c r="G635" i="3" a="1"/>
  <c r="G635" i="3" s="1"/>
  <c r="G634" i="3" a="1"/>
  <c r="G634" i="3" s="1"/>
  <c r="G703" i="3" a="1"/>
  <c r="G703" i="3" s="1"/>
  <c r="G988" i="3" a="1"/>
  <c r="G988" i="3" s="1"/>
  <c r="G856" i="3" a="1"/>
  <c r="G856" i="3" s="1"/>
  <c r="G751" i="3" a="1"/>
  <c r="G751" i="3" s="1"/>
  <c r="G768" i="3" a="1"/>
  <c r="G768" i="3" s="1"/>
  <c r="G770" i="3" a="1"/>
  <c r="G770" i="3" s="1"/>
  <c r="G1007" i="3" a="1"/>
  <c r="G1007" i="3" s="1"/>
  <c r="G910" i="3" a="1"/>
  <c r="G910" i="3" s="1"/>
  <c r="G873" i="3" a="1"/>
  <c r="G873" i="3" s="1"/>
  <c r="G698" i="3" a="1"/>
  <c r="G698" i="3" s="1"/>
  <c r="G739" i="3" a="1"/>
  <c r="G739" i="3" s="1"/>
  <c r="G688" i="3" a="1"/>
  <c r="G688" i="3" s="1"/>
  <c r="G775" i="3" a="1"/>
  <c r="G775" i="3" s="1"/>
  <c r="G933" i="3" a="1"/>
  <c r="G933" i="3" s="1"/>
  <c r="G343" i="3" a="1"/>
  <c r="G343" i="3" s="1"/>
  <c r="G862" i="3" a="1"/>
  <c r="G862" i="3" s="1"/>
  <c r="G682" i="3" a="1"/>
  <c r="G682" i="3" s="1"/>
  <c r="G976" i="3" a="1"/>
  <c r="G976" i="3" s="1"/>
  <c r="G882" i="3" a="1"/>
  <c r="G882" i="3" s="1"/>
  <c r="G845" i="3" a="1"/>
  <c r="G845" i="3" s="1"/>
  <c r="G765" i="3" a="1"/>
  <c r="G765" i="3" s="1"/>
  <c r="G755" i="3" a="1"/>
  <c r="G755" i="3" s="1"/>
  <c r="G706" i="3" a="1"/>
  <c r="G706" i="3" s="1"/>
  <c r="G893" i="3" a="1"/>
  <c r="G893" i="3" s="1"/>
  <c r="G979" i="3" a="1"/>
  <c r="G979" i="3" s="1"/>
  <c r="G599" i="3" a="1"/>
  <c r="G599" i="3" s="1"/>
  <c r="G601" i="3" a="1"/>
  <c r="G601" i="3" s="1"/>
  <c r="G900" i="3" a="1"/>
  <c r="G900" i="3" s="1"/>
  <c r="G679" i="3" a="1"/>
  <c r="G679" i="3" s="1"/>
  <c r="G720" i="3" a="1"/>
  <c r="G720" i="3" s="1"/>
  <c r="G725" i="3" a="1"/>
  <c r="G725" i="3" s="1"/>
  <c r="G631" i="3" a="1"/>
  <c r="G631" i="3" s="1"/>
  <c r="G754" i="3" a="1"/>
  <c r="G754" i="3" s="1"/>
  <c r="G1011" i="3" a="1"/>
  <c r="G1011" i="3" s="1"/>
  <c r="G612" i="3" a="1"/>
  <c r="G612" i="3" s="1"/>
  <c r="G805" i="3" a="1"/>
  <c r="G805" i="3" s="1"/>
  <c r="G732" i="3" a="1"/>
  <c r="G732" i="3" s="1"/>
  <c r="G797" i="3" a="1"/>
  <c r="G797" i="3" s="1"/>
  <c r="G954" i="3" a="1"/>
  <c r="G954" i="3" s="1"/>
  <c r="G598" i="3" a="1"/>
  <c r="G598" i="3" s="1"/>
  <c r="G857" i="3" a="1"/>
  <c r="G857" i="3" s="1"/>
  <c r="G671" i="3" a="1"/>
  <c r="G671" i="3" s="1"/>
  <c r="G680" i="3" a="1"/>
  <c r="G680" i="3" s="1"/>
  <c r="G790" i="3" a="1"/>
  <c r="G790" i="3" s="1"/>
  <c r="G592" i="3" a="1"/>
  <c r="G592" i="3" s="1"/>
  <c r="G809" i="3" a="1"/>
  <c r="G809" i="3" s="1"/>
  <c r="G581" i="3" a="1"/>
  <c r="G581" i="3" s="1"/>
  <c r="G888" i="3" a="1"/>
  <c r="G888" i="3" s="1"/>
  <c r="G683" i="3" a="1"/>
  <c r="G683" i="3" s="1"/>
  <c r="G719" i="3" a="1"/>
  <c r="G719" i="3" s="1"/>
  <c r="G907" i="3" a="1"/>
  <c r="G907" i="3" s="1"/>
  <c r="G815" i="3" a="1"/>
  <c r="G815" i="3" s="1"/>
  <c r="G833" i="3" a="1"/>
  <c r="G833" i="3" s="1"/>
  <c r="G810" i="3" a="1"/>
  <c r="G810" i="3" s="1"/>
  <c r="G733" i="3" a="1"/>
  <c r="G733" i="3" s="1"/>
  <c r="G991" i="3" a="1"/>
  <c r="G991" i="3" s="1"/>
  <c r="G854" i="3" a="1"/>
  <c r="G854" i="3" s="1"/>
  <c r="G665" i="3" a="1"/>
  <c r="G665" i="3" s="1"/>
  <c r="G595" i="3" a="1"/>
  <c r="G595" i="3" s="1"/>
  <c r="G912" i="3" a="1"/>
  <c r="G912" i="3" s="1"/>
  <c r="G867" i="3" a="1"/>
  <c r="G867" i="3" s="1"/>
  <c r="G621" i="3" a="1"/>
  <c r="G621" i="3" s="1"/>
  <c r="G996" i="3" a="1"/>
  <c r="G996" i="3" s="1"/>
  <c r="G629" i="3" a="1"/>
  <c r="G629" i="3" s="1"/>
  <c r="G713" i="3" a="1"/>
  <c r="G713" i="3" s="1"/>
  <c r="G891" i="3" a="1"/>
  <c r="G891" i="3" s="1"/>
  <c r="G788" i="3" a="1"/>
  <c r="G788" i="3" s="1"/>
  <c r="G783" i="3" a="1"/>
  <c r="G783" i="3" s="1"/>
  <c r="G632" i="3" a="1"/>
  <c r="G632" i="3" s="1"/>
  <c r="G952" i="3" a="1"/>
  <c r="G952" i="3" s="1"/>
  <c r="G759" i="3" a="1"/>
  <c r="G759" i="3" s="1"/>
  <c r="G757" i="3" a="1"/>
  <c r="G757" i="3" s="1"/>
  <c r="G643" i="3" a="1"/>
  <c r="G643" i="3" s="1"/>
  <c r="G848" i="3" a="1"/>
  <c r="G848" i="3" s="1"/>
  <c r="G760" i="3" a="1"/>
  <c r="G760" i="3" s="1"/>
  <c r="G948" i="3" a="1"/>
  <c r="G948" i="3" s="1"/>
  <c r="G603" i="3" a="1"/>
  <c r="G603" i="3" s="1"/>
  <c r="G804" i="3" a="1"/>
  <c r="G804" i="3" s="1"/>
  <c r="G750" i="3" a="1"/>
  <c r="G750" i="3" s="1"/>
  <c r="G887" i="3" a="1"/>
  <c r="G887" i="3" s="1"/>
  <c r="G787" i="3" a="1"/>
  <c r="G787" i="3" s="1"/>
  <c r="G670" i="3" a="1"/>
  <c r="G670" i="3" s="1"/>
  <c r="G831" i="3" a="1"/>
  <c r="G831" i="3" s="1"/>
  <c r="G945" i="3" a="1"/>
  <c r="G945" i="3" s="1"/>
  <c r="G993" i="3" a="1"/>
  <c r="G993" i="3" s="1"/>
  <c r="G656" i="3" a="1"/>
  <c r="G656" i="3" s="1"/>
  <c r="G753" i="3" a="1"/>
  <c r="G753" i="3" s="1"/>
  <c r="G967" i="3" a="1"/>
  <c r="G967" i="3" s="1"/>
  <c r="G610" i="3" a="1"/>
  <c r="G610" i="3" s="1"/>
  <c r="G982" i="3" a="1"/>
  <c r="G982" i="3" s="1"/>
  <c r="G826" i="3" a="1"/>
  <c r="G826" i="3" s="1"/>
  <c r="G666" i="3" a="1"/>
  <c r="G666" i="3" s="1"/>
  <c r="G62" i="3" a="1"/>
  <c r="G62" i="3" s="1"/>
  <c r="G917" i="3" a="1"/>
  <c r="G917" i="3" s="1"/>
  <c r="G776" i="3" a="1"/>
  <c r="G776" i="3" s="1"/>
  <c r="G689" i="3" a="1"/>
  <c r="G689" i="3" s="1"/>
  <c r="G740" i="3" a="1"/>
  <c r="G740" i="3" s="1"/>
  <c r="G864" i="3" a="1"/>
  <c r="G864" i="3" s="1"/>
  <c r="G636" i="3" a="1"/>
  <c r="G636" i="3" s="1"/>
  <c r="G726" i="3" a="1"/>
  <c r="G726" i="3" s="1"/>
  <c r="G1012" i="3" a="1"/>
  <c r="G1012" i="3" s="1"/>
  <c r="G821" i="3" a="1"/>
  <c r="G821" i="3" s="1"/>
  <c r="G648" i="3" a="1"/>
  <c r="G648" i="3" s="1"/>
  <c r="G803" i="3" a="1"/>
  <c r="G803" i="3" s="1"/>
  <c r="G843" i="3" a="1"/>
  <c r="G843" i="3" s="1"/>
  <c r="G796" i="3" a="1"/>
  <c r="G796" i="3" s="1"/>
  <c r="G866" i="3" a="1"/>
  <c r="G866" i="3" s="1"/>
  <c r="G984" i="3" a="1"/>
  <c r="G984" i="3" s="1"/>
  <c r="G675" i="3" a="1"/>
  <c r="G675" i="3" s="1"/>
  <c r="G932" i="3" a="1"/>
  <c r="G932" i="3" s="1"/>
  <c r="G889" i="3" a="1"/>
  <c r="G889" i="3" s="1"/>
  <c r="G916" i="3" a="1"/>
  <c r="G916" i="3" s="1"/>
  <c r="G92" i="3" a="1"/>
  <c r="G92" i="3" s="1"/>
  <c r="G678" i="3" a="1"/>
  <c r="G678" i="3" s="1"/>
  <c r="G977" i="3" a="1"/>
  <c r="G977" i="3" s="1"/>
  <c r="G690" i="3" a="1"/>
  <c r="G690" i="3" s="1"/>
  <c r="G951" i="3" a="1"/>
  <c r="G951" i="3" s="1"/>
  <c r="G899" i="3" a="1"/>
  <c r="G899" i="3" s="1"/>
  <c r="G772" i="3" a="1"/>
  <c r="G772" i="3" s="1"/>
  <c r="G868" i="3" a="1"/>
  <c r="G868" i="3" s="1"/>
  <c r="G863" i="3" a="1"/>
  <c r="G863" i="3" s="1"/>
  <c r="G837" i="3" a="1"/>
  <c r="G837" i="3" s="1"/>
  <c r="G650" i="3" a="1"/>
  <c r="G650" i="3" s="1"/>
  <c r="G622" i="3" a="1"/>
  <c r="G622" i="3" s="1"/>
  <c r="G710" i="3" a="1"/>
  <c r="G710" i="3" s="1"/>
  <c r="G953" i="3" a="1"/>
  <c r="G953" i="3" s="1"/>
  <c r="G963" i="3" a="1"/>
  <c r="G963" i="3" s="1"/>
  <c r="G926" i="3" a="1"/>
  <c r="G926" i="3" s="1"/>
  <c r="G898" i="3" a="1"/>
  <c r="G898" i="3" s="1"/>
  <c r="G623" i="3" a="1"/>
  <c r="G623" i="3" s="1"/>
  <c r="G752" i="3" a="1"/>
  <c r="G752" i="3" s="1"/>
  <c r="G692" i="3" a="1"/>
  <c r="G692" i="3" s="1"/>
  <c r="G842" i="3" a="1"/>
  <c r="G842" i="3" s="1"/>
  <c r="G971" i="3" a="1"/>
  <c r="G971" i="3" s="1"/>
  <c r="G911" i="3" a="1"/>
  <c r="G911" i="3" s="1"/>
  <c r="G849" i="3" a="1"/>
  <c r="G849" i="3" s="1"/>
  <c r="G784" i="3" a="1"/>
  <c r="G784" i="3" s="1"/>
  <c r="G950" i="3" a="1"/>
  <c r="G950" i="3" s="1"/>
  <c r="G965" i="3" a="1"/>
  <c r="G965" i="3" s="1"/>
  <c r="G824" i="3" a="1"/>
  <c r="G824" i="3" s="1"/>
  <c r="G729" i="3" a="1"/>
  <c r="G729" i="3" s="1"/>
  <c r="G892" i="3" a="1"/>
  <c r="G892" i="3" s="1"/>
  <c r="G654" i="3" a="1"/>
  <c r="G654" i="3" s="1"/>
  <c r="G596" i="3" a="1"/>
  <c r="G596" i="3" s="1"/>
  <c r="G840" i="3" a="1"/>
  <c r="G840" i="3" s="1"/>
  <c r="G637" i="3" a="1"/>
  <c r="G637" i="3" s="1"/>
  <c r="G940" i="3" a="1"/>
  <c r="G940" i="3" s="1"/>
  <c r="G820" i="3" a="1"/>
  <c r="G820" i="3" s="1"/>
  <c r="G774" i="3" a="1"/>
  <c r="G774" i="3" s="1"/>
  <c r="G906" i="3" a="1"/>
  <c r="G906" i="3" s="1"/>
  <c r="G779" i="3" a="1"/>
  <c r="G779" i="3" s="1"/>
  <c r="G879" i="3" a="1"/>
  <c r="G879" i="3" s="1"/>
  <c r="G664" i="3" a="1"/>
  <c r="G664" i="3" s="1"/>
  <c r="G949" i="3" a="1"/>
  <c r="G949" i="3" s="1"/>
  <c r="G578" i="3" a="1"/>
  <c r="G578" i="3" s="1"/>
  <c r="G613" i="3" a="1"/>
  <c r="G613" i="3" s="1"/>
  <c r="G738" i="3" a="1"/>
  <c r="G738" i="3" s="1"/>
  <c r="G615" i="3" a="1"/>
  <c r="G615" i="3" s="1"/>
  <c r="G667" i="3" a="1"/>
  <c r="G667" i="3" s="1"/>
  <c r="G846" i="3" a="1"/>
  <c r="G846" i="3" s="1"/>
  <c r="G684" i="3" a="1"/>
  <c r="G684" i="3" s="1"/>
  <c r="G909" i="3" a="1"/>
  <c r="G909" i="3" s="1"/>
  <c r="G686" i="3" a="1"/>
  <c r="G686" i="3" s="1"/>
  <c r="G817" i="3" a="1"/>
  <c r="G817" i="3" s="1"/>
  <c r="G802" i="3" a="1"/>
  <c r="G802" i="3" s="1"/>
  <c r="G792" i="3" a="1"/>
  <c r="G792" i="3" s="1"/>
  <c r="G642" i="3" a="1"/>
  <c r="G642" i="3" s="1"/>
  <c r="G715" i="3" a="1"/>
  <c r="G715" i="3" s="1"/>
  <c r="G999" i="3" a="1"/>
  <c r="G999" i="3" s="1"/>
  <c r="G722" i="3" a="1"/>
  <c r="G722" i="3" s="1"/>
  <c r="G881" i="3" a="1"/>
  <c r="G881" i="3" s="1"/>
  <c r="G807" i="3" a="1"/>
  <c r="G807" i="3" s="1"/>
  <c r="G717" i="3" a="1"/>
  <c r="G717" i="3" s="1"/>
  <c r="G646" i="3" a="1"/>
  <c r="G646" i="3" s="1"/>
  <c r="G579" i="3" a="1"/>
  <c r="G579" i="3" s="1"/>
  <c r="G620" i="3" a="1"/>
  <c r="G620" i="3" s="1"/>
  <c r="G852" i="3" a="1"/>
  <c r="G852" i="3" s="1"/>
  <c r="G928" i="3" a="1"/>
  <c r="G928" i="3" s="1"/>
  <c r="G345" i="3" a="1"/>
  <c r="G345" i="3" s="1"/>
  <c r="G113" i="3" a="1"/>
  <c r="G113" i="3" s="1"/>
  <c r="G85" i="3" a="1"/>
  <c r="G85" i="3" s="1"/>
  <c r="G344" i="3" a="1"/>
  <c r="G344" i="3" s="1"/>
  <c r="G221" i="3" a="1"/>
  <c r="G221" i="3" s="1"/>
  <c r="G188" i="3" a="1"/>
  <c r="G188" i="3" s="1"/>
  <c r="G61" i="3" a="1"/>
  <c r="G61" i="3" s="1"/>
  <c r="G77" i="3" a="1"/>
  <c r="G77" i="3" s="1"/>
  <c r="G84" i="3" a="1"/>
  <c r="G84" i="3" s="1"/>
  <c r="G75" i="3" a="1"/>
  <c r="G75" i="3" s="1"/>
  <c r="G95" i="3" a="1"/>
  <c r="G95" i="3" s="1"/>
  <c r="G64" i="3" a="1"/>
  <c r="G64" i="3" s="1"/>
  <c r="G227" i="3" a="1"/>
  <c r="G227" i="3" s="1"/>
  <c r="G224" i="3" a="1"/>
  <c r="G224" i="3" s="1"/>
  <c r="G153" i="3" a="1"/>
  <c r="G153" i="3" s="1"/>
  <c r="G125" i="3" a="1"/>
  <c r="G125" i="3" s="1"/>
  <c r="G180" i="3" a="1"/>
  <c r="G180" i="3" s="1"/>
  <c r="G7" i="3" a="1"/>
  <c r="G7" i="3" s="1"/>
  <c r="G78" i="3" a="1"/>
  <c r="G78" i="3" s="1"/>
  <c r="G40" i="3" a="1"/>
  <c r="G40" i="3" s="1"/>
  <c r="G228" i="3" a="1"/>
  <c r="G228" i="3" s="1"/>
  <c r="G573" i="3" a="1"/>
  <c r="G573" i="3" s="1"/>
  <c r="G6" i="3" a="1"/>
  <c r="G6" i="3" s="1"/>
  <c r="G74" i="3" a="1"/>
  <c r="G74" i="3" s="1"/>
  <c r="G73" i="3" a="1"/>
  <c r="G73" i="3" s="1"/>
  <c r="G444" i="3" a="1"/>
  <c r="G444" i="3" s="1"/>
  <c r="G220" i="3" a="1"/>
  <c r="G220" i="3" s="1"/>
  <c r="G79" i="3" a="1"/>
  <c r="G79" i="3" s="1"/>
  <c r="G142" i="3" a="1"/>
  <c r="G142" i="3" s="1"/>
  <c r="G76" i="3" a="1"/>
  <c r="G76" i="3" s="1"/>
  <c r="G22" i="3" a="1"/>
  <c r="G22" i="3" s="1"/>
  <c r="G30" i="3" a="1"/>
  <c r="G30" i="3" s="1"/>
  <c r="G181" i="3" a="1"/>
  <c r="G181" i="3" s="1"/>
  <c r="G87" i="3" a="1"/>
  <c r="G87" i="3" s="1"/>
  <c r="G118" i="3" a="1"/>
  <c r="G118" i="3" s="1"/>
  <c r="G86" i="3" a="1"/>
  <c r="G86" i="3" s="1"/>
  <c r="G68" i="3" a="1"/>
  <c r="G68" i="3" s="1"/>
  <c r="G413" i="3" a="1"/>
  <c r="G413" i="3" s="1"/>
  <c r="G83" i="3" a="1"/>
  <c r="G83" i="3" s="1"/>
  <c r="G186" i="3" a="1"/>
  <c r="G186" i="3" s="1"/>
  <c r="G115" i="3" a="1"/>
  <c r="G115" i="3" s="1"/>
  <c r="G384" i="3" a="1"/>
  <c r="G384" i="3" s="1"/>
  <c r="G550" i="3" a="1"/>
  <c r="G550" i="3" s="1"/>
  <c r="G136" i="3" a="1"/>
  <c r="G136" i="3" s="1"/>
  <c r="G450" i="3" a="1"/>
  <c r="G450" i="3" s="1"/>
  <c r="G553" i="3" a="1"/>
  <c r="G553" i="3" s="1"/>
  <c r="G48" i="3" a="1"/>
  <c r="G48" i="3" s="1"/>
  <c r="G514" i="3" a="1"/>
  <c r="G514" i="3" s="1"/>
  <c r="G267" i="3" a="1"/>
  <c r="G267" i="3" s="1"/>
  <c r="G496" i="3" a="1"/>
  <c r="G496" i="3" s="1"/>
  <c r="G256" i="3" a="1"/>
  <c r="G256" i="3" s="1"/>
  <c r="G38" i="3" a="1"/>
  <c r="G38" i="3" s="1"/>
  <c r="G367" i="3" a="1"/>
  <c r="G367" i="3" s="1"/>
  <c r="G332" i="3" a="1"/>
  <c r="G332" i="3" s="1"/>
  <c r="G71" i="3" a="1"/>
  <c r="G71" i="3" s="1"/>
  <c r="G572" i="3" a="1"/>
  <c r="G572" i="3" s="1"/>
  <c r="G72" i="3" a="1"/>
  <c r="G72" i="3" s="1"/>
  <c r="G575" i="3" a="1"/>
  <c r="G575" i="3" s="1"/>
  <c r="G49" i="3" a="1"/>
  <c r="G49" i="3" s="1"/>
  <c r="G2" i="3" a="1"/>
  <c r="G2" i="3" s="1"/>
  <c r="G47" i="3" a="1"/>
  <c r="G47" i="3" s="1"/>
  <c r="G171" i="3" a="1"/>
  <c r="G171" i="3" s="1"/>
  <c r="G510" i="3" a="1"/>
  <c r="G510" i="3" s="1"/>
  <c r="G164" i="3" a="1"/>
  <c r="G164" i="3" s="1"/>
  <c r="G195" i="3" a="1"/>
  <c r="G195" i="3" s="1"/>
  <c r="G70" i="3" a="1"/>
  <c r="G70" i="3" s="1"/>
  <c r="G103" i="3" a="1"/>
  <c r="G103" i="3" s="1"/>
  <c r="G96" i="3" a="1"/>
  <c r="G96" i="3" s="1"/>
  <c r="G577" i="3" a="1"/>
  <c r="G577" i="3" s="1"/>
  <c r="G574" i="3" a="1"/>
  <c r="G574" i="3" s="1"/>
  <c r="G81" i="3" a="1"/>
  <c r="G81" i="3" s="1"/>
  <c r="G297" i="3" a="1"/>
  <c r="G297" i="3" s="1"/>
  <c r="G127" i="3" a="1"/>
  <c r="G127" i="3" s="1"/>
  <c r="G178" i="3" a="1"/>
  <c r="G178" i="3" s="1"/>
  <c r="G539" i="3" a="1"/>
  <c r="G539" i="3" s="1"/>
  <c r="G507" i="3" a="1"/>
  <c r="G507" i="3" s="1"/>
  <c r="G338" i="3" a="1"/>
  <c r="G338" i="3" s="1"/>
  <c r="G212" i="3" a="1"/>
  <c r="G212" i="3" s="1"/>
  <c r="G339" i="3" a="1"/>
  <c r="G339" i="3" s="1"/>
  <c r="G184" i="3" a="1"/>
  <c r="G184" i="3" s="1"/>
  <c r="G12" i="3" a="1"/>
  <c r="G12" i="3" s="1"/>
  <c r="G135" i="3" a="1"/>
  <c r="G135" i="3" s="1"/>
  <c r="G316" i="3" a="1"/>
  <c r="G316" i="3" s="1"/>
  <c r="G302" i="3" a="1"/>
  <c r="G302" i="3" s="1"/>
  <c r="G243" i="3" a="1"/>
  <c r="G243" i="3" s="1"/>
  <c r="G124" i="3" a="1"/>
  <c r="G124" i="3" s="1"/>
  <c r="G462" i="3" a="1"/>
  <c r="G462" i="3" s="1"/>
  <c r="G27" i="3" a="1"/>
  <c r="G27" i="3" s="1"/>
  <c r="G436" i="3" a="1"/>
  <c r="G436" i="3" s="1"/>
  <c r="G430" i="3" a="1"/>
  <c r="G430" i="3" s="1"/>
  <c r="G549" i="3" a="1"/>
  <c r="G549" i="3" s="1"/>
  <c r="G341" i="3" a="1"/>
  <c r="G341" i="3" s="1"/>
  <c r="G435" i="3" a="1"/>
  <c r="G435" i="3" s="1"/>
  <c r="G88" i="3" a="1"/>
  <c r="G88" i="3" s="1"/>
  <c r="G32" i="3" a="1"/>
  <c r="G32" i="3" s="1"/>
  <c r="G308" i="3" a="1"/>
  <c r="G308" i="3" s="1"/>
  <c r="G459" i="3" a="1"/>
  <c r="G459" i="3" s="1"/>
  <c r="G205" i="3" a="1"/>
  <c r="G205" i="3" s="1"/>
  <c r="G67" i="3" a="1"/>
  <c r="G67" i="3" s="1"/>
  <c r="G90" i="3" a="1"/>
  <c r="G90" i="3" s="1"/>
  <c r="G80" i="3" a="1"/>
  <c r="G80" i="3" s="1"/>
  <c r="G576" i="3" a="1"/>
  <c r="G576" i="3" s="1"/>
  <c r="G69" i="3" a="1"/>
  <c r="G69" i="3" s="1"/>
  <c r="G139" i="3" a="1"/>
  <c r="G139" i="3" s="1"/>
  <c r="G26" i="3" a="1"/>
  <c r="G26" i="3" s="1"/>
  <c r="G366" i="3" a="1"/>
  <c r="G366" i="3" s="1"/>
  <c r="G52" i="3" a="1"/>
  <c r="G52" i="3" s="1"/>
  <c r="G336" i="3" a="1"/>
  <c r="G336" i="3" s="1"/>
  <c r="G532" i="3" a="1"/>
  <c r="G532" i="3" s="1"/>
  <c r="G4" i="3" a="1"/>
  <c r="G4" i="3" s="1"/>
  <c r="G259" i="3" a="1"/>
  <c r="G259" i="3" s="1"/>
  <c r="G374" i="3" a="1"/>
  <c r="G374" i="3" s="1"/>
  <c r="G545" i="3" a="1"/>
  <c r="G545" i="3" s="1"/>
  <c r="G472" i="3" a="1"/>
  <c r="G472" i="3" s="1"/>
  <c r="G474" i="3" a="1"/>
  <c r="G474" i="3" s="1"/>
  <c r="G122" i="3" a="1"/>
  <c r="G122" i="3" s="1"/>
  <c r="G104" i="3" a="1"/>
  <c r="G104" i="3" s="1"/>
  <c r="G216" i="3" a="1"/>
  <c r="G216" i="3" s="1"/>
  <c r="G237" i="3" a="1"/>
  <c r="G237" i="3" s="1"/>
  <c r="G89" i="3" a="1"/>
  <c r="G89" i="3" s="1"/>
  <c r="G335" i="3" a="1"/>
  <c r="G335" i="3" s="1"/>
  <c r="G31" i="3" a="1"/>
  <c r="G31" i="3" s="1"/>
  <c r="G215" i="3" a="1"/>
  <c r="G215" i="3" s="1"/>
  <c r="G101" i="3" a="1"/>
  <c r="G101" i="3" s="1"/>
  <c r="G533" i="3" a="1"/>
  <c r="G533" i="3" s="1"/>
  <c r="G94" i="3" a="1"/>
  <c r="G94" i="3" s="1"/>
  <c r="G154" i="3" a="1"/>
  <c r="G154" i="3" s="1"/>
  <c r="G219" i="3" a="1"/>
  <c r="G219" i="3" s="1"/>
  <c r="G207" i="3" a="1"/>
  <c r="G207" i="3" s="1"/>
  <c r="G417" i="3" a="1"/>
  <c r="G417" i="3" s="1"/>
  <c r="G42" i="3" a="1"/>
  <c r="G42" i="3" s="1"/>
  <c r="G214" i="3" a="1"/>
  <c r="G214" i="3" s="1"/>
  <c r="G158" i="3" a="1"/>
  <c r="G158" i="3" s="1"/>
  <c r="G565" i="3" a="1"/>
  <c r="G565" i="3" s="1"/>
  <c r="G568" i="3" a="1"/>
  <c r="G568" i="3" s="1"/>
  <c r="G46" i="3" a="1"/>
  <c r="G46" i="3" s="1"/>
  <c r="G456" i="3" a="1"/>
  <c r="G456" i="3" s="1"/>
  <c r="G411" i="3" a="1"/>
  <c r="G411" i="3" s="1"/>
  <c r="G460" i="3" a="1"/>
  <c r="G460" i="3" s="1"/>
  <c r="G262" i="3" a="1"/>
  <c r="G262" i="3" s="1"/>
  <c r="G425" i="3" a="1"/>
  <c r="G425" i="3" s="1"/>
  <c r="G559" i="3" a="1"/>
  <c r="G559" i="3" s="1"/>
  <c r="G560" i="3" a="1"/>
  <c r="G560" i="3" s="1"/>
  <c r="G556" i="3" a="1"/>
  <c r="G556" i="3" s="1"/>
  <c r="G361" i="3" a="1"/>
  <c r="G361" i="3" s="1"/>
  <c r="G504" i="3" a="1"/>
  <c r="G504" i="3" s="1"/>
  <c r="G273" i="3" a="1"/>
  <c r="G273" i="3" s="1"/>
  <c r="G399" i="3" a="1"/>
  <c r="G399" i="3" s="1"/>
  <c r="G148" i="3" a="1"/>
  <c r="G148" i="3" s="1"/>
  <c r="G458" i="3" a="1"/>
  <c r="G458" i="3" s="1"/>
  <c r="G284" i="3" a="1"/>
  <c r="G284" i="3" s="1"/>
  <c r="G54" i="3" a="1"/>
  <c r="G54" i="3" s="1"/>
  <c r="G495" i="3" a="1"/>
  <c r="G495" i="3" s="1"/>
  <c r="G426" i="3" a="1"/>
  <c r="G426" i="3" s="1"/>
  <c r="G235" i="3" a="1"/>
  <c r="G235" i="3" s="1"/>
  <c r="G337" i="3" a="1"/>
  <c r="G337" i="3" s="1"/>
  <c r="G373" i="3" a="1"/>
  <c r="G373" i="3" s="1"/>
  <c r="G236" i="3" a="1"/>
  <c r="G236" i="3" s="1"/>
  <c r="G157" i="3" a="1"/>
  <c r="G157" i="3" s="1"/>
  <c r="G231" i="3" a="1"/>
  <c r="G231" i="3" s="1"/>
  <c r="G261" i="3" a="1"/>
  <c r="G261" i="3" s="1"/>
  <c r="G183" i="3" a="1"/>
  <c r="G183" i="3" s="1"/>
  <c r="G43" i="3" a="1"/>
  <c r="G43" i="3" s="1"/>
  <c r="G473" i="3" a="1"/>
  <c r="G473" i="3" s="1"/>
  <c r="G192" i="3" a="1"/>
  <c r="G192" i="3" s="1"/>
  <c r="G570" i="3" a="1"/>
  <c r="G570" i="3" s="1"/>
  <c r="G494" i="3" a="1"/>
  <c r="G494" i="3" s="1"/>
  <c r="G409" i="3" a="1"/>
  <c r="G409" i="3" s="1"/>
  <c r="G28" i="3" a="1"/>
  <c r="G28" i="3" s="1"/>
  <c r="G250" i="3" a="1"/>
  <c r="G250" i="3" s="1"/>
  <c r="G527" i="3" a="1"/>
  <c r="G527" i="3" s="1"/>
  <c r="G382" i="3" a="1"/>
  <c r="G382" i="3" s="1"/>
  <c r="G319" i="3" a="1"/>
  <c r="G319" i="3" s="1"/>
  <c r="G177" i="3" a="1"/>
  <c r="G177" i="3" s="1"/>
  <c r="G29" i="3" a="1"/>
  <c r="G29" i="3" s="1"/>
  <c r="G329" i="3" a="1"/>
  <c r="G329" i="3" s="1"/>
  <c r="G57" i="3" a="1"/>
  <c r="G57" i="3" s="1"/>
  <c r="G232" i="3" a="1"/>
  <c r="G232" i="3" s="1"/>
  <c r="G405" i="3" a="1"/>
  <c r="G405" i="3" s="1"/>
  <c r="G512" i="3" a="1"/>
  <c r="G512" i="3" s="1"/>
  <c r="G196" i="3" a="1"/>
  <c r="G196" i="3" s="1"/>
  <c r="G519" i="3" a="1"/>
  <c r="G519" i="3" s="1"/>
  <c r="G538" i="3" a="1"/>
  <c r="G538" i="3" s="1"/>
  <c r="G471" i="3" a="1"/>
  <c r="G471" i="3" s="1"/>
  <c r="G540" i="3" a="1"/>
  <c r="G540" i="3" s="1"/>
  <c r="G305" i="3" a="1"/>
  <c r="G305" i="3" s="1"/>
  <c r="G327" i="3" a="1"/>
  <c r="G327" i="3" s="1"/>
  <c r="G19" i="3" a="1"/>
  <c r="G19" i="3" s="1"/>
  <c r="G486" i="3" a="1"/>
  <c r="G486" i="3" s="1"/>
  <c r="G571" i="3" a="1"/>
  <c r="G571" i="3" s="1"/>
  <c r="G143" i="3" a="1"/>
  <c r="G143" i="3" s="1"/>
  <c r="G563" i="3" a="1"/>
  <c r="G563" i="3" s="1"/>
  <c r="G555" i="3" a="1"/>
  <c r="G555" i="3" s="1"/>
  <c r="G286" i="3" a="1"/>
  <c r="G286" i="3" s="1"/>
  <c r="G547" i="3" a="1"/>
  <c r="G547" i="3" s="1"/>
  <c r="G270" i="3" a="1"/>
  <c r="G270" i="3" s="1"/>
  <c r="G123" i="3" a="1"/>
  <c r="G123" i="3" s="1"/>
  <c r="G23" i="3" a="1"/>
  <c r="G23" i="3" s="1"/>
  <c r="G492" i="3" a="1"/>
  <c r="G492" i="3" s="1"/>
  <c r="G447" i="3" a="1"/>
  <c r="G447" i="3" s="1"/>
  <c r="G187" i="3" a="1"/>
  <c r="G187" i="3" s="1"/>
  <c r="G333" i="3" a="1"/>
  <c r="G333" i="3" s="1"/>
  <c r="G18" i="3" a="1"/>
  <c r="G18" i="3" s="1"/>
  <c r="G446" i="3" a="1"/>
  <c r="G446" i="3" s="1"/>
  <c r="G386" i="3" a="1"/>
  <c r="G386" i="3" s="1"/>
  <c r="G394" i="3" a="1"/>
  <c r="G394" i="3" s="1"/>
  <c r="G520" i="3" a="1"/>
  <c r="G520" i="3" s="1"/>
  <c r="G283" i="3" a="1"/>
  <c r="G283" i="3" s="1"/>
  <c r="G58" i="3" a="1"/>
  <c r="G58" i="3" s="1"/>
  <c r="G415" i="3" a="1"/>
  <c r="G415" i="3" s="1"/>
  <c r="G313" i="3" a="1"/>
  <c r="G313" i="3" s="1"/>
  <c r="G318" i="3" a="1"/>
  <c r="G318" i="3" s="1"/>
  <c r="G363" i="3" a="1"/>
  <c r="G363" i="3" s="1"/>
  <c r="G554" i="3" a="1"/>
  <c r="G554" i="3" s="1"/>
  <c r="G558" i="3" a="1"/>
  <c r="G558" i="3" s="1"/>
  <c r="G567" i="3" a="1"/>
  <c r="G567" i="3" s="1"/>
  <c r="G213" i="3" a="1"/>
  <c r="G213" i="3" s="1"/>
  <c r="G161" i="3" a="1"/>
  <c r="G161" i="3" s="1"/>
  <c r="G254" i="3" a="1"/>
  <c r="G254" i="3" s="1"/>
  <c r="G255" i="3" a="1"/>
  <c r="G255" i="3" s="1"/>
  <c r="G506" i="3" a="1"/>
  <c r="G506" i="3" s="1"/>
  <c r="G110" i="3" a="1"/>
  <c r="G110" i="3" s="1"/>
  <c r="G285" i="3" a="1"/>
  <c r="G285" i="3" s="1"/>
  <c r="G8" i="3" a="1"/>
  <c r="G8" i="3" s="1"/>
  <c r="G166" i="3" a="1"/>
  <c r="G166" i="3" s="1"/>
  <c r="G521" i="3" a="1"/>
  <c r="G521" i="3" s="1"/>
  <c r="G10" i="3" a="1"/>
  <c r="G10" i="3" s="1"/>
  <c r="G251" i="3" a="1"/>
  <c r="G251" i="3" s="1"/>
  <c r="G121" i="3" a="1"/>
  <c r="G121" i="3" s="1"/>
  <c r="G537" i="3" a="1"/>
  <c r="G537" i="3" s="1"/>
  <c r="G131" i="3" a="1"/>
  <c r="G131" i="3" s="1"/>
  <c r="G170" i="3" a="1"/>
  <c r="G170" i="3" s="1"/>
  <c r="G91" i="3" a="1"/>
  <c r="G91" i="3" s="1"/>
  <c r="G478" i="3" a="1"/>
  <c r="G478" i="3" s="1"/>
  <c r="G315" i="3" a="1"/>
  <c r="G315" i="3" s="1"/>
  <c r="G517" i="3" a="1"/>
  <c r="G517" i="3" s="1"/>
  <c r="G82" i="3" a="1"/>
  <c r="G82" i="3" s="1"/>
  <c r="G376" i="3" a="1"/>
  <c r="G376" i="3" s="1"/>
  <c r="G418" i="3" a="1"/>
  <c r="G418" i="3" s="1"/>
  <c r="G193" i="3" a="1"/>
  <c r="G193" i="3" s="1"/>
  <c r="G526" i="3" a="1"/>
  <c r="G526" i="3" s="1"/>
  <c r="G557" i="3" a="1"/>
  <c r="G557" i="3" s="1"/>
  <c r="G562" i="3" a="1"/>
  <c r="G562" i="3" s="1"/>
  <c r="G222" i="3" a="1"/>
  <c r="G222" i="3" s="1"/>
  <c r="G569" i="3" a="1"/>
  <c r="G569" i="3" s="1"/>
  <c r="G203" i="3" a="1"/>
  <c r="G203" i="3" s="1"/>
  <c r="G543" i="3" a="1"/>
  <c r="G543" i="3" s="1"/>
  <c r="G152" i="3" a="1"/>
  <c r="G152" i="3" s="1"/>
  <c r="G449" i="3" a="1"/>
  <c r="G449" i="3" s="1"/>
  <c r="G381" i="3" a="1"/>
  <c r="G381" i="3" s="1"/>
  <c r="G257" i="3" a="1"/>
  <c r="G257" i="3" s="1"/>
  <c r="G404" i="3" a="1"/>
  <c r="G404" i="3" s="1"/>
  <c r="G479" i="3" a="1"/>
  <c r="G479" i="3" s="1"/>
  <c r="G371" i="3" a="1"/>
  <c r="G371" i="3" s="1"/>
  <c r="G314" i="3" a="1"/>
  <c r="G314" i="3" s="1"/>
  <c r="G288" i="3" a="1"/>
  <c r="G288" i="3" s="1"/>
  <c r="G355" i="3" a="1"/>
  <c r="G355" i="3" s="1"/>
  <c r="G465" i="3" a="1"/>
  <c r="G465" i="3" s="1"/>
  <c r="G369" i="3" a="1"/>
  <c r="G369" i="3" s="1"/>
  <c r="G149" i="3" a="1"/>
  <c r="G149" i="3" s="1"/>
  <c r="G144" i="3" a="1"/>
  <c r="G144" i="3" s="1"/>
  <c r="G364" i="3" a="1"/>
  <c r="G364" i="3" s="1"/>
  <c r="G134" i="3" a="1"/>
  <c r="G134" i="3" s="1"/>
  <c r="G241" i="3" a="1"/>
  <c r="G241" i="3" s="1"/>
  <c r="G468" i="3" a="1"/>
  <c r="G468" i="3" s="1"/>
  <c r="G280" i="3" a="1"/>
  <c r="G280" i="3" s="1"/>
  <c r="G511" i="3" a="1"/>
  <c r="G511" i="3" s="1"/>
  <c r="G400" i="3" a="1"/>
  <c r="G400" i="3" s="1"/>
  <c r="G34" i="3" a="1"/>
  <c r="G34" i="3" s="1"/>
  <c r="G16" i="3" a="1"/>
  <c r="G16" i="3" s="1"/>
  <c r="G402" i="3" a="1"/>
  <c r="G402" i="3" s="1"/>
  <c r="G102" i="3" a="1"/>
  <c r="G102" i="3" s="1"/>
  <c r="G480" i="3" a="1"/>
  <c r="G480" i="3" s="1"/>
  <c r="G258" i="3" a="1"/>
  <c r="G258" i="3" s="1"/>
  <c r="G167" i="3" a="1"/>
  <c r="G167" i="3" s="1"/>
  <c r="G246" i="3" a="1"/>
  <c r="G246" i="3" s="1"/>
  <c r="G453" i="3" a="1"/>
  <c r="G453" i="3" s="1"/>
  <c r="G476" i="3" a="1"/>
  <c r="G476" i="3" s="1"/>
  <c r="G365" i="3" a="1"/>
  <c r="G365" i="3" s="1"/>
  <c r="G33" i="3" a="1"/>
  <c r="G33" i="3" s="1"/>
  <c r="G454" i="3" a="1"/>
  <c r="G454" i="3" s="1"/>
  <c r="G182" i="3" a="1"/>
  <c r="G182" i="3" s="1"/>
  <c r="G41" i="3" a="1"/>
  <c r="G41" i="3" s="1"/>
  <c r="G199" i="3" a="1"/>
  <c r="G199" i="3" s="1"/>
  <c r="G93" i="3" a="1"/>
  <c r="G93" i="3" s="1"/>
  <c r="G324" i="3" a="1"/>
  <c r="G324" i="3" s="1"/>
  <c r="G21" i="3" a="1"/>
  <c r="G21" i="3" s="1"/>
  <c r="G65" i="3" a="1"/>
  <c r="G65" i="3" s="1"/>
  <c r="G300" i="3" a="1"/>
  <c r="G300" i="3" s="1"/>
  <c r="G271" i="3" a="1"/>
  <c r="G271" i="3" s="1"/>
  <c r="G204" i="3" a="1"/>
  <c r="G204" i="3" s="1"/>
  <c r="G326" i="3" a="1"/>
  <c r="G326" i="3" s="1"/>
  <c r="G551" i="3" a="1"/>
  <c r="G551" i="3" s="1"/>
  <c r="G441" i="3" a="1"/>
  <c r="G441" i="3" s="1"/>
  <c r="G260" i="3" a="1"/>
  <c r="G260" i="3" s="1"/>
  <c r="G500" i="3" a="1"/>
  <c r="G500" i="3" s="1"/>
  <c r="G150" i="3" a="1"/>
  <c r="G150" i="3" s="1"/>
  <c r="G145" i="3" a="1"/>
  <c r="G145" i="3" s="1"/>
  <c r="G292" i="3" a="1"/>
  <c r="G292" i="3" s="1"/>
  <c r="G100" i="3" a="1"/>
  <c r="G100" i="3" s="1"/>
  <c r="G147" i="3" a="1"/>
  <c r="G147" i="3" s="1"/>
  <c r="G294" i="3" a="1"/>
  <c r="G294" i="3" s="1"/>
  <c r="G347" i="3" a="1"/>
  <c r="G347" i="3" s="1"/>
  <c r="G498" i="3" a="1"/>
  <c r="G498" i="3" s="1"/>
  <c r="G55" i="3" a="1"/>
  <c r="G55" i="3" s="1"/>
  <c r="G165" i="3" a="1"/>
  <c r="G165" i="3" s="1"/>
  <c r="G9" i="3" a="1"/>
  <c r="G9" i="3" s="1"/>
  <c r="G445" i="3" a="1"/>
  <c r="G445" i="3" s="1"/>
  <c r="G138" i="3" a="1"/>
  <c r="G138" i="3" s="1"/>
  <c r="G59" i="3" a="1"/>
  <c r="G59" i="3" s="1"/>
  <c r="G25" i="3" a="1"/>
  <c r="G25" i="3" s="1"/>
  <c r="G36" i="3" a="1"/>
  <c r="G36" i="3" s="1"/>
  <c r="G247" i="3" a="1"/>
  <c r="G247" i="3" s="1"/>
  <c r="G452" i="3" a="1"/>
  <c r="G452" i="3" s="1"/>
  <c r="G482" i="3" a="1"/>
  <c r="G482" i="3" s="1"/>
  <c r="G172" i="3" a="1"/>
  <c r="G172" i="3" s="1"/>
  <c r="G433" i="3" a="1"/>
  <c r="G433" i="3" s="1"/>
  <c r="G422" i="3" a="1"/>
  <c r="G422" i="3" s="1"/>
  <c r="G457" i="3" a="1"/>
  <c r="G457" i="3" s="1"/>
  <c r="G395" i="3" a="1"/>
  <c r="G395" i="3" s="1"/>
  <c r="G163" i="3" a="1"/>
  <c r="G163" i="3" s="1"/>
  <c r="G114" i="3" a="1"/>
  <c r="G114" i="3" s="1"/>
  <c r="G291" i="3" a="1"/>
  <c r="G291" i="3" s="1"/>
  <c r="G200" i="3" a="1"/>
  <c r="G200" i="3" s="1"/>
  <c r="G378" i="3" a="1"/>
  <c r="G378" i="3" s="1"/>
  <c r="G428" i="3" a="1"/>
  <c r="G428" i="3" s="1"/>
  <c r="G301" i="3" a="1"/>
  <c r="G301" i="3" s="1"/>
  <c r="G202" i="3" a="1"/>
  <c r="G202" i="3" s="1"/>
  <c r="G174" i="3" a="1"/>
  <c r="G174" i="3" s="1"/>
  <c r="G53" i="3" a="1"/>
  <c r="G53" i="3" s="1"/>
  <c r="G108" i="3" a="1"/>
  <c r="G108" i="3" s="1"/>
  <c r="G502" i="3" a="1"/>
  <c r="G502" i="3" s="1"/>
  <c r="G391" i="3" a="1"/>
  <c r="G391" i="3" s="1"/>
  <c r="G198" i="3" a="1"/>
  <c r="G198" i="3" s="1"/>
  <c r="G156" i="3" a="1"/>
  <c r="G156" i="3" s="1"/>
  <c r="G387" i="3" a="1"/>
  <c r="G387" i="3" s="1"/>
  <c r="G234" i="3" a="1"/>
  <c r="G234" i="3" s="1"/>
  <c r="G44" i="3" a="1"/>
  <c r="G44" i="3" s="1"/>
  <c r="G392" i="3" a="1"/>
  <c r="G392" i="3" s="1"/>
  <c r="G403" i="3" a="1"/>
  <c r="G403" i="3" s="1"/>
  <c r="G443" i="3" a="1"/>
  <c r="G443" i="3" s="1"/>
  <c r="G481" i="3" a="1"/>
  <c r="G481" i="3" s="1"/>
  <c r="G296" i="3" a="1"/>
  <c r="G296" i="3" s="1"/>
  <c r="G469" i="3" a="1"/>
  <c r="G469" i="3" s="1"/>
  <c r="G429" i="3" a="1"/>
  <c r="G429" i="3" s="1"/>
  <c r="G461" i="3" a="1"/>
  <c r="G461" i="3" s="1"/>
  <c r="G168" i="3" a="1"/>
  <c r="G168" i="3" s="1"/>
  <c r="G287" i="3" a="1"/>
  <c r="G287" i="3" s="1"/>
  <c r="G467" i="3" a="1"/>
  <c r="G467" i="3" s="1"/>
  <c r="G359" i="3" a="1"/>
  <c r="G359" i="3" s="1"/>
  <c r="G119" i="3" a="1"/>
  <c r="G119" i="3" s="1"/>
  <c r="G531" i="3" a="1"/>
  <c r="G531" i="3" s="1"/>
  <c r="G217" i="3" a="1"/>
  <c r="G217" i="3" s="1"/>
  <c r="G298" i="3" a="1"/>
  <c r="G298" i="3" s="1"/>
  <c r="G206" i="3" a="1"/>
  <c r="G206" i="3" s="1"/>
  <c r="G218" i="3" a="1"/>
  <c r="G218" i="3" s="1"/>
  <c r="G159" i="3" a="1"/>
  <c r="G159" i="3" s="1"/>
  <c r="G470" i="3" a="1"/>
  <c r="G470" i="3" s="1"/>
  <c r="G106" i="3" a="1"/>
  <c r="G106" i="3" s="1"/>
  <c r="G546" i="3" a="1"/>
  <c r="G546" i="3" s="1"/>
  <c r="G421" i="3" a="1"/>
  <c r="G421" i="3" s="1"/>
  <c r="G379" i="3" a="1"/>
  <c r="G379" i="3" s="1"/>
  <c r="G226" i="3" a="1"/>
  <c r="G226" i="3" s="1"/>
  <c r="G348" i="3" a="1"/>
  <c r="G348" i="3" s="1"/>
  <c r="G151" i="3" a="1"/>
  <c r="G151" i="3" s="1"/>
  <c r="G120" i="3" a="1"/>
  <c r="G120" i="3" s="1"/>
  <c r="G146" i="3" a="1"/>
  <c r="G146" i="3" s="1"/>
  <c r="G239" i="3" a="1"/>
  <c r="G239" i="3" s="1"/>
  <c r="G264" i="3" a="1"/>
  <c r="G264" i="3" s="1"/>
  <c r="G323" i="3" a="1"/>
  <c r="G323" i="3" s="1"/>
  <c r="G325" i="3" a="1"/>
  <c r="G325" i="3" s="1"/>
  <c r="G529" i="3" a="1"/>
  <c r="G529" i="3" s="1"/>
  <c r="G439" i="3" a="1"/>
  <c r="G439" i="3" s="1"/>
  <c r="G389" i="3" a="1"/>
  <c r="G389" i="3" s="1"/>
  <c r="G541" i="3" a="1"/>
  <c r="G541" i="3" s="1"/>
  <c r="G304" i="3" a="1"/>
  <c r="G304" i="3" s="1"/>
  <c r="G390" i="3" a="1"/>
  <c r="G390" i="3" s="1"/>
  <c r="G293" i="3" a="1"/>
  <c r="G293" i="3" s="1"/>
  <c r="G66" i="3" a="1"/>
  <c r="G66" i="3" s="1"/>
  <c r="G312" i="3" a="1"/>
  <c r="G312" i="3" s="1"/>
  <c r="G356" i="3" a="1"/>
  <c r="G356" i="3" s="1"/>
  <c r="G35" i="3" a="1"/>
  <c r="G35" i="3" s="1"/>
  <c r="G377" i="3" a="1"/>
  <c r="G377" i="3" s="1"/>
  <c r="G109" i="3" a="1"/>
  <c r="G109" i="3" s="1"/>
  <c r="G130" i="3" a="1"/>
  <c r="G130" i="3" s="1"/>
  <c r="G477" i="3" a="1"/>
  <c r="G477" i="3" s="1"/>
  <c r="G349" i="3" a="1"/>
  <c r="G349" i="3" s="1"/>
  <c r="G380" i="3" a="1"/>
  <c r="G380" i="3" s="1"/>
  <c r="G434" i="3" a="1"/>
  <c r="G434" i="3" s="1"/>
  <c r="G173" i="3" a="1"/>
  <c r="G173" i="3" s="1"/>
  <c r="G442" i="3" a="1"/>
  <c r="G442" i="3" s="1"/>
  <c r="G289" i="3" a="1"/>
  <c r="G289" i="3" s="1"/>
  <c r="G491" i="3" a="1"/>
  <c r="G491" i="3" s="1"/>
  <c r="G432" i="3" a="1"/>
  <c r="G432" i="3" s="1"/>
  <c r="G310" i="3" a="1"/>
  <c r="G310" i="3" s="1"/>
  <c r="G295" i="3" a="1"/>
  <c r="G295" i="3" s="1"/>
  <c r="G252" i="3" a="1"/>
  <c r="G252" i="3" s="1"/>
  <c r="G238" i="3" a="1"/>
  <c r="G238" i="3" s="1"/>
  <c r="G160" i="3" a="1"/>
  <c r="G160" i="3" s="1"/>
  <c r="G245" i="3" a="1"/>
  <c r="G245" i="3" s="1"/>
  <c r="G488" i="3" a="1"/>
  <c r="G488" i="3" s="1"/>
  <c r="G141" i="3" a="1"/>
  <c r="G141" i="3" s="1"/>
  <c r="G225" i="3" a="1"/>
  <c r="G225" i="3" s="1"/>
  <c r="G37" i="3" a="1"/>
  <c r="G37" i="3" s="1"/>
  <c r="G20" i="3" a="1"/>
  <c r="G20" i="3" s="1"/>
  <c r="G132" i="3" a="1"/>
  <c r="G132" i="3" s="1"/>
  <c r="G487" i="3" a="1"/>
  <c r="G487" i="3" s="1"/>
  <c r="G268" i="3" a="1"/>
  <c r="G268" i="3" s="1"/>
  <c r="G509" i="3" a="1"/>
  <c r="G509" i="3" s="1"/>
  <c r="G169" i="3" a="1"/>
  <c r="G169" i="3" s="1"/>
  <c r="G189" i="3" a="1"/>
  <c r="G189" i="3" s="1"/>
  <c r="G448" i="3" a="1"/>
  <c r="G448" i="3" s="1"/>
  <c r="G503" i="3" a="1"/>
  <c r="G503" i="3" s="1"/>
  <c r="G385" i="3" a="1"/>
  <c r="G385" i="3" s="1"/>
  <c r="G523" i="3" a="1"/>
  <c r="G523" i="3" s="1"/>
  <c r="G99" i="3" a="1"/>
  <c r="G99" i="3" s="1"/>
  <c r="G485" i="3" a="1"/>
  <c r="G485" i="3" s="1"/>
  <c r="G406" i="3" a="1"/>
  <c r="G406" i="3" s="1"/>
  <c r="G17" i="3" a="1"/>
  <c r="G17" i="3" s="1"/>
  <c r="G244" i="3" a="1"/>
  <c r="G244" i="3" s="1"/>
  <c r="G340" i="3" a="1"/>
  <c r="G340" i="3" s="1"/>
  <c r="G328" i="3" a="1"/>
  <c r="G328" i="3" s="1"/>
  <c r="G342" i="3" a="1"/>
  <c r="G342" i="3" s="1"/>
  <c r="G190" i="3" a="1"/>
  <c r="G190" i="3" s="1"/>
  <c r="G3" i="3" a="1"/>
  <c r="G3" i="3" s="1"/>
  <c r="G282" i="3" a="1"/>
  <c r="G282" i="3" s="1"/>
  <c r="G230" i="3" a="1"/>
  <c r="G230" i="3" s="1"/>
  <c r="G490" i="3" a="1"/>
  <c r="G490" i="3" s="1"/>
  <c r="G322" i="3" a="1"/>
  <c r="G322" i="3" s="1"/>
  <c r="G248" i="3" a="1"/>
  <c r="G248" i="3" s="1"/>
  <c r="G483" i="3" a="1"/>
  <c r="G483" i="3" s="1"/>
  <c r="G542" i="3" a="1"/>
  <c r="G542" i="3" s="1"/>
  <c r="G455" i="3" a="1"/>
  <c r="G455" i="3" s="1"/>
  <c r="G508" i="3" a="1"/>
  <c r="G508" i="3" s="1"/>
  <c r="G505" i="3" a="1"/>
  <c r="G505" i="3" s="1"/>
  <c r="G463" i="3" a="1"/>
  <c r="G463" i="3" s="1"/>
  <c r="G242" i="3" a="1"/>
  <c r="G242" i="3" s="1"/>
  <c r="G137" i="3" a="1"/>
  <c r="G137" i="3" s="1"/>
  <c r="G530" i="3" a="1"/>
  <c r="G530" i="3" s="1"/>
  <c r="G412" i="3" a="1"/>
  <c r="G412" i="3" s="1"/>
  <c r="G360" i="3" a="1"/>
  <c r="G360" i="3" s="1"/>
  <c r="G240" i="3" a="1"/>
  <c r="G240" i="3" s="1"/>
  <c r="G372" i="3" a="1"/>
  <c r="G372" i="3" s="1"/>
  <c r="G354" i="3" a="1"/>
  <c r="G354" i="3" s="1"/>
  <c r="G276" i="3" a="1"/>
  <c r="G276" i="3" s="1"/>
  <c r="G515" i="3" a="1"/>
  <c r="G515" i="3" s="1"/>
  <c r="G253" i="3" a="1"/>
  <c r="G253" i="3" s="1"/>
  <c r="G45" i="3" a="1"/>
  <c r="G45" i="3" s="1"/>
  <c r="G493" i="3" a="1"/>
  <c r="G493" i="3" s="1"/>
  <c r="G277" i="3" a="1"/>
  <c r="G277" i="3" s="1"/>
  <c r="G60" i="3" a="1"/>
  <c r="G60" i="3" s="1"/>
  <c r="G14" i="3" a="1"/>
  <c r="G14" i="3" s="1"/>
  <c r="G358" i="3" a="1"/>
  <c r="G358" i="3" s="1"/>
  <c r="G175" i="3" a="1"/>
  <c r="G175" i="3" s="1"/>
  <c r="G307" i="3" a="1"/>
  <c r="G307" i="3" s="1"/>
  <c r="G383" i="3" a="1"/>
  <c r="G383" i="3" s="1"/>
  <c r="G281" i="3" a="1"/>
  <c r="G281" i="3" s="1"/>
  <c r="G279" i="3" a="1"/>
  <c r="G279" i="3" s="1"/>
  <c r="G346" i="3" a="1"/>
  <c r="G346" i="3" s="1"/>
  <c r="G105" i="3" a="1"/>
  <c r="G105" i="3" s="1"/>
  <c r="G401" i="3" a="1"/>
  <c r="G401" i="3" s="1"/>
  <c r="G548" i="3" a="1"/>
  <c r="G548" i="3" s="1"/>
  <c r="G388" i="3" a="1"/>
  <c r="G388" i="3" s="1"/>
  <c r="G126" i="3" a="1"/>
  <c r="G126" i="3" s="1"/>
  <c r="G516" i="3" a="1"/>
  <c r="G516" i="3" s="1"/>
  <c r="G535" i="3" a="1"/>
  <c r="G535" i="3" s="1"/>
  <c r="G15" i="3" a="1"/>
  <c r="G15" i="3" s="1"/>
  <c r="G464" i="3" a="1"/>
  <c r="G464" i="3" s="1"/>
  <c r="G423" i="3" a="1"/>
  <c r="G423" i="3" s="1"/>
  <c r="G129" i="3" a="1"/>
  <c r="G129" i="3" s="1"/>
  <c r="G410" i="3" a="1"/>
  <c r="G410" i="3" s="1"/>
  <c r="G39" i="3" a="1"/>
  <c r="G39" i="3" s="1"/>
  <c r="G525" i="3" a="1"/>
  <c r="G525" i="3" s="1"/>
  <c r="G24" i="3" a="1"/>
  <c r="G24" i="3" s="1"/>
  <c r="G375" i="3" a="1"/>
  <c r="G375" i="3" s="1"/>
  <c r="G274" i="3" a="1"/>
  <c r="G274" i="3" s="1"/>
  <c r="G211" i="3" a="1"/>
  <c r="G211" i="3" s="1"/>
  <c r="G233" i="3" a="1"/>
  <c r="G233" i="3" s="1"/>
  <c r="G475" i="3" a="1"/>
  <c r="G475" i="3" s="1"/>
  <c r="G299" i="3" a="1"/>
  <c r="G299" i="3" s="1"/>
  <c r="G107" i="3" a="1"/>
  <c r="G107" i="3" s="1"/>
  <c r="G528" i="3" a="1"/>
  <c r="G528" i="3" s="1"/>
  <c r="G112" i="3" a="1"/>
  <c r="G112" i="3" s="1"/>
  <c r="G331" i="3" a="1"/>
  <c r="G331" i="3" s="1"/>
  <c r="G393" i="3" a="1"/>
  <c r="G393" i="3" s="1"/>
  <c r="G209" i="3" a="1"/>
  <c r="G209" i="3" s="1"/>
  <c r="G501" i="3" a="1"/>
  <c r="G501" i="3" s="1"/>
  <c r="G111" i="3" a="1"/>
  <c r="G111" i="3" s="1"/>
  <c r="G311" i="3" a="1"/>
  <c r="G311" i="3" s="1"/>
  <c r="G201" i="3" a="1"/>
  <c r="G201" i="3" s="1"/>
  <c r="G11" i="3" a="1"/>
  <c r="G11" i="3" s="1"/>
  <c r="G524" i="3" a="1"/>
  <c r="G524" i="3" s="1"/>
  <c r="G451" i="3" a="1"/>
  <c r="G451" i="3" s="1"/>
  <c r="G210" i="3" a="1"/>
  <c r="G210" i="3" s="1"/>
  <c r="G466" i="3" a="1"/>
  <c r="G466" i="3" s="1"/>
  <c r="G191" i="3" a="1"/>
  <c r="G191" i="3" s="1"/>
  <c r="G499" i="3" a="1"/>
  <c r="G499" i="3" s="1"/>
  <c r="G266" i="3" a="1"/>
  <c r="G266" i="3" s="1"/>
  <c r="G489" i="3" a="1"/>
  <c r="G489" i="3" s="1"/>
  <c r="G117" i="3" a="1"/>
  <c r="G117" i="3" s="1"/>
  <c r="G229" i="3" a="1"/>
  <c r="G229" i="3" s="1"/>
  <c r="G407" i="3" a="1"/>
  <c r="G407" i="3" s="1"/>
  <c r="G278" i="3" a="1"/>
  <c r="G278" i="3" s="1"/>
  <c r="G275" i="3" a="1"/>
  <c r="G275" i="3" s="1"/>
  <c r="G50" i="3" a="1"/>
  <c r="G50" i="3" s="1"/>
  <c r="G440" i="3" a="1"/>
  <c r="G440" i="3" s="1"/>
  <c r="G513" i="3" a="1"/>
  <c r="G513" i="3" s="1"/>
  <c r="G518" i="3" a="1"/>
  <c r="G518" i="3" s="1"/>
  <c r="G197" i="3" a="1"/>
  <c r="G197" i="3" s="1"/>
  <c r="G497" i="3" a="1"/>
  <c r="G497" i="3" s="1"/>
  <c r="G272" i="3" a="1"/>
  <c r="G272" i="3" s="1"/>
  <c r="G484" i="3" a="1"/>
  <c r="G484" i="3" s="1"/>
  <c r="G416" i="3" a="1"/>
  <c r="G416" i="3" s="1"/>
  <c r="G265" i="3" a="1"/>
  <c r="G265" i="3" s="1"/>
  <c r="G185" i="3" a="1"/>
  <c r="G185" i="3" s="1"/>
  <c r="G424" i="3" a="1"/>
  <c r="G424" i="3" s="1"/>
  <c r="G56" i="3" a="1"/>
  <c r="G56" i="3" s="1"/>
  <c r="G194" i="3" a="1"/>
  <c r="G194" i="3" s="1"/>
  <c r="G437" i="3" a="1"/>
  <c r="G437" i="3" s="1"/>
  <c r="G420" i="3" a="1"/>
  <c r="G420" i="3" s="1"/>
  <c r="G5" i="3" a="1"/>
  <c r="G5" i="3" s="1"/>
  <c r="G98" i="3" a="1"/>
  <c r="G98" i="3" s="1"/>
  <c r="G427" i="3" a="1"/>
  <c r="G427" i="3" s="1"/>
  <c r="G368" i="3" a="1"/>
  <c r="G368" i="3" s="1"/>
  <c r="G431" i="3" a="1"/>
  <c r="G431" i="3" s="1"/>
  <c r="G317" i="3" a="1"/>
  <c r="G317" i="3" s="1"/>
  <c r="G522" i="3" a="1"/>
  <c r="G522" i="3" s="1"/>
  <c r="G290" i="3" a="1"/>
  <c r="G290" i="3" s="1"/>
  <c r="G303" i="3" a="1"/>
  <c r="G303" i="3" s="1"/>
  <c r="G133" i="3" a="1"/>
  <c r="G133" i="3" s="1"/>
  <c r="G263" i="3" a="1"/>
  <c r="G263" i="3" s="1"/>
  <c r="G223" i="3" a="1"/>
  <c r="G223" i="3" s="1"/>
  <c r="G176" i="3" a="1"/>
  <c r="G176" i="3" s="1"/>
  <c r="G13" i="3" a="1"/>
  <c r="G13" i="3" s="1"/>
  <c r="G179" i="3" a="1"/>
  <c r="G179" i="3" s="1"/>
  <c r="G116" i="3" a="1"/>
  <c r="G116" i="3" s="1"/>
  <c r="G438" i="3" a="1"/>
  <c r="G438" i="3" s="1"/>
  <c r="G306" i="3" a="1"/>
  <c r="G306" i="3" s="1"/>
  <c r="G269" i="3" a="1"/>
  <c r="G269" i="3" s="1"/>
  <c r="G249" i="3" a="1"/>
  <c r="G249" i="3" s="1"/>
  <c r="G309" i="3" a="1"/>
  <c r="G309" i="3" s="1"/>
  <c r="G63" i="3" a="1"/>
  <c r="G63" i="3" s="1"/>
  <c r="G408" i="3" a="1"/>
  <c r="G408" i="3" s="1"/>
  <c r="G51" i="3" a="1"/>
  <c r="G51" i="3" s="1"/>
  <c r="G140" i="3" a="1"/>
  <c r="G140" i="3" s="1"/>
  <c r="G208" i="3" a="1"/>
  <c r="G208" i="3" s="1"/>
  <c r="G414" i="3" a="1"/>
  <c r="G414" i="3" s="1"/>
  <c r="G330" i="3" a="1"/>
  <c r="G330" i="3" s="1"/>
  <c r="G544" i="3" a="1"/>
  <c r="G544" i="3" s="1"/>
  <c r="G419" i="3" a="1"/>
  <c r="G419" i="3" s="1"/>
  <c r="G155" i="3" a="1"/>
  <c r="G155" i="3" s="1"/>
  <c r="G552" i="3" a="1"/>
  <c r="G55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<sst xmlns="http://schemas.openxmlformats.org/spreadsheetml/2006/main" count="96" uniqueCount="87">
  <si>
    <t>Original</t>
  </si>
  <si>
    <t>Post-Load (Ghidra)</t>
  </si>
  <si>
    <t>Edited</t>
  </si>
  <si>
    <t>Table Data</t>
  </si>
  <si>
    <t>Code Location</t>
  </si>
  <si>
    <t>Logic</t>
  </si>
  <si>
    <t>00761990</t>
  </si>
  <si>
    <t>bcc</t>
  </si>
  <si>
    <t>Pointer</t>
  </si>
  <si>
    <t>Patch Address</t>
  </si>
  <si>
    <t>Output</t>
  </si>
  <si>
    <t>Category</t>
  </si>
  <si>
    <t>Specific</t>
  </si>
  <si>
    <t>Write Segment</t>
  </si>
  <si>
    <t>Pointer Segment</t>
  </si>
  <si>
    <t>Segment</t>
  </si>
  <si>
    <t>dec write</t>
  </si>
  <si>
    <t>dec point</t>
  </si>
  <si>
    <t>word 1</t>
  </si>
  <si>
    <t>word 2</t>
  </si>
  <si>
    <t>word 3</t>
  </si>
  <si>
    <t>Target</t>
  </si>
  <si>
    <t>2D0</t>
  </si>
  <si>
    <t>2D8</t>
  </si>
  <si>
    <t>Entry Param Address</t>
  </si>
  <si>
    <t>Function Pointer</t>
  </si>
  <si>
    <t>Dec Patch address for sorting</t>
  </si>
  <si>
    <t>003F</t>
  </si>
  <si>
    <t>.bss</t>
  </si>
  <si>
    <t>Write-to</t>
  </si>
  <si>
    <t># entries</t>
  </si>
  <si>
    <t>#relocation patches</t>
  </si>
  <si>
    <t>Hex</t>
  </si>
  <si>
    <t>0x0000012C</t>
  </si>
  <si>
    <t>Address</t>
  </si>
  <si>
    <t>code</t>
  </si>
  <si>
    <t>rodata</t>
  </si>
  <si>
    <t>data</t>
  </si>
  <si>
    <t>bss</t>
  </si>
  <si>
    <t>Paste Patch Hex:</t>
  </si>
  <si>
    <t>Removed whitespace</t>
  </si>
  <si>
    <t>Patch Type</t>
  </si>
  <si>
    <t>In-File Write-To</t>
  </si>
  <si>
    <t>In-File Pointer</t>
  </si>
  <si>
    <t>Little-Endian</t>
  </si>
  <si>
    <t>Located at 0x84</t>
  </si>
  <si>
    <t>Segment Table Address (little-Endian):</t>
  </si>
  <si>
    <t>Big-End</t>
  </si>
  <si>
    <t>Decimal</t>
  </si>
  <si>
    <t>Dif from original</t>
  </si>
  <si>
    <t>hex</t>
  </si>
  <si>
    <t>Relative Write-to</t>
  </si>
  <si>
    <t>Relative Pointer</t>
  </si>
  <si>
    <t>^Column E</t>
  </si>
  <si>
    <t>^Column F</t>
  </si>
  <si>
    <t>Hex LE</t>
  </si>
  <si>
    <t>Hex BE</t>
  </si>
  <si>
    <t>Dec</t>
  </si>
  <si>
    <t>RPT Start</t>
  </si>
  <si>
    <t>RPT End</t>
  </si>
  <si>
    <t>First Patch in unedited:</t>
  </si>
  <si>
    <t>00DB03000203000084030000</t>
  </si>
  <si>
    <t>40A687000203000094030000</t>
  </si>
  <si>
    <t>RPT Table address at 0x128</t>
  </si>
  <si>
    <t>0008497C</t>
  </si>
  <si>
    <t>Original Number</t>
  </si>
  <si>
    <t>New</t>
  </si>
  <si>
    <t>% Total</t>
  </si>
  <si>
    <t>% increase</t>
  </si>
  <si>
    <t>item count:</t>
  </si>
  <si>
    <t>Original Entry Param Address</t>
  </si>
  <si>
    <t>ea</t>
  </si>
  <si>
    <t>e0</t>
  </si>
  <si>
    <t>00900100</t>
  </si>
  <si>
    <t>Field Items</t>
  </si>
  <si>
    <t>00021F8C</t>
  </si>
  <si>
    <t>80 01 00 00 7C 6C 01 00 00 00 00 00 00 70 01 00 0C 10 00 00 01 00 00 00 34 2D 02 00 CC 12 00 00 02 00 00 00 00 00 00 00 20 00 00 00</t>
  </si>
  <si>
    <t>00021D34</t>
  </si>
  <si>
    <t>80 C5 15 00 02 01 00 00 0C 10 00 00</t>
  </si>
  <si>
    <t>0002302C</t>
  </si>
  <si>
    <t>00015EB8</t>
  </si>
  <si>
    <t>Toggle Vs Seeker</t>
  </si>
  <si>
    <t>12B88</t>
  </si>
  <si>
    <t>D</t>
  </si>
  <si>
    <t>E</t>
  </si>
  <si>
    <t>12BCC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</si>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</sst>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1" fillId="3" borderId="0" xfId="0" applyFont="1" applyFill="1"/>
    <xf numFmtId="0" fontId="1" fillId="0" borderId="15" xfId="0" applyFont="1" applyBorder="1"/>
    <xf numFmtId="0" fontId="0" fillId="0" borderId="16" xfId="0" applyBorder="1"/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0" fillId="0" borderId="20" xfId="0" applyBorder="1"/>
    <xf numFmtId="49" fontId="2" fillId="0" borderId="0" xfId="0" applyNumberFormat="1" applyFont="1" applyAlignment="1">
      <alignment shrinkToFit="1"/>
    </xf>
    <xf numFmtId="49" fontId="2" fillId="0" borderId="0" xfId="0" applyNumberFormat="1" applyFont="1"/>
    <xf numFmtId="0" fontId="2" fillId="0" borderId="3" xfId="0" applyFont="1" applyBorder="1"/>
    <xf numFmtId="0" fontId="2" fillId="0" borderId="4" xfId="0" quotePrefix="1" applyFont="1" applyBorder="1"/>
    <xf numFmtId="0" fontId="2" fillId="0" borderId="0" xfId="0" applyFont="1" applyAlignment="1">
      <alignment horizontal="left"/>
    </xf>
    <xf numFmtId="11" fontId="2" fillId="0" borderId="0" xfId="0" applyNumberFormat="1" applyFont="1"/>
    <xf numFmtId="0" fontId="3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14" xfId="0" applyFont="1" applyFill="1" applyBorder="1"/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3" fillId="0" borderId="7" xfId="0" applyFont="1" applyBorder="1" applyAlignment="1">
      <alignment shrinkToFit="1"/>
    </xf>
    <xf numFmtId="0" fontId="2" fillId="2" borderId="4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1" applyNumberFormat="1" applyFont="1"/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shrinkToFit="1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0" xfId="0" applyFont="1" applyFill="1"/>
    <xf numFmtId="0" fontId="2" fillId="0" borderId="3" xfId="0" quotePrefix="1" applyFont="1" applyFill="1" applyBorder="1"/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>
      <alignment horizontal="right"/>
    </xf>
    <xf numFmtId="0" fontId="2" fillId="0" borderId="4" xfId="0" quotePrefix="1" applyFont="1" applyFill="1" applyBorder="1"/>
    <xf numFmtId="0" fontId="2" fillId="0" borderId="5" xfId="0" applyFont="1" applyFill="1" applyBorder="1"/>
    <xf numFmtId="0" fontId="2" fillId="0" borderId="6" xfId="0" quotePrefix="1" applyFont="1" applyFill="1" applyBorder="1"/>
    <xf numFmtId="0" fontId="2" fillId="0" borderId="8" xfId="0" quotePrefix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8" xfId="0" applyFont="1" applyFill="1" applyBorder="1"/>
    <xf numFmtId="0" fontId="2" fillId="0" borderId="6" xfId="0" applyFont="1" applyFill="1" applyBorder="1" applyAlignment="1">
      <alignment horizontal="right"/>
    </xf>
    <xf numFmtId="11" fontId="2" fillId="0" borderId="8" xfId="0" applyNumberFormat="1" applyFont="1" applyFill="1" applyBorder="1"/>
  </cellXfs>
  <cellStyles count="2">
    <cellStyle name="Normal" xfId="0" builtinId="0"/>
    <cellStyle name="Percent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4238-D6E8-47D7-9170-1420B3A25F2E}">
  <dimension ref="A1:O21"/>
  <sheetViews>
    <sheetView tabSelected="1" workbookViewId="0">
      <selection activeCell="E4" sqref="E4"/>
    </sheetView>
  </sheetViews>
  <sheetFormatPr defaultColWidth="9.140625" defaultRowHeight="15.9"/>
  <cols>
    <col min="1" max="1" width="13.2109375" style="1" customWidth="1"/>
    <col min="2" max="3" width="11.42578125" style="2" customWidth="1"/>
    <col min="4" max="4" width="11.42578125" style="2" hidden="1" customWidth="1"/>
    <col min="5" max="5" width="21.35546875" style="2" bestFit="1" customWidth="1"/>
    <col min="6" max="6" width="10.42578125" style="2" bestFit="1" customWidth="1"/>
    <col min="7" max="7" width="14.7109375" style="2" bestFit="1" customWidth="1"/>
    <col min="8" max="8" width="7.2109375" style="2" bestFit="1" customWidth="1"/>
    <col min="9" max="9" width="9.35546875" style="2" bestFit="1" customWidth="1"/>
    <col min="10" max="10" width="9.7109375" style="2" customWidth="1"/>
    <col min="11" max="11" width="9.35546875" style="2" bestFit="1" customWidth="1"/>
    <col min="12" max="12" width="4" style="2" bestFit="1" customWidth="1"/>
    <col min="13" max="13" width="9.140625" style="2"/>
    <col min="14" max="14" width="12.5703125" style="2" bestFit="1" customWidth="1"/>
    <col min="15" max="15" width="4" style="2" bestFit="1" customWidth="1"/>
    <col min="16" max="16384" width="9.140625" style="2"/>
  </cols>
  <sheetData>
    <row r="1" spans="1:15" ht="16.3" thickBot="1">
      <c r="B1" s="33" t="s">
        <v>4</v>
      </c>
      <c r="C1" s="33"/>
      <c r="D1" s="33"/>
      <c r="E1" s="33"/>
      <c r="F1" s="33"/>
      <c r="G1" s="33"/>
      <c r="H1" s="33"/>
      <c r="I1" s="33" t="s">
        <v>3</v>
      </c>
      <c r="J1" s="33"/>
      <c r="K1" s="33"/>
    </row>
    <row r="2" spans="1:15" s="1" customFormat="1" ht="16.3" thickTop="1">
      <c r="B2" s="27" t="s">
        <v>0</v>
      </c>
      <c r="C2" s="28" t="s">
        <v>1</v>
      </c>
      <c r="D2" s="29" t="s">
        <v>70</v>
      </c>
      <c r="E2" s="27" t="s">
        <v>24</v>
      </c>
      <c r="F2" s="29" t="s">
        <v>30</v>
      </c>
      <c r="G2" s="29" t="s">
        <v>5</v>
      </c>
      <c r="H2" s="28" t="s">
        <v>2</v>
      </c>
      <c r="I2" s="27" t="s">
        <v>0</v>
      </c>
      <c r="J2" s="29" t="s">
        <v>1</v>
      </c>
      <c r="K2" s="28" t="s">
        <v>2</v>
      </c>
    </row>
    <row r="3" spans="1:15">
      <c r="A3" s="1" t="s">
        <v>74</v>
      </c>
      <c r="B3" s="17" t="str">
        <f t="shared" ref="B3:B8" si="0">DEC2HEX(HEX2DEC(C3)-HEX2DEC("6dd000"),8)</f>
        <v>00084990</v>
      </c>
      <c r="C3" s="18" t="s">
        <v>6</v>
      </c>
      <c r="D3" s="3" t="s">
        <v>64</v>
      </c>
      <c r="E3" s="17" t="s">
        <v>82</v>
      </c>
      <c r="F3" s="19" t="s">
        <v>83</v>
      </c>
      <c r="G3" s="2" t="s">
        <v>86</v>
      </c>
      <c r="H3" s="30" t="s">
        <v>84</v>
      </c>
      <c r="I3" s="17"/>
      <c r="J3" s="20"/>
      <c r="K3" s="18" t="s">
        <v>75</v>
      </c>
      <c r="N3" s="2" t="s">
        <v>69</v>
      </c>
      <c r="O3" s="2">
        <v>259</v>
      </c>
    </row>
    <row r="4" spans="1:15" s="37" customFormat="1">
      <c r="A4" s="34"/>
      <c r="B4" s="35"/>
      <c r="C4" s="36"/>
      <c r="E4" s="17" t="s">
        <v>85</v>
      </c>
      <c r="F4" s="19" t="s">
        <v>83</v>
      </c>
      <c r="G4" s="2" t="s">
        <v>7</v>
      </c>
      <c r="H4" s="30" t="s">
        <v>84</v>
      </c>
      <c r="I4" s="35"/>
      <c r="K4" s="41"/>
    </row>
    <row r="5" spans="1:15" s="37" customFormat="1">
      <c r="A5" s="34"/>
      <c r="B5" s="35"/>
      <c r="C5" s="36"/>
      <c r="E5" s="38"/>
      <c r="F5" s="39"/>
      <c r="H5" s="40"/>
      <c r="I5" s="35"/>
      <c r="K5" s="41"/>
    </row>
    <row r="6" spans="1:15" s="37" customFormat="1">
      <c r="A6" s="34"/>
      <c r="B6" s="35"/>
      <c r="C6" s="36"/>
      <c r="E6" s="35"/>
      <c r="F6" s="39"/>
      <c r="H6" s="40"/>
      <c r="I6" s="35"/>
      <c r="K6" s="41"/>
    </row>
    <row r="7" spans="1:15" s="37" customFormat="1">
      <c r="A7" s="34"/>
      <c r="B7" s="35"/>
      <c r="C7" s="36"/>
      <c r="E7" s="35"/>
      <c r="F7" s="39"/>
      <c r="H7" s="40"/>
      <c r="I7" s="35"/>
      <c r="K7" s="41"/>
    </row>
    <row r="8" spans="1:15" s="37" customFormat="1">
      <c r="A8" s="34"/>
      <c r="B8" s="35"/>
      <c r="C8" s="36"/>
      <c r="E8" s="35"/>
      <c r="F8" s="39"/>
      <c r="H8" s="40"/>
      <c r="I8" s="35"/>
      <c r="K8" s="41"/>
    </row>
    <row r="9" spans="1:15" s="37" customFormat="1" ht="16.3" thickBot="1">
      <c r="A9" s="34"/>
      <c r="B9" s="42"/>
      <c r="C9" s="43"/>
      <c r="D9" s="44"/>
      <c r="E9" s="42"/>
      <c r="F9" s="45"/>
      <c r="G9" s="46"/>
      <c r="H9" s="47"/>
      <c r="I9" s="42"/>
      <c r="J9" s="48"/>
      <c r="K9" s="43"/>
    </row>
    <row r="10" spans="1:15" ht="16.3" thickTop="1"/>
    <row r="13" spans="1:15">
      <c r="G13" s="21" t="s">
        <v>33</v>
      </c>
      <c r="K13" s="2" t="s">
        <v>23</v>
      </c>
      <c r="L13" s="2">
        <f>HEX2DEC(K13)</f>
        <v>728</v>
      </c>
    </row>
    <row r="14" spans="1:15">
      <c r="E14" s="22" t="s">
        <v>31</v>
      </c>
      <c r="F14" s="23" t="s">
        <v>32</v>
      </c>
      <c r="G14" s="21" t="s">
        <v>44</v>
      </c>
      <c r="K14" s="2" t="s">
        <v>22</v>
      </c>
      <c r="L14" s="2">
        <f t="shared" ref="L14:L15" si="1">HEX2DEC(K14)</f>
        <v>720</v>
      </c>
    </row>
    <row r="15" spans="1:15">
      <c r="A15" s="1" t="str">
        <f>DEC2HEX(MAX('Custom Relocation Patches'!L:L),8)</f>
        <v>00021D34</v>
      </c>
      <c r="E15" s="24">
        <f>(MAX('Custom Relocation Patches'!L:L)-Data!F6+12)/12</f>
        <v>529</v>
      </c>
      <c r="F15" s="25" t="str">
        <f>DEC2HEX(E15,8)</f>
        <v>00000211</v>
      </c>
      <c r="G15" s="26" t="str">
        <f>MID(F15,7,2)&amp;MID(F15,5,2)&amp;MID(F15,3,2)&amp;MID(F15,1,2)</f>
        <v>11020000</v>
      </c>
      <c r="K15" s="2" t="s">
        <v>27</v>
      </c>
      <c r="L15" s="2">
        <f t="shared" si="1"/>
        <v>63</v>
      </c>
    </row>
    <row r="17" spans="1:15">
      <c r="B17" s="2" t="s">
        <v>32</v>
      </c>
      <c r="C17" s="2" t="s">
        <v>57</v>
      </c>
    </row>
    <row r="18" spans="1:15">
      <c r="A18" s="1" t="s">
        <v>65</v>
      </c>
      <c r="B18" s="2">
        <v>210</v>
      </c>
      <c r="C18" s="2">
        <f>HEX2DEC(B18)</f>
        <v>528</v>
      </c>
      <c r="E18" s="3"/>
      <c r="N18" s="2">
        <f>HEX2DEC(O18)</f>
        <v>234</v>
      </c>
      <c r="O18" s="2" t="s">
        <v>71</v>
      </c>
    </row>
    <row r="19" spans="1:15">
      <c r="A19" s="1" t="s">
        <v>66</v>
      </c>
      <c r="B19" s="31" t="str">
        <f>DEC2HEX(C19,4)</f>
        <v>0001</v>
      </c>
      <c r="C19" s="2">
        <f>E15-C18</f>
        <v>1</v>
      </c>
      <c r="N19" s="2">
        <f>HEX2DEC(O19)</f>
        <v>224</v>
      </c>
      <c r="O19" s="2" t="s">
        <v>72</v>
      </c>
    </row>
    <row r="20" spans="1:15">
      <c r="A20" s="1" t="s">
        <v>67</v>
      </c>
      <c r="C20" s="32">
        <f>C19/E15</f>
        <v>1.890359168241966E-3</v>
      </c>
      <c r="D20" s="32"/>
      <c r="N20" s="2">
        <f>N18-N19</f>
        <v>10</v>
      </c>
    </row>
    <row r="21" spans="1:15">
      <c r="A21" s="1" t="s">
        <v>68</v>
      </c>
      <c r="C21" s="32">
        <f>C19/C18</f>
        <v>1.893939393939394E-3</v>
      </c>
      <c r="D21" s="32"/>
    </row>
  </sheetData>
  <mergeCells count="2">
    <mergeCell ref="B1:H1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9E4D-4C64-4BE9-9F28-9A39B595802F}">
  <dimension ref="A1:S1013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9.0703125" defaultRowHeight="15.9"/>
  <cols>
    <col min="1" max="1" width="21.92578125" style="1" bestFit="1" customWidth="1"/>
    <col min="2" max="2" width="17.2109375" style="1" bestFit="1" customWidth="1"/>
    <col min="3" max="3" width="20.2109375" style="1" bestFit="1" customWidth="1"/>
    <col min="4" max="5" width="11.35546875" style="2" customWidth="1"/>
    <col min="6" max="6" width="11.35546875" style="16" customWidth="1"/>
    <col min="7" max="7" width="28.85546875" style="2" bestFit="1" customWidth="1"/>
    <col min="8" max="8" width="9.140625" style="2" bestFit="1" customWidth="1"/>
    <col min="9" max="9" width="9.42578125" style="2" bestFit="1" customWidth="1"/>
    <col min="10" max="10" width="9.2109375" style="2" bestFit="1" customWidth="1"/>
    <col min="11" max="11" width="9.7109375" style="2" bestFit="1" customWidth="1"/>
    <col min="12" max="12" width="9.140625" style="2" bestFit="1" customWidth="1"/>
    <col min="13" max="14" width="8.92578125" style="2" bestFit="1" customWidth="1"/>
    <col min="15" max="15" width="13.0703125" style="2" bestFit="1" customWidth="1"/>
    <col min="16" max="16" width="14.35546875" style="2" bestFit="1" customWidth="1"/>
    <col min="17" max="16384" width="9.0703125" style="2"/>
  </cols>
  <sheetData>
    <row r="1" spans="1:19">
      <c r="A1" s="1" t="s">
        <v>11</v>
      </c>
      <c r="B1" s="1" t="s">
        <v>12</v>
      </c>
      <c r="C1" s="1" t="s">
        <v>21</v>
      </c>
      <c r="D1" s="1" t="s">
        <v>9</v>
      </c>
      <c r="E1" s="1" t="s">
        <v>29</v>
      </c>
      <c r="F1" s="15" t="s">
        <v>8</v>
      </c>
      <c r="G1" s="1" t="s">
        <v>10</v>
      </c>
      <c r="H1" s="1" t="s">
        <v>28</v>
      </c>
      <c r="I1" s="1" t="s">
        <v>18</v>
      </c>
      <c r="J1" s="1" t="s">
        <v>19</v>
      </c>
      <c r="K1" s="1" t="s">
        <v>20</v>
      </c>
      <c r="L1" s="1" t="s">
        <v>26</v>
      </c>
      <c r="M1" s="1" t="s">
        <v>16</v>
      </c>
      <c r="N1" s="1" t="s">
        <v>17</v>
      </c>
      <c r="O1" s="1" t="s">
        <v>13</v>
      </c>
      <c r="P1" s="1" t="s">
        <v>14</v>
      </c>
      <c r="R1" s="2" t="str">
        <f>DEC2HEX(MAX(L:L)+12,8)</f>
        <v>00021D40</v>
      </c>
      <c r="S1" s="2">
        <f>HEX2DEC(103974)</f>
        <v>1063284</v>
      </c>
    </row>
    <row r="2" spans="1:19">
      <c r="A2" s="1" t="s">
        <v>25</v>
      </c>
      <c r="B2" s="1" t="s">
        <v>81</v>
      </c>
      <c r="D2" s="3" t="s">
        <v>77</v>
      </c>
      <c r="E2" s="3" t="s">
        <v>79</v>
      </c>
      <c r="F2" s="3" t="s">
        <v>80</v>
      </c>
      <c r="G2" s="2" t="str" cm="1">
        <f t="array" ref="G2">_xlfn.CONCAT(IFERROR(I2:K2,""))</f>
        <v>822F000002000000385D0100</v>
      </c>
      <c r="I2" s="2" t="str">
        <f>_xlfn.LET(_xlpm.big,DEC2HEX(_xlfn.BITLSHIFT(M2-_xlfn.XLOOKUP(O2,Data!A:A,Data!F:F),4)+O2,8),_xlfn.CONCAT(MID(_xlpm.big,7,2),MID(_xlpm.big,5,2),MID(_xlpm.big,3,2),MID(_xlpm.big,1,2)))</f>
        <v>822F0000</v>
      </c>
      <c r="J2" s="2" t="str">
        <f t="shared" ref="J2:J65" si="0">_xlfn.CONCAT("02",DEC2HEX(P2,2),"0000")</f>
        <v>02000000</v>
      </c>
      <c r="K2" s="2" t="str">
        <f>_xlfn.LET(_xlpm.big,IF(H2,DEC2HEX(HEX2DEC(F2),8),DEC2HEX(N2-_xlfn.XLOOKUP(P2,Data!A:A,Data!F:F),8)),_xlfn.CONCAT(MID(_xlpm.big,7,2),MID(_xlpm.big,5,2),MID(_xlpm.big,3,2),MID(_xlpm.big,1,2)))</f>
        <v>385D0100</v>
      </c>
      <c r="L2" s="2">
        <f t="shared" ref="L2:L65" si="1">HEX2DEC(D2)</f>
        <v>138548</v>
      </c>
      <c r="M2" s="2">
        <f t="shared" ref="M2:M65" si="2">HEX2DEC(E2)</f>
        <v>143404</v>
      </c>
      <c r="N2" s="2">
        <f t="shared" ref="N2:N65" si="3">HEX2DEC(F2)</f>
        <v>89784</v>
      </c>
      <c r="O2" s="2" cm="1">
        <f t="array" ref="O2">_xlfn.IFS(M2&lt;Data!$F$3,0,M2&lt;Data!$F$4,1,TRUE,2)</f>
        <v>2</v>
      </c>
      <c r="P2" s="2" cm="1">
        <f t="array" ref="P2">_xlfn.IFS(H2,3,N2&lt;Data!$F$3,0,N2&lt;Data!$F$4,1,TRUE,2)</f>
        <v>0</v>
      </c>
    </row>
    <row r="3" spans="1:19">
      <c r="D3" s="3"/>
      <c r="E3" s="3"/>
      <c r="F3" s="3"/>
      <c r="G3" s="2" t="str" cm="1">
        <f t="array" ref="G3">_xlfn.CONCAT(IFERROR(I3:K3,""))</f>
        <v>02000000FEFFFFFF</v>
      </c>
      <c r="I3" s="2" t="e">
        <f>_xlfn.LET(_xlpm.big,DEC2HEX(_xlfn.BITLSHIFT(M3-_xlfn.XLOOKUP(O3,Data!A:A,Data!F:F),4)+O3,8),_xlfn.CONCAT(MID(_xlpm.big,7,2),MID(_xlpm.big,5,2),MID(_xlpm.big,3,2),MID(_xlpm.big,1,2)))</f>
        <v>#NUM!</v>
      </c>
      <c r="J3" s="2" t="str">
        <f t="shared" si="0"/>
        <v>02000000</v>
      </c>
      <c r="K3" s="2" t="str">
        <f>_xlfn.LET(_xlpm.big,IF(H3,DEC2HEX(HEX2DEC(F3),8),DEC2HEX(N3-_xlfn.XLOOKUP(P3,Data!A:A,Data!F:F),8)),_xlfn.CONCAT(MID(_xlpm.big,7,2),MID(_xlpm.big,5,2),MID(_xlpm.big,3,2),MID(_xlpm.big,1,2)))</f>
        <v>FEFFFFFF</v>
      </c>
      <c r="L3" s="2">
        <f t="shared" si="1"/>
        <v>0</v>
      </c>
      <c r="M3" s="2">
        <f t="shared" si="2"/>
        <v>0</v>
      </c>
      <c r="N3" s="2">
        <f t="shared" si="3"/>
        <v>0</v>
      </c>
      <c r="O3" s="2" cm="1">
        <f t="array" ref="O3">_xlfn.IFS(M3&lt;Data!$F$3,0,M3&lt;Data!$F$4,1,TRUE,2)</f>
        <v>0</v>
      </c>
      <c r="P3" s="2" cm="1">
        <f t="array" ref="P3">_xlfn.IFS(H3,3,N3&lt;Data!$F$3,0,N3&lt;Data!$F$4,1,TRUE,2)</f>
        <v>0</v>
      </c>
    </row>
    <row r="4" spans="1:19">
      <c r="D4" s="3"/>
      <c r="E4" s="3"/>
      <c r="F4" s="3"/>
      <c r="G4" s="2" t="str" cm="1">
        <f t="array" ref="G4">_xlfn.CONCAT(IFERROR(I4:K4,""))</f>
        <v>02000000FEFFFFFF</v>
      </c>
      <c r="I4" s="2" t="e">
        <f>_xlfn.LET(_xlpm.big,DEC2HEX(_xlfn.BITLSHIFT(M4-_xlfn.XLOOKUP(O4,Data!A:A,Data!F:F),4)+O4,8),_xlfn.CONCAT(MID(_xlpm.big,7,2),MID(_xlpm.big,5,2),MID(_xlpm.big,3,2),MID(_xlpm.big,1,2)))</f>
        <v>#NUM!</v>
      </c>
      <c r="J4" s="2" t="str">
        <f t="shared" si="0"/>
        <v>02000000</v>
      </c>
      <c r="K4" s="2" t="str">
        <f>_xlfn.LET(_xlpm.big,IF(H4,DEC2HEX(HEX2DEC(F4),8),DEC2HEX(N4-_xlfn.XLOOKUP(P4,Data!A:A,Data!F:F),8)),_xlfn.CONCAT(MID(_xlpm.big,7,2),MID(_xlpm.big,5,2),MID(_xlpm.big,3,2),MID(_xlpm.big,1,2)))</f>
        <v>FEFFFFFF</v>
      </c>
      <c r="L4" s="2">
        <f t="shared" si="1"/>
        <v>0</v>
      </c>
      <c r="M4" s="2">
        <f t="shared" si="2"/>
        <v>0</v>
      </c>
      <c r="N4" s="2">
        <f t="shared" si="3"/>
        <v>0</v>
      </c>
      <c r="O4" s="2" cm="1">
        <f t="array" ref="O4">_xlfn.IFS(M4&lt;Data!$F$3,0,M4&lt;Data!$F$4,1,TRUE,2)</f>
        <v>0</v>
      </c>
      <c r="P4" s="2" cm="1">
        <f t="array" ref="P4">_xlfn.IFS(H4,3,N4&lt;Data!$F$3,0,N4&lt;Data!$F$4,1,TRUE,2)</f>
        <v>0</v>
      </c>
    </row>
    <row r="5" spans="1:19">
      <c r="D5" s="3"/>
      <c r="E5" s="3"/>
      <c r="F5" s="3"/>
      <c r="G5" s="2" t="str" cm="1">
        <f t="array" ref="G5">_xlfn.CONCAT(IFERROR(I5:K5,""))</f>
        <v>02000000FEFFFFFF</v>
      </c>
      <c r="I5" s="2" t="e">
        <f>_xlfn.LET(_xlpm.big,DEC2HEX(_xlfn.BITLSHIFT(M5-_xlfn.XLOOKUP(O5,Data!A:A,Data!F:F),4)+O5,8),_xlfn.CONCAT(MID(_xlpm.big,7,2),MID(_xlpm.big,5,2),MID(_xlpm.big,3,2),MID(_xlpm.big,1,2)))</f>
        <v>#NUM!</v>
      </c>
      <c r="J5" s="2" t="str">
        <f t="shared" si="0"/>
        <v>02000000</v>
      </c>
      <c r="K5" s="2" t="str">
        <f>_xlfn.LET(_xlpm.big,IF(H5,DEC2HEX(HEX2DEC(F5),8),DEC2HEX(N5-_xlfn.XLOOKUP(P5,Data!A:A,Data!F:F),8)),_xlfn.CONCAT(MID(_xlpm.big,7,2),MID(_xlpm.big,5,2),MID(_xlpm.big,3,2),MID(_xlpm.big,1,2)))</f>
        <v>FEFFFFFF</v>
      </c>
      <c r="L5" s="2">
        <f t="shared" si="1"/>
        <v>0</v>
      </c>
      <c r="M5" s="2">
        <f t="shared" si="2"/>
        <v>0</v>
      </c>
      <c r="N5" s="2">
        <f t="shared" si="3"/>
        <v>0</v>
      </c>
      <c r="O5" s="2" cm="1">
        <f t="array" ref="O5">_xlfn.IFS(M5&lt;Data!$F$3,0,M5&lt;Data!$F$4,1,TRUE,2)</f>
        <v>0</v>
      </c>
      <c r="P5" s="2" cm="1">
        <f t="array" ref="P5">_xlfn.IFS(H5,3,N5&lt;Data!$F$3,0,N5&lt;Data!$F$4,1,TRUE,2)</f>
        <v>0</v>
      </c>
    </row>
    <row r="6" spans="1:19">
      <c r="F6" s="3"/>
      <c r="G6" s="2" t="str" cm="1">
        <f t="array" ref="G6">_xlfn.CONCAT(IFERROR(I6:K6,""))</f>
        <v>02000000FEFFFFFF</v>
      </c>
      <c r="I6" s="2" t="e">
        <f>_xlfn.LET(_xlpm.big,DEC2HEX(_xlfn.BITLSHIFT(M6-_xlfn.XLOOKUP(O6,Data!A:A,Data!F:F),4)+O6,8),_xlfn.CONCAT(MID(_xlpm.big,7,2),MID(_xlpm.big,5,2),MID(_xlpm.big,3,2),MID(_xlpm.big,1,2)))</f>
        <v>#NUM!</v>
      </c>
      <c r="J6" s="2" t="str">
        <f t="shared" si="0"/>
        <v>02000000</v>
      </c>
      <c r="K6" s="2" t="str">
        <f>_xlfn.LET(_xlpm.big,IF(H6,DEC2HEX(HEX2DEC(F6),8),DEC2HEX(N6-_xlfn.XLOOKUP(P6,Data!A:A,Data!F:F),8)),_xlfn.CONCAT(MID(_xlpm.big,7,2),MID(_xlpm.big,5,2),MID(_xlpm.big,3,2),MID(_xlpm.big,1,2)))</f>
        <v>FEFFFFFF</v>
      </c>
      <c r="L6" s="2">
        <f t="shared" si="1"/>
        <v>0</v>
      </c>
      <c r="M6" s="2">
        <f t="shared" si="2"/>
        <v>0</v>
      </c>
      <c r="N6" s="2">
        <f t="shared" si="3"/>
        <v>0</v>
      </c>
      <c r="O6" s="2" cm="1">
        <f t="array" ref="O6">_xlfn.IFS(M6&lt;Data!$F$3,0,M6&lt;Data!$F$4,1,TRUE,2)</f>
        <v>0</v>
      </c>
      <c r="P6" s="2" cm="1">
        <f t="array" ref="P6">_xlfn.IFS(H6,3,N6&lt;Data!$F$3,0,N6&lt;Data!$F$4,1,TRUE,2)</f>
        <v>0</v>
      </c>
    </row>
    <row r="7" spans="1:19">
      <c r="F7" s="3"/>
      <c r="G7" s="2" t="str" cm="1">
        <f t="array" ref="G7">_xlfn.CONCAT(IFERROR(I7:K7,""))</f>
        <v>02000000FEFFFFFF</v>
      </c>
      <c r="I7" s="2" t="e">
        <f>_xlfn.LET(_xlpm.big,DEC2HEX(_xlfn.BITLSHIFT(M7-_xlfn.XLOOKUP(O7,Data!A:A,Data!F:F),4)+O7,8),_xlfn.CONCAT(MID(_xlpm.big,7,2),MID(_xlpm.big,5,2),MID(_xlpm.big,3,2),MID(_xlpm.big,1,2)))</f>
        <v>#NUM!</v>
      </c>
      <c r="J7" s="2" t="str">
        <f t="shared" si="0"/>
        <v>02000000</v>
      </c>
      <c r="K7" s="2" t="str">
        <f>_xlfn.LET(_xlpm.big,IF(H7,DEC2HEX(HEX2DEC(F7),8),DEC2HEX(N7-_xlfn.XLOOKUP(P7,Data!A:A,Data!F:F),8)),_xlfn.CONCAT(MID(_xlpm.big,7,2),MID(_xlpm.big,5,2),MID(_xlpm.big,3,2),MID(_xlpm.big,1,2)))</f>
        <v>FEFFFFFF</v>
      </c>
      <c r="L7" s="2">
        <f t="shared" si="1"/>
        <v>0</v>
      </c>
      <c r="M7" s="2">
        <f t="shared" si="2"/>
        <v>0</v>
      </c>
      <c r="N7" s="2">
        <f t="shared" si="3"/>
        <v>0</v>
      </c>
      <c r="O7" s="2" cm="1">
        <f t="array" ref="O7">_xlfn.IFS(M7&lt;Data!$F$3,0,M7&lt;Data!$F$4,1,TRUE,2)</f>
        <v>0</v>
      </c>
      <c r="P7" s="2" cm="1">
        <f t="array" ref="P7">_xlfn.IFS(H7,3,N7&lt;Data!$F$3,0,N7&lt;Data!$F$4,1,TRUE,2)</f>
        <v>0</v>
      </c>
    </row>
    <row r="8" spans="1:19">
      <c r="D8" s="3"/>
      <c r="E8" s="3"/>
      <c r="F8" s="3"/>
      <c r="G8" s="2" t="str" cm="1">
        <f t="array" ref="G8">_xlfn.CONCAT(IFERROR(I8:K8,""))</f>
        <v>02000000FEFFFFFF</v>
      </c>
      <c r="I8" s="2" t="e">
        <f>_xlfn.LET(_xlpm.big,DEC2HEX(_xlfn.BITLSHIFT(M8-_xlfn.XLOOKUP(O8,Data!A:A,Data!F:F),4)+O8,8),_xlfn.CONCAT(MID(_xlpm.big,7,2),MID(_xlpm.big,5,2),MID(_xlpm.big,3,2),MID(_xlpm.big,1,2)))</f>
        <v>#NUM!</v>
      </c>
      <c r="J8" s="2" t="str">
        <f t="shared" si="0"/>
        <v>02000000</v>
      </c>
      <c r="K8" s="2" t="str">
        <f>_xlfn.LET(_xlpm.big,IF(H8,DEC2HEX(HEX2DEC(F8),8),DEC2HEX(N8-_xlfn.XLOOKUP(P8,Data!A:A,Data!F:F),8)),_xlfn.CONCAT(MID(_xlpm.big,7,2),MID(_xlpm.big,5,2),MID(_xlpm.big,3,2),MID(_xlpm.big,1,2)))</f>
        <v>FEFFFFFF</v>
      </c>
      <c r="L8" s="2">
        <f t="shared" si="1"/>
        <v>0</v>
      </c>
      <c r="M8" s="2">
        <f t="shared" si="2"/>
        <v>0</v>
      </c>
      <c r="N8" s="2">
        <f t="shared" si="3"/>
        <v>0</v>
      </c>
      <c r="O8" s="2" cm="1">
        <f t="array" ref="O8">_xlfn.IFS(M8&lt;Data!$F$3,0,M8&lt;Data!$F$4,1,TRUE,2)</f>
        <v>0</v>
      </c>
      <c r="P8" s="2" cm="1">
        <f t="array" ref="P8">_xlfn.IFS(H8,3,N8&lt;Data!$F$3,0,N8&lt;Data!$F$4,1,TRUE,2)</f>
        <v>0</v>
      </c>
    </row>
    <row r="9" spans="1:19">
      <c r="D9" s="3"/>
      <c r="E9" s="3"/>
      <c r="F9" s="3"/>
      <c r="G9" s="2" t="str" cm="1">
        <f t="array" ref="G9">_xlfn.CONCAT(IFERROR(I9:K9,""))</f>
        <v>02000000FEFFFFFF</v>
      </c>
      <c r="I9" s="2" t="e">
        <f>_xlfn.LET(_xlpm.big,DEC2HEX(_xlfn.BITLSHIFT(M9-_xlfn.XLOOKUP(O9,Data!A:A,Data!F:F),4)+O9,8),_xlfn.CONCAT(MID(_xlpm.big,7,2),MID(_xlpm.big,5,2),MID(_xlpm.big,3,2),MID(_xlpm.big,1,2)))</f>
        <v>#NUM!</v>
      </c>
      <c r="J9" s="2" t="str">
        <f t="shared" si="0"/>
        <v>02000000</v>
      </c>
      <c r="K9" s="2" t="str">
        <f>_xlfn.LET(_xlpm.big,IF(H9,DEC2HEX(HEX2DEC(F9),8),DEC2HEX(N9-_xlfn.XLOOKUP(P9,Data!A:A,Data!F:F),8)),_xlfn.CONCAT(MID(_xlpm.big,7,2),MID(_xlpm.big,5,2),MID(_xlpm.big,3,2),MID(_xlpm.big,1,2)))</f>
        <v>FEFFFFFF</v>
      </c>
      <c r="L9" s="2">
        <f t="shared" si="1"/>
        <v>0</v>
      </c>
      <c r="M9" s="2">
        <f t="shared" si="2"/>
        <v>0</v>
      </c>
      <c r="N9" s="2">
        <f t="shared" si="3"/>
        <v>0</v>
      </c>
      <c r="O9" s="2" cm="1">
        <f t="array" ref="O9">_xlfn.IFS(M9&lt;Data!$F$3,0,M9&lt;Data!$F$4,1,TRUE,2)</f>
        <v>0</v>
      </c>
      <c r="P9" s="2" cm="1">
        <f t="array" ref="P9">_xlfn.IFS(H9,3,N9&lt;Data!$F$3,0,N9&lt;Data!$F$4,1,TRUE,2)</f>
        <v>0</v>
      </c>
    </row>
    <row r="10" spans="1:19">
      <c r="D10" s="3"/>
      <c r="E10" s="3"/>
      <c r="F10" s="3"/>
      <c r="G10" s="2" t="str" cm="1">
        <f t="array" ref="G10">_xlfn.CONCAT(IFERROR(I10:K10,""))</f>
        <v>02000000FEFFFFFF</v>
      </c>
      <c r="I10" s="2" t="e">
        <f>_xlfn.LET(_xlpm.big,DEC2HEX(_xlfn.BITLSHIFT(M10-_xlfn.XLOOKUP(O10,Data!A:A,Data!F:F),4)+O10,8),_xlfn.CONCAT(MID(_xlpm.big,7,2),MID(_xlpm.big,5,2),MID(_xlpm.big,3,2),MID(_xlpm.big,1,2)))</f>
        <v>#NUM!</v>
      </c>
      <c r="J10" s="2" t="str">
        <f t="shared" si="0"/>
        <v>02000000</v>
      </c>
      <c r="K10" s="2" t="str">
        <f>_xlfn.LET(_xlpm.big,IF(H10,DEC2HEX(HEX2DEC(F10),8),DEC2HEX(N10-_xlfn.XLOOKUP(P10,Data!A:A,Data!F:F),8)),_xlfn.CONCAT(MID(_xlpm.big,7,2),MID(_xlpm.big,5,2),MID(_xlpm.big,3,2),MID(_xlpm.big,1,2)))</f>
        <v>FEFFFFFF</v>
      </c>
      <c r="L10" s="2">
        <f t="shared" si="1"/>
        <v>0</v>
      </c>
      <c r="M10" s="2">
        <f t="shared" si="2"/>
        <v>0</v>
      </c>
      <c r="N10" s="2">
        <f t="shared" si="3"/>
        <v>0</v>
      </c>
      <c r="O10" s="2" cm="1">
        <f t="array" ref="O10">_xlfn.IFS(M10&lt;Data!$F$3,0,M10&lt;Data!$F$4,1,TRUE,2)</f>
        <v>0</v>
      </c>
      <c r="P10" s="2" cm="1">
        <f t="array" ref="P10">_xlfn.IFS(H10,3,N10&lt;Data!$F$3,0,N10&lt;Data!$F$4,1,TRUE,2)</f>
        <v>0</v>
      </c>
    </row>
    <row r="11" spans="1:19">
      <c r="D11" s="3"/>
      <c r="E11" s="3"/>
      <c r="F11" s="3"/>
      <c r="G11" s="2" t="str" cm="1">
        <f t="array" ref="G11">_xlfn.CONCAT(IFERROR(I11:K11,""))</f>
        <v>02000000FEFFFFFF</v>
      </c>
      <c r="I11" s="2" t="e">
        <f>_xlfn.LET(_xlpm.big,DEC2HEX(_xlfn.BITLSHIFT(M11-_xlfn.XLOOKUP(O11,Data!A:A,Data!F:F),4)+O11,8),_xlfn.CONCAT(MID(_xlpm.big,7,2),MID(_xlpm.big,5,2),MID(_xlpm.big,3,2),MID(_xlpm.big,1,2)))</f>
        <v>#NUM!</v>
      </c>
      <c r="J11" s="2" t="str">
        <f t="shared" si="0"/>
        <v>02000000</v>
      </c>
      <c r="K11" s="2" t="str">
        <f>_xlfn.LET(_xlpm.big,IF(H11,DEC2HEX(HEX2DEC(F11),8),DEC2HEX(N11-_xlfn.XLOOKUP(P11,Data!A:A,Data!F:F),8)),_xlfn.CONCAT(MID(_xlpm.big,7,2),MID(_xlpm.big,5,2),MID(_xlpm.big,3,2),MID(_xlpm.big,1,2)))</f>
        <v>FEFFFFFF</v>
      </c>
      <c r="L11" s="2">
        <f t="shared" si="1"/>
        <v>0</v>
      </c>
      <c r="M11" s="2">
        <f t="shared" si="2"/>
        <v>0</v>
      </c>
      <c r="N11" s="2">
        <f t="shared" si="3"/>
        <v>0</v>
      </c>
      <c r="O11" s="2" cm="1">
        <f t="array" ref="O11">_xlfn.IFS(M11&lt;Data!$F$3,0,M11&lt;Data!$F$4,1,TRUE,2)</f>
        <v>0</v>
      </c>
      <c r="P11" s="2" cm="1">
        <f t="array" ref="P11">_xlfn.IFS(H11,3,N11&lt;Data!$F$3,0,N11&lt;Data!$F$4,1,TRUE,2)</f>
        <v>0</v>
      </c>
    </row>
    <row r="12" spans="1:19">
      <c r="D12" s="3"/>
      <c r="E12" s="3"/>
      <c r="F12" s="3"/>
      <c r="G12" s="2" t="str" cm="1">
        <f t="array" ref="G12">_xlfn.CONCAT(IFERROR(I12:K12,""))</f>
        <v>02000000FEFFFFFF</v>
      </c>
      <c r="I12" s="2" t="e">
        <f>_xlfn.LET(_xlpm.big,DEC2HEX(_xlfn.BITLSHIFT(M12-_xlfn.XLOOKUP(O12,Data!A:A,Data!F:F),4)+O12,8),_xlfn.CONCAT(MID(_xlpm.big,7,2),MID(_xlpm.big,5,2),MID(_xlpm.big,3,2),MID(_xlpm.big,1,2)))</f>
        <v>#NUM!</v>
      </c>
      <c r="J12" s="2" t="str">
        <f t="shared" si="0"/>
        <v>02000000</v>
      </c>
      <c r="K12" s="2" t="str">
        <f>_xlfn.LET(_xlpm.big,IF(H12,DEC2HEX(HEX2DEC(F12),8),DEC2HEX(N12-_xlfn.XLOOKUP(P12,Data!A:A,Data!F:F),8)),_xlfn.CONCAT(MID(_xlpm.big,7,2),MID(_xlpm.big,5,2),MID(_xlpm.big,3,2),MID(_xlpm.big,1,2)))</f>
        <v>FEFFFFFF</v>
      </c>
      <c r="L12" s="2">
        <f t="shared" si="1"/>
        <v>0</v>
      </c>
      <c r="M12" s="2">
        <f t="shared" si="2"/>
        <v>0</v>
      </c>
      <c r="N12" s="2">
        <f t="shared" si="3"/>
        <v>0</v>
      </c>
      <c r="O12" s="2" cm="1">
        <f t="array" ref="O12">_xlfn.IFS(M12&lt;Data!$F$3,0,M12&lt;Data!$F$4,1,TRUE,2)</f>
        <v>0</v>
      </c>
      <c r="P12" s="2" cm="1">
        <f t="array" ref="P12">_xlfn.IFS(H12,3,N12&lt;Data!$F$3,0,N12&lt;Data!$F$4,1,TRUE,2)</f>
        <v>0</v>
      </c>
    </row>
    <row r="13" spans="1:19">
      <c r="D13" s="3"/>
      <c r="E13" s="3"/>
      <c r="F13" s="3"/>
      <c r="G13" s="2" t="str" cm="1">
        <f t="array" ref="G13">_xlfn.CONCAT(IFERROR(I13:K13,""))</f>
        <v>02000000FEFFFFFF</v>
      </c>
      <c r="I13" s="2" t="e">
        <f>_xlfn.LET(_xlpm.big,DEC2HEX(_xlfn.BITLSHIFT(M13-_xlfn.XLOOKUP(O13,Data!A:A,Data!F:F),4)+O13,8),_xlfn.CONCAT(MID(_xlpm.big,7,2),MID(_xlpm.big,5,2),MID(_xlpm.big,3,2),MID(_xlpm.big,1,2)))</f>
        <v>#NUM!</v>
      </c>
      <c r="J13" s="2" t="str">
        <f t="shared" si="0"/>
        <v>02000000</v>
      </c>
      <c r="K13" s="2" t="str">
        <f>_xlfn.LET(_xlpm.big,IF(H13,DEC2HEX(HEX2DEC(F13),8),DEC2HEX(N13-_xlfn.XLOOKUP(P13,Data!A:A,Data!F:F),8)),_xlfn.CONCAT(MID(_xlpm.big,7,2),MID(_xlpm.big,5,2),MID(_xlpm.big,3,2),MID(_xlpm.big,1,2)))</f>
        <v>FEFFFFFF</v>
      </c>
      <c r="L13" s="2">
        <f t="shared" si="1"/>
        <v>0</v>
      </c>
      <c r="M13" s="2">
        <f t="shared" si="2"/>
        <v>0</v>
      </c>
      <c r="N13" s="2">
        <f t="shared" si="3"/>
        <v>0</v>
      </c>
      <c r="O13" s="2" cm="1">
        <f t="array" ref="O13">_xlfn.IFS(M13&lt;Data!$F$3,0,M13&lt;Data!$F$4,1,TRUE,2)</f>
        <v>0</v>
      </c>
      <c r="P13" s="2" cm="1">
        <f t="array" ref="P13">_xlfn.IFS(H13,3,N13&lt;Data!$F$3,0,N13&lt;Data!$F$4,1,TRUE,2)</f>
        <v>0</v>
      </c>
    </row>
    <row r="14" spans="1:19">
      <c r="D14" s="3"/>
      <c r="E14" s="3"/>
      <c r="F14" s="3"/>
      <c r="G14" s="2" t="str" cm="1">
        <f t="array" ref="G14">_xlfn.CONCAT(IFERROR(I14:K14,""))</f>
        <v>02000000FEFFFFFF</v>
      </c>
      <c r="I14" s="2" t="e">
        <f>_xlfn.LET(_xlpm.big,DEC2HEX(_xlfn.BITLSHIFT(M14-_xlfn.XLOOKUP(O14,Data!A:A,Data!F:F),4)+O14,8),_xlfn.CONCAT(MID(_xlpm.big,7,2),MID(_xlpm.big,5,2),MID(_xlpm.big,3,2),MID(_xlpm.big,1,2)))</f>
        <v>#NUM!</v>
      </c>
      <c r="J14" s="2" t="str">
        <f t="shared" si="0"/>
        <v>02000000</v>
      </c>
      <c r="K14" s="2" t="str">
        <f>_xlfn.LET(_xlpm.big,IF(H14,DEC2HEX(HEX2DEC(F14),8),DEC2HEX(N14-_xlfn.XLOOKUP(P14,Data!A:A,Data!F:F),8)),_xlfn.CONCAT(MID(_xlpm.big,7,2),MID(_xlpm.big,5,2),MID(_xlpm.big,3,2),MID(_xlpm.big,1,2)))</f>
        <v>FEFFFFFF</v>
      </c>
      <c r="L14" s="2">
        <f t="shared" si="1"/>
        <v>0</v>
      </c>
      <c r="M14" s="2">
        <f t="shared" si="2"/>
        <v>0</v>
      </c>
      <c r="N14" s="2">
        <f t="shared" si="3"/>
        <v>0</v>
      </c>
      <c r="O14" s="2" cm="1">
        <f t="array" ref="O14">_xlfn.IFS(M14&lt;Data!$F$3,0,M14&lt;Data!$F$4,1,TRUE,2)</f>
        <v>0</v>
      </c>
      <c r="P14" s="2" cm="1">
        <f t="array" ref="P14">_xlfn.IFS(H14,3,N14&lt;Data!$F$3,0,N14&lt;Data!$F$4,1,TRUE,2)</f>
        <v>0</v>
      </c>
    </row>
    <row r="15" spans="1:19">
      <c r="D15" s="3"/>
      <c r="E15" s="3"/>
      <c r="F15" s="3"/>
      <c r="G15" s="2" t="str" cm="1">
        <f t="array" ref="G15">_xlfn.CONCAT(IFERROR(I15:K15,""))</f>
        <v>02000000FEFFFFFF</v>
      </c>
      <c r="I15" s="2" t="e">
        <f>_xlfn.LET(_xlpm.big,DEC2HEX(_xlfn.BITLSHIFT(M15-_xlfn.XLOOKUP(O15,Data!A:A,Data!F:F),4)+O15,8),_xlfn.CONCAT(MID(_xlpm.big,7,2),MID(_xlpm.big,5,2),MID(_xlpm.big,3,2),MID(_xlpm.big,1,2)))</f>
        <v>#NUM!</v>
      </c>
      <c r="J15" s="2" t="str">
        <f t="shared" si="0"/>
        <v>02000000</v>
      </c>
      <c r="K15" s="2" t="str">
        <f>_xlfn.LET(_xlpm.big,IF(H15,DEC2HEX(HEX2DEC(F15),8),DEC2HEX(N15-_xlfn.XLOOKUP(P15,Data!A:A,Data!F:F),8)),_xlfn.CONCAT(MID(_xlpm.big,7,2),MID(_xlpm.big,5,2),MID(_xlpm.big,3,2),MID(_xlpm.big,1,2)))</f>
        <v>FEFFFFFF</v>
      </c>
      <c r="L15" s="2">
        <f t="shared" si="1"/>
        <v>0</v>
      </c>
      <c r="M15" s="2">
        <f t="shared" si="2"/>
        <v>0</v>
      </c>
      <c r="N15" s="2">
        <f t="shared" si="3"/>
        <v>0</v>
      </c>
      <c r="O15" s="2" cm="1">
        <f t="array" ref="O15">_xlfn.IFS(M15&lt;Data!$F$3,0,M15&lt;Data!$F$4,1,TRUE,2)</f>
        <v>0</v>
      </c>
      <c r="P15" s="2" cm="1">
        <f t="array" ref="P15">_xlfn.IFS(H15,3,N15&lt;Data!$F$3,0,N15&lt;Data!$F$4,1,TRUE,2)</f>
        <v>0</v>
      </c>
    </row>
    <row r="16" spans="1:19">
      <c r="D16" s="3"/>
      <c r="E16" s="3"/>
      <c r="F16" s="3"/>
      <c r="G16" s="2" t="str" cm="1">
        <f t="array" ref="G16">_xlfn.CONCAT(IFERROR(I16:K16,""))</f>
        <v>02000000FEFFFFFF</v>
      </c>
      <c r="I16" s="2" t="e">
        <f>_xlfn.LET(_xlpm.big,DEC2HEX(_xlfn.BITLSHIFT(M16-_xlfn.XLOOKUP(O16,Data!A:A,Data!F:F),4)+O16,8),_xlfn.CONCAT(MID(_xlpm.big,7,2),MID(_xlpm.big,5,2),MID(_xlpm.big,3,2),MID(_xlpm.big,1,2)))</f>
        <v>#NUM!</v>
      </c>
      <c r="J16" s="2" t="str">
        <f t="shared" si="0"/>
        <v>02000000</v>
      </c>
      <c r="K16" s="2" t="str">
        <f>_xlfn.LET(_xlpm.big,IF(H16,DEC2HEX(HEX2DEC(F16),8),DEC2HEX(N16-_xlfn.XLOOKUP(P16,Data!A:A,Data!F:F),8)),_xlfn.CONCAT(MID(_xlpm.big,7,2),MID(_xlpm.big,5,2),MID(_xlpm.big,3,2),MID(_xlpm.big,1,2)))</f>
        <v>FEFFFFFF</v>
      </c>
      <c r="L16" s="2">
        <f t="shared" si="1"/>
        <v>0</v>
      </c>
      <c r="M16" s="2">
        <f t="shared" si="2"/>
        <v>0</v>
      </c>
      <c r="N16" s="2">
        <f t="shared" si="3"/>
        <v>0</v>
      </c>
      <c r="O16" s="2" cm="1">
        <f t="array" ref="O16">_xlfn.IFS(M16&lt;Data!$F$3,0,M16&lt;Data!$F$4,1,TRUE,2)</f>
        <v>0</v>
      </c>
      <c r="P16" s="2" cm="1">
        <f t="array" ref="P16">_xlfn.IFS(H16,3,N16&lt;Data!$F$3,0,N16&lt;Data!$F$4,1,TRUE,2)</f>
        <v>0</v>
      </c>
    </row>
    <row r="17" spans="4:16">
      <c r="D17" s="3"/>
      <c r="E17" s="3"/>
      <c r="F17" s="3"/>
      <c r="G17" s="2" t="str" cm="1">
        <f t="array" ref="G17">_xlfn.CONCAT(IFERROR(I17:K17,""))</f>
        <v>02000000FEFFFFFF</v>
      </c>
      <c r="I17" s="2" t="e">
        <f>_xlfn.LET(_xlpm.big,DEC2HEX(_xlfn.BITLSHIFT(M17-_xlfn.XLOOKUP(O17,Data!A:A,Data!F:F),4)+O17,8),_xlfn.CONCAT(MID(_xlpm.big,7,2),MID(_xlpm.big,5,2),MID(_xlpm.big,3,2),MID(_xlpm.big,1,2)))</f>
        <v>#NUM!</v>
      </c>
      <c r="J17" s="2" t="str">
        <f t="shared" si="0"/>
        <v>02000000</v>
      </c>
      <c r="K17" s="2" t="str">
        <f>_xlfn.LET(_xlpm.big,IF(H17,DEC2HEX(HEX2DEC(F17),8),DEC2HEX(N17-_xlfn.XLOOKUP(P17,Data!A:A,Data!F:F),8)),_xlfn.CONCAT(MID(_xlpm.big,7,2),MID(_xlpm.big,5,2),MID(_xlpm.big,3,2),MID(_xlpm.big,1,2)))</f>
        <v>FEFFFFFF</v>
      </c>
      <c r="L17" s="2">
        <f t="shared" si="1"/>
        <v>0</v>
      </c>
      <c r="M17" s="2">
        <f t="shared" si="2"/>
        <v>0</v>
      </c>
      <c r="N17" s="2">
        <f t="shared" si="3"/>
        <v>0</v>
      </c>
      <c r="O17" s="2" cm="1">
        <f t="array" ref="O17">_xlfn.IFS(M17&lt;Data!$F$3,0,M17&lt;Data!$F$4,1,TRUE,2)</f>
        <v>0</v>
      </c>
      <c r="P17" s="2" cm="1">
        <f t="array" ref="P17">_xlfn.IFS(H17,3,N17&lt;Data!$F$3,0,N17&lt;Data!$F$4,1,TRUE,2)</f>
        <v>0</v>
      </c>
    </row>
    <row r="18" spans="4:16">
      <c r="D18" s="3"/>
      <c r="E18" s="3"/>
      <c r="F18" s="3"/>
      <c r="G18" s="2" t="str" cm="1">
        <f t="array" ref="G18">_xlfn.CONCAT(IFERROR(I18:K18,""))</f>
        <v>02000000FEFFFFFF</v>
      </c>
      <c r="I18" s="2" t="e">
        <f>_xlfn.LET(_xlpm.big,DEC2HEX(_xlfn.BITLSHIFT(M18-_xlfn.XLOOKUP(O18,Data!A:A,Data!F:F),4)+O18,8),_xlfn.CONCAT(MID(_xlpm.big,7,2),MID(_xlpm.big,5,2),MID(_xlpm.big,3,2),MID(_xlpm.big,1,2)))</f>
        <v>#NUM!</v>
      </c>
      <c r="J18" s="2" t="str">
        <f t="shared" si="0"/>
        <v>02000000</v>
      </c>
      <c r="K18" s="2" t="str">
        <f>_xlfn.LET(_xlpm.big,IF(H18,DEC2HEX(HEX2DEC(F18),8),DEC2HEX(N18-_xlfn.XLOOKUP(P18,Data!A:A,Data!F:F),8)),_xlfn.CONCAT(MID(_xlpm.big,7,2),MID(_xlpm.big,5,2),MID(_xlpm.big,3,2),MID(_xlpm.big,1,2)))</f>
        <v>FEFFFFFF</v>
      </c>
      <c r="L18" s="2">
        <f t="shared" si="1"/>
        <v>0</v>
      </c>
      <c r="M18" s="2">
        <f t="shared" si="2"/>
        <v>0</v>
      </c>
      <c r="N18" s="2">
        <f t="shared" si="3"/>
        <v>0</v>
      </c>
      <c r="O18" s="2" cm="1">
        <f t="array" ref="O18">_xlfn.IFS(M18&lt;Data!$F$3,0,M18&lt;Data!$F$4,1,TRUE,2)</f>
        <v>0</v>
      </c>
      <c r="P18" s="2" cm="1">
        <f t="array" ref="P18">_xlfn.IFS(H18,3,N18&lt;Data!$F$3,0,N18&lt;Data!$F$4,1,TRUE,2)</f>
        <v>0</v>
      </c>
    </row>
    <row r="19" spans="4:16">
      <c r="D19" s="3"/>
      <c r="E19" s="3"/>
      <c r="F19" s="3"/>
      <c r="G19" s="2" t="str" cm="1">
        <f t="array" ref="G19">_xlfn.CONCAT(IFERROR(I19:K19,""))</f>
        <v>02000000FEFFFFFF</v>
      </c>
      <c r="I19" s="2" t="e">
        <f>_xlfn.LET(_xlpm.big,DEC2HEX(_xlfn.BITLSHIFT(M19-_xlfn.XLOOKUP(O19,Data!A:A,Data!F:F),4)+O19,8),_xlfn.CONCAT(MID(_xlpm.big,7,2),MID(_xlpm.big,5,2),MID(_xlpm.big,3,2),MID(_xlpm.big,1,2)))</f>
        <v>#NUM!</v>
      </c>
      <c r="J19" s="2" t="str">
        <f t="shared" si="0"/>
        <v>02000000</v>
      </c>
      <c r="K19" s="2" t="str">
        <f>_xlfn.LET(_xlpm.big,IF(H19,DEC2HEX(HEX2DEC(F19),8),DEC2HEX(N19-_xlfn.XLOOKUP(P19,Data!A:A,Data!F:F),8)),_xlfn.CONCAT(MID(_xlpm.big,7,2),MID(_xlpm.big,5,2),MID(_xlpm.big,3,2),MID(_xlpm.big,1,2)))</f>
        <v>FEFFFFFF</v>
      </c>
      <c r="L19" s="2">
        <f t="shared" si="1"/>
        <v>0</v>
      </c>
      <c r="M19" s="2">
        <f t="shared" si="2"/>
        <v>0</v>
      </c>
      <c r="N19" s="2">
        <f t="shared" si="3"/>
        <v>0</v>
      </c>
      <c r="O19" s="2" cm="1">
        <f t="array" ref="O19">_xlfn.IFS(M19&lt;Data!$F$3,0,M19&lt;Data!$F$4,1,TRUE,2)</f>
        <v>0</v>
      </c>
      <c r="P19" s="2" cm="1">
        <f t="array" ref="P19">_xlfn.IFS(H19,3,N19&lt;Data!$F$3,0,N19&lt;Data!$F$4,1,TRUE,2)</f>
        <v>0</v>
      </c>
    </row>
    <row r="20" spans="4:16">
      <c r="D20" s="3"/>
      <c r="E20" s="3"/>
      <c r="F20" s="3"/>
      <c r="G20" s="2" t="str" cm="1">
        <f t="array" ref="G20">_xlfn.CONCAT(IFERROR(I20:K20,""))</f>
        <v>02000000FEFFFFFF</v>
      </c>
      <c r="I20" s="2" t="e">
        <f>_xlfn.LET(_xlpm.big,DEC2HEX(_xlfn.BITLSHIFT(M20-_xlfn.XLOOKUP(O20,Data!A:A,Data!F:F),4)+O20,8),_xlfn.CONCAT(MID(_xlpm.big,7,2),MID(_xlpm.big,5,2),MID(_xlpm.big,3,2),MID(_xlpm.big,1,2)))</f>
        <v>#NUM!</v>
      </c>
      <c r="J20" s="2" t="str">
        <f t="shared" si="0"/>
        <v>02000000</v>
      </c>
      <c r="K20" s="2" t="str">
        <f>_xlfn.LET(_xlpm.big,IF(H20,DEC2HEX(HEX2DEC(F20),8),DEC2HEX(N20-_xlfn.XLOOKUP(P20,Data!A:A,Data!F:F),8)),_xlfn.CONCAT(MID(_xlpm.big,7,2),MID(_xlpm.big,5,2),MID(_xlpm.big,3,2),MID(_xlpm.big,1,2)))</f>
        <v>FEFFFFFF</v>
      </c>
      <c r="L20" s="2">
        <f t="shared" si="1"/>
        <v>0</v>
      </c>
      <c r="M20" s="2">
        <f t="shared" si="2"/>
        <v>0</v>
      </c>
      <c r="N20" s="2">
        <f t="shared" si="3"/>
        <v>0</v>
      </c>
      <c r="O20" s="2" cm="1">
        <f t="array" ref="O20">_xlfn.IFS(M20&lt;Data!$F$3,0,M20&lt;Data!$F$4,1,TRUE,2)</f>
        <v>0</v>
      </c>
      <c r="P20" s="2" cm="1">
        <f t="array" ref="P20">_xlfn.IFS(H20,3,N20&lt;Data!$F$3,0,N20&lt;Data!$F$4,1,TRUE,2)</f>
        <v>0</v>
      </c>
    </row>
    <row r="21" spans="4:16">
      <c r="D21" s="3"/>
      <c r="E21" s="3"/>
      <c r="F21" s="3"/>
      <c r="G21" s="2" t="str" cm="1">
        <f t="array" ref="G21">_xlfn.CONCAT(IFERROR(I21:K21,""))</f>
        <v>02000000FEFFFFFF</v>
      </c>
      <c r="I21" s="2" t="e">
        <f>_xlfn.LET(_xlpm.big,DEC2HEX(_xlfn.BITLSHIFT(M21-_xlfn.XLOOKUP(O21,Data!A:A,Data!F:F),4)+O21,8),_xlfn.CONCAT(MID(_xlpm.big,7,2),MID(_xlpm.big,5,2),MID(_xlpm.big,3,2),MID(_xlpm.big,1,2)))</f>
        <v>#NUM!</v>
      </c>
      <c r="J21" s="2" t="str">
        <f t="shared" si="0"/>
        <v>02000000</v>
      </c>
      <c r="K21" s="2" t="str">
        <f>_xlfn.LET(_xlpm.big,IF(H21,DEC2HEX(HEX2DEC(F21),8),DEC2HEX(N21-_xlfn.XLOOKUP(P21,Data!A:A,Data!F:F),8)),_xlfn.CONCAT(MID(_xlpm.big,7,2),MID(_xlpm.big,5,2),MID(_xlpm.big,3,2),MID(_xlpm.big,1,2)))</f>
        <v>FEFFFFFF</v>
      </c>
      <c r="L21" s="2">
        <f t="shared" si="1"/>
        <v>0</v>
      </c>
      <c r="M21" s="2">
        <f t="shared" si="2"/>
        <v>0</v>
      </c>
      <c r="N21" s="2">
        <f t="shared" si="3"/>
        <v>0</v>
      </c>
      <c r="O21" s="2" cm="1">
        <f t="array" ref="O21">_xlfn.IFS(M21&lt;Data!$F$3,0,M21&lt;Data!$F$4,1,TRUE,2)</f>
        <v>0</v>
      </c>
      <c r="P21" s="2" cm="1">
        <f t="array" ref="P21">_xlfn.IFS(H21,3,N21&lt;Data!$F$3,0,N21&lt;Data!$F$4,1,TRUE,2)</f>
        <v>0</v>
      </c>
    </row>
    <row r="22" spans="4:16">
      <c r="F22" s="2"/>
      <c r="G22" s="2" t="str" cm="1">
        <f t="array" ref="G22">_xlfn.CONCAT(IFERROR(I22:K22,""))</f>
        <v>02000000FEFFFFFF</v>
      </c>
      <c r="I22" s="2" t="e">
        <f>_xlfn.LET(_xlpm.big,DEC2HEX(_xlfn.BITLSHIFT(M22-_xlfn.XLOOKUP(O22,Data!A:A,Data!F:F),4)+O22,8),_xlfn.CONCAT(MID(_xlpm.big,7,2),MID(_xlpm.big,5,2),MID(_xlpm.big,3,2),MID(_xlpm.big,1,2)))</f>
        <v>#NUM!</v>
      </c>
      <c r="J22" s="2" t="str">
        <f t="shared" si="0"/>
        <v>02000000</v>
      </c>
      <c r="K22" s="2" t="str">
        <f>_xlfn.LET(_xlpm.big,IF(H22,DEC2HEX(HEX2DEC(F22),8),DEC2HEX(N22-_xlfn.XLOOKUP(P22,Data!A:A,Data!F:F),8)),_xlfn.CONCAT(MID(_xlpm.big,7,2),MID(_xlpm.big,5,2),MID(_xlpm.big,3,2),MID(_xlpm.big,1,2)))</f>
        <v>FEFFFFFF</v>
      </c>
      <c r="L22" s="2">
        <f t="shared" si="1"/>
        <v>0</v>
      </c>
      <c r="M22" s="2">
        <f t="shared" si="2"/>
        <v>0</v>
      </c>
      <c r="N22" s="2">
        <f t="shared" si="3"/>
        <v>0</v>
      </c>
      <c r="O22" s="2" cm="1">
        <f t="array" ref="O22">_xlfn.IFS(M22&lt;Data!$F$3,0,M22&lt;Data!$F$4,1,TRUE,2)</f>
        <v>0</v>
      </c>
      <c r="P22" s="2" cm="1">
        <f t="array" ref="P22">_xlfn.IFS(H22,3,N22&lt;Data!$F$3,0,N22&lt;Data!$F$4,1,TRUE,2)</f>
        <v>0</v>
      </c>
    </row>
    <row r="23" spans="4:16">
      <c r="D23" s="3"/>
      <c r="E23" s="3"/>
      <c r="F23" s="3"/>
      <c r="G23" s="2" t="str" cm="1">
        <f t="array" ref="G23">_xlfn.CONCAT(IFERROR(I23:K23,""))</f>
        <v>02000000FEFFFFFF</v>
      </c>
      <c r="I23" s="2" t="e">
        <f>_xlfn.LET(_xlpm.big,DEC2HEX(_xlfn.BITLSHIFT(M23-_xlfn.XLOOKUP(O23,Data!A:A,Data!F:F),4)+O23,8),_xlfn.CONCAT(MID(_xlpm.big,7,2),MID(_xlpm.big,5,2),MID(_xlpm.big,3,2),MID(_xlpm.big,1,2)))</f>
        <v>#NUM!</v>
      </c>
      <c r="J23" s="2" t="str">
        <f t="shared" si="0"/>
        <v>02000000</v>
      </c>
      <c r="K23" s="2" t="str">
        <f>_xlfn.LET(_xlpm.big,IF(H23,DEC2HEX(HEX2DEC(F23),8),DEC2HEX(N23-_xlfn.XLOOKUP(P23,Data!A:A,Data!F:F),8)),_xlfn.CONCAT(MID(_xlpm.big,7,2),MID(_xlpm.big,5,2),MID(_xlpm.big,3,2),MID(_xlpm.big,1,2)))</f>
        <v>FEFFFFFF</v>
      </c>
      <c r="L23" s="2">
        <f t="shared" si="1"/>
        <v>0</v>
      </c>
      <c r="M23" s="2">
        <f t="shared" si="2"/>
        <v>0</v>
      </c>
      <c r="N23" s="2">
        <f t="shared" si="3"/>
        <v>0</v>
      </c>
      <c r="O23" s="2" cm="1">
        <f t="array" ref="O23">_xlfn.IFS(M23&lt;Data!$F$3,0,M23&lt;Data!$F$4,1,TRUE,2)</f>
        <v>0</v>
      </c>
      <c r="P23" s="2" cm="1">
        <f t="array" ref="P23">_xlfn.IFS(H23,3,N23&lt;Data!$F$3,0,N23&lt;Data!$F$4,1,TRUE,2)</f>
        <v>0</v>
      </c>
    </row>
    <row r="24" spans="4:16">
      <c r="D24" s="3"/>
      <c r="E24" s="3"/>
      <c r="F24" s="3"/>
      <c r="G24" s="2" t="str" cm="1">
        <f t="array" ref="G24">_xlfn.CONCAT(IFERROR(I24:K24,""))</f>
        <v>02000000FEFFFFFF</v>
      </c>
      <c r="I24" s="2" t="e">
        <f>_xlfn.LET(_xlpm.big,DEC2HEX(_xlfn.BITLSHIFT(M24-_xlfn.XLOOKUP(O24,Data!A:A,Data!F:F),4)+O24,8),_xlfn.CONCAT(MID(_xlpm.big,7,2),MID(_xlpm.big,5,2),MID(_xlpm.big,3,2),MID(_xlpm.big,1,2)))</f>
        <v>#NUM!</v>
      </c>
      <c r="J24" s="2" t="str">
        <f t="shared" si="0"/>
        <v>02000000</v>
      </c>
      <c r="K24" s="2" t="str">
        <f>_xlfn.LET(_xlpm.big,IF(H24,DEC2HEX(HEX2DEC(F24),8),DEC2HEX(N24-_xlfn.XLOOKUP(P24,Data!A:A,Data!F:F),8)),_xlfn.CONCAT(MID(_xlpm.big,7,2),MID(_xlpm.big,5,2),MID(_xlpm.big,3,2),MID(_xlpm.big,1,2)))</f>
        <v>FEFFFFFF</v>
      </c>
      <c r="L24" s="2">
        <f t="shared" si="1"/>
        <v>0</v>
      </c>
      <c r="M24" s="2">
        <f t="shared" si="2"/>
        <v>0</v>
      </c>
      <c r="N24" s="2">
        <f t="shared" si="3"/>
        <v>0</v>
      </c>
      <c r="O24" s="2" cm="1">
        <f t="array" ref="O24">_xlfn.IFS(M24&lt;Data!$F$3,0,M24&lt;Data!$F$4,1,TRUE,2)</f>
        <v>0</v>
      </c>
      <c r="P24" s="2" cm="1">
        <f t="array" ref="P24">_xlfn.IFS(H24,3,N24&lt;Data!$F$3,0,N24&lt;Data!$F$4,1,TRUE,2)</f>
        <v>0</v>
      </c>
    </row>
    <row r="25" spans="4:16">
      <c r="D25" s="3"/>
      <c r="E25" s="3"/>
      <c r="F25" s="3"/>
      <c r="G25" s="2" t="str" cm="1">
        <f t="array" ref="G25">_xlfn.CONCAT(IFERROR(I25:K25,""))</f>
        <v>02000000FEFFFFFF</v>
      </c>
      <c r="I25" s="2" t="e">
        <f>_xlfn.LET(_xlpm.big,DEC2HEX(_xlfn.BITLSHIFT(M25-_xlfn.XLOOKUP(O25,Data!A:A,Data!F:F),4)+O25,8),_xlfn.CONCAT(MID(_xlpm.big,7,2),MID(_xlpm.big,5,2),MID(_xlpm.big,3,2),MID(_xlpm.big,1,2)))</f>
        <v>#NUM!</v>
      </c>
      <c r="J25" s="2" t="str">
        <f t="shared" si="0"/>
        <v>02000000</v>
      </c>
      <c r="K25" s="2" t="str">
        <f>_xlfn.LET(_xlpm.big,IF(H25,DEC2HEX(HEX2DEC(F25),8),DEC2HEX(N25-_xlfn.XLOOKUP(P25,Data!A:A,Data!F:F),8)),_xlfn.CONCAT(MID(_xlpm.big,7,2),MID(_xlpm.big,5,2),MID(_xlpm.big,3,2),MID(_xlpm.big,1,2)))</f>
        <v>FEFFFFFF</v>
      </c>
      <c r="L25" s="2">
        <f t="shared" si="1"/>
        <v>0</v>
      </c>
      <c r="M25" s="2">
        <f t="shared" si="2"/>
        <v>0</v>
      </c>
      <c r="N25" s="2">
        <f t="shared" si="3"/>
        <v>0</v>
      </c>
      <c r="O25" s="2" cm="1">
        <f t="array" ref="O25">_xlfn.IFS(M25&lt;Data!$F$3,0,M25&lt;Data!$F$4,1,TRUE,2)</f>
        <v>0</v>
      </c>
      <c r="P25" s="2" cm="1">
        <f t="array" ref="P25">_xlfn.IFS(H25,3,N25&lt;Data!$F$3,0,N25&lt;Data!$F$4,1,TRUE,2)</f>
        <v>0</v>
      </c>
    </row>
    <row r="26" spans="4:16">
      <c r="D26" s="3"/>
      <c r="E26" s="3"/>
      <c r="F26" s="3"/>
      <c r="G26" s="2" t="str" cm="1">
        <f t="array" ref="G26">_xlfn.CONCAT(IFERROR(I26:K26,""))</f>
        <v>02000000FEFFFFFF</v>
      </c>
      <c r="I26" s="2" t="e">
        <f>_xlfn.LET(_xlpm.big,DEC2HEX(_xlfn.BITLSHIFT(M26-_xlfn.XLOOKUP(O26,Data!A:A,Data!F:F),4)+O26,8),_xlfn.CONCAT(MID(_xlpm.big,7,2),MID(_xlpm.big,5,2),MID(_xlpm.big,3,2),MID(_xlpm.big,1,2)))</f>
        <v>#NUM!</v>
      </c>
      <c r="J26" s="2" t="str">
        <f t="shared" si="0"/>
        <v>02000000</v>
      </c>
      <c r="K26" s="2" t="str">
        <f>_xlfn.LET(_xlpm.big,IF(H26,DEC2HEX(HEX2DEC(F26),8),DEC2HEX(N26-_xlfn.XLOOKUP(P26,Data!A:A,Data!F:F),8)),_xlfn.CONCAT(MID(_xlpm.big,7,2),MID(_xlpm.big,5,2),MID(_xlpm.big,3,2),MID(_xlpm.big,1,2)))</f>
        <v>FEFFFFFF</v>
      </c>
      <c r="L26" s="2">
        <f t="shared" si="1"/>
        <v>0</v>
      </c>
      <c r="M26" s="2">
        <f t="shared" si="2"/>
        <v>0</v>
      </c>
      <c r="N26" s="2">
        <f t="shared" si="3"/>
        <v>0</v>
      </c>
      <c r="O26" s="2" cm="1">
        <f t="array" ref="O26">_xlfn.IFS(M26&lt;Data!$F$3,0,M26&lt;Data!$F$4,1,TRUE,2)</f>
        <v>0</v>
      </c>
      <c r="P26" s="2" cm="1">
        <f t="array" ref="P26">_xlfn.IFS(H26,3,N26&lt;Data!$F$3,0,N26&lt;Data!$F$4,1,TRUE,2)</f>
        <v>0</v>
      </c>
    </row>
    <row r="27" spans="4:16">
      <c r="D27" s="3"/>
      <c r="E27" s="3"/>
      <c r="F27" s="3"/>
      <c r="G27" s="2" t="str" cm="1">
        <f t="array" ref="G27">_xlfn.CONCAT(IFERROR(I27:K27,""))</f>
        <v>02000000FEFFFFFF</v>
      </c>
      <c r="I27" s="2" t="e">
        <f>_xlfn.LET(_xlpm.big,DEC2HEX(_xlfn.BITLSHIFT(M27-_xlfn.XLOOKUP(O27,Data!A:A,Data!F:F),4)+O27,8),_xlfn.CONCAT(MID(_xlpm.big,7,2),MID(_xlpm.big,5,2),MID(_xlpm.big,3,2),MID(_xlpm.big,1,2)))</f>
        <v>#NUM!</v>
      </c>
      <c r="J27" s="2" t="str">
        <f t="shared" si="0"/>
        <v>02000000</v>
      </c>
      <c r="K27" s="2" t="str">
        <f>_xlfn.LET(_xlpm.big,IF(H27,DEC2HEX(HEX2DEC(F27),8),DEC2HEX(N27-_xlfn.XLOOKUP(P27,Data!A:A,Data!F:F),8)),_xlfn.CONCAT(MID(_xlpm.big,7,2),MID(_xlpm.big,5,2),MID(_xlpm.big,3,2),MID(_xlpm.big,1,2)))</f>
        <v>FEFFFFFF</v>
      </c>
      <c r="L27" s="2">
        <f t="shared" si="1"/>
        <v>0</v>
      </c>
      <c r="M27" s="2">
        <f t="shared" si="2"/>
        <v>0</v>
      </c>
      <c r="N27" s="2">
        <f t="shared" si="3"/>
        <v>0</v>
      </c>
      <c r="O27" s="2" cm="1">
        <f t="array" ref="O27">_xlfn.IFS(M27&lt;Data!$F$3,0,M27&lt;Data!$F$4,1,TRUE,2)</f>
        <v>0</v>
      </c>
      <c r="P27" s="2" cm="1">
        <f t="array" ref="P27">_xlfn.IFS(H27,3,N27&lt;Data!$F$3,0,N27&lt;Data!$F$4,1,TRUE,2)</f>
        <v>0</v>
      </c>
    </row>
    <row r="28" spans="4:16">
      <c r="D28" s="3"/>
      <c r="E28" s="3"/>
      <c r="F28" s="3"/>
      <c r="G28" s="2" t="str" cm="1">
        <f t="array" ref="G28">_xlfn.CONCAT(IFERROR(I28:K28,""))</f>
        <v>02000000FEFFFFFF</v>
      </c>
      <c r="I28" s="2" t="e">
        <f>_xlfn.LET(_xlpm.big,DEC2HEX(_xlfn.BITLSHIFT(M28-_xlfn.XLOOKUP(O28,Data!A:A,Data!F:F),4)+O28,8),_xlfn.CONCAT(MID(_xlpm.big,7,2),MID(_xlpm.big,5,2),MID(_xlpm.big,3,2),MID(_xlpm.big,1,2)))</f>
        <v>#NUM!</v>
      </c>
      <c r="J28" s="2" t="str">
        <f t="shared" si="0"/>
        <v>02000000</v>
      </c>
      <c r="K28" s="2" t="str">
        <f>_xlfn.LET(_xlpm.big,IF(H28,DEC2HEX(HEX2DEC(F28),8),DEC2HEX(N28-_xlfn.XLOOKUP(P28,Data!A:A,Data!F:F),8)),_xlfn.CONCAT(MID(_xlpm.big,7,2),MID(_xlpm.big,5,2),MID(_xlpm.big,3,2),MID(_xlpm.big,1,2)))</f>
        <v>FEFFFFFF</v>
      </c>
      <c r="L28" s="2">
        <f t="shared" si="1"/>
        <v>0</v>
      </c>
      <c r="M28" s="2">
        <f t="shared" si="2"/>
        <v>0</v>
      </c>
      <c r="N28" s="2">
        <f t="shared" si="3"/>
        <v>0</v>
      </c>
      <c r="O28" s="2" cm="1">
        <f t="array" ref="O28">_xlfn.IFS(M28&lt;Data!$F$3,0,M28&lt;Data!$F$4,1,TRUE,2)</f>
        <v>0</v>
      </c>
      <c r="P28" s="2" cm="1">
        <f t="array" ref="P28">_xlfn.IFS(H28,3,N28&lt;Data!$F$3,0,N28&lt;Data!$F$4,1,TRUE,2)</f>
        <v>0</v>
      </c>
    </row>
    <row r="29" spans="4:16">
      <c r="D29" s="3"/>
      <c r="E29" s="3"/>
      <c r="F29" s="3"/>
      <c r="G29" s="2" t="str" cm="1">
        <f t="array" ref="G29">_xlfn.CONCAT(IFERROR(I29:K29,""))</f>
        <v>02000000FEFFFFFF</v>
      </c>
      <c r="I29" s="2" t="e">
        <f>_xlfn.LET(_xlpm.big,DEC2HEX(_xlfn.BITLSHIFT(M29-_xlfn.XLOOKUP(O29,Data!A:A,Data!F:F),4)+O29,8),_xlfn.CONCAT(MID(_xlpm.big,7,2),MID(_xlpm.big,5,2),MID(_xlpm.big,3,2),MID(_xlpm.big,1,2)))</f>
        <v>#NUM!</v>
      </c>
      <c r="J29" s="2" t="str">
        <f t="shared" si="0"/>
        <v>02000000</v>
      </c>
      <c r="K29" s="2" t="str">
        <f>_xlfn.LET(_xlpm.big,IF(H29,DEC2HEX(HEX2DEC(F29),8),DEC2HEX(N29-_xlfn.XLOOKUP(P29,Data!A:A,Data!F:F),8)),_xlfn.CONCAT(MID(_xlpm.big,7,2),MID(_xlpm.big,5,2),MID(_xlpm.big,3,2),MID(_xlpm.big,1,2)))</f>
        <v>FEFFFFFF</v>
      </c>
      <c r="L29" s="2">
        <f t="shared" si="1"/>
        <v>0</v>
      </c>
      <c r="M29" s="2">
        <f t="shared" si="2"/>
        <v>0</v>
      </c>
      <c r="N29" s="2">
        <f t="shared" si="3"/>
        <v>0</v>
      </c>
      <c r="O29" s="2" cm="1">
        <f t="array" ref="O29">_xlfn.IFS(M29&lt;Data!$F$3,0,M29&lt;Data!$F$4,1,TRUE,2)</f>
        <v>0</v>
      </c>
      <c r="P29" s="2" cm="1">
        <f t="array" ref="P29">_xlfn.IFS(H29,3,N29&lt;Data!$F$3,0,N29&lt;Data!$F$4,1,TRUE,2)</f>
        <v>0</v>
      </c>
    </row>
    <row r="30" spans="4:16">
      <c r="G30" s="2" t="str" cm="1">
        <f t="array" ref="G30">_xlfn.CONCAT(IFERROR(I30:K30,""))</f>
        <v>02000000FEFFFFFF</v>
      </c>
      <c r="I30" s="2" t="e">
        <f>_xlfn.LET(_xlpm.big,DEC2HEX(_xlfn.BITLSHIFT(M30-_xlfn.XLOOKUP(O30,Data!A:A,Data!F:F),4)+O30,8),_xlfn.CONCAT(MID(_xlpm.big,7,2),MID(_xlpm.big,5,2),MID(_xlpm.big,3,2),MID(_xlpm.big,1,2)))</f>
        <v>#NUM!</v>
      </c>
      <c r="J30" s="2" t="str">
        <f t="shared" si="0"/>
        <v>02000000</v>
      </c>
      <c r="K30" s="2" t="str">
        <f>_xlfn.LET(_xlpm.big,IF(H30,DEC2HEX(HEX2DEC(F30),8),DEC2HEX(N30-_xlfn.XLOOKUP(P30,Data!A:A,Data!F:F),8)),_xlfn.CONCAT(MID(_xlpm.big,7,2),MID(_xlpm.big,5,2),MID(_xlpm.big,3,2),MID(_xlpm.big,1,2)))</f>
        <v>FEFFFFFF</v>
      </c>
      <c r="L30" s="2">
        <f t="shared" si="1"/>
        <v>0</v>
      </c>
      <c r="M30" s="2">
        <f t="shared" si="2"/>
        <v>0</v>
      </c>
      <c r="N30" s="2">
        <f t="shared" si="3"/>
        <v>0</v>
      </c>
      <c r="O30" s="2" cm="1">
        <f t="array" ref="O30">_xlfn.IFS(M30&lt;Data!$F$3,0,M30&lt;Data!$F$4,1,TRUE,2)</f>
        <v>0</v>
      </c>
      <c r="P30" s="2" cm="1">
        <f t="array" ref="P30">_xlfn.IFS(H30,3,N30&lt;Data!$F$3,0,N30&lt;Data!$F$4,1,TRUE,2)</f>
        <v>0</v>
      </c>
    </row>
    <row r="31" spans="4:16">
      <c r="D31" s="3"/>
      <c r="E31" s="3"/>
      <c r="F31" s="3"/>
      <c r="G31" s="2" t="str" cm="1">
        <f t="array" ref="G31">_xlfn.CONCAT(IFERROR(I31:K31,""))</f>
        <v>02000000FEFFFFFF</v>
      </c>
      <c r="I31" s="2" t="e">
        <f>_xlfn.LET(_xlpm.big,DEC2HEX(_xlfn.BITLSHIFT(M31-_xlfn.XLOOKUP(O31,Data!A:A,Data!F:F),4)+O31,8),_xlfn.CONCAT(MID(_xlpm.big,7,2),MID(_xlpm.big,5,2),MID(_xlpm.big,3,2),MID(_xlpm.big,1,2)))</f>
        <v>#NUM!</v>
      </c>
      <c r="J31" s="2" t="str">
        <f t="shared" si="0"/>
        <v>02000000</v>
      </c>
      <c r="K31" s="2" t="str">
        <f>_xlfn.LET(_xlpm.big,IF(H31,DEC2HEX(HEX2DEC(F31),8),DEC2HEX(N31-_xlfn.XLOOKUP(P31,Data!A:A,Data!F:F),8)),_xlfn.CONCAT(MID(_xlpm.big,7,2),MID(_xlpm.big,5,2),MID(_xlpm.big,3,2),MID(_xlpm.big,1,2)))</f>
        <v>FEFFFFFF</v>
      </c>
      <c r="L31" s="2">
        <f t="shared" si="1"/>
        <v>0</v>
      </c>
      <c r="M31" s="2">
        <f t="shared" si="2"/>
        <v>0</v>
      </c>
      <c r="N31" s="2">
        <f t="shared" si="3"/>
        <v>0</v>
      </c>
      <c r="O31" s="2" cm="1">
        <f t="array" ref="O31">_xlfn.IFS(M31&lt;Data!$F$3,0,M31&lt;Data!$F$4,1,TRUE,2)</f>
        <v>0</v>
      </c>
      <c r="P31" s="2" cm="1">
        <f t="array" ref="P31">_xlfn.IFS(H31,3,N31&lt;Data!$F$3,0,N31&lt;Data!$F$4,1,TRUE,2)</f>
        <v>0</v>
      </c>
    </row>
    <row r="32" spans="4:16">
      <c r="D32" s="3"/>
      <c r="E32" s="3"/>
      <c r="F32" s="3"/>
      <c r="G32" s="2" t="str" cm="1">
        <f t="array" ref="G32">_xlfn.CONCAT(IFERROR(I32:K32,""))</f>
        <v>02000000FEFFFFFF</v>
      </c>
      <c r="I32" s="2" t="e">
        <f>_xlfn.LET(_xlpm.big,DEC2HEX(_xlfn.BITLSHIFT(M32-_xlfn.XLOOKUP(O32,Data!A:A,Data!F:F),4)+O32,8),_xlfn.CONCAT(MID(_xlpm.big,7,2),MID(_xlpm.big,5,2),MID(_xlpm.big,3,2),MID(_xlpm.big,1,2)))</f>
        <v>#NUM!</v>
      </c>
      <c r="J32" s="2" t="str">
        <f t="shared" si="0"/>
        <v>02000000</v>
      </c>
      <c r="K32" s="2" t="str">
        <f>_xlfn.LET(_xlpm.big,IF(H32,DEC2HEX(HEX2DEC(F32),8),DEC2HEX(N32-_xlfn.XLOOKUP(P32,Data!A:A,Data!F:F),8)),_xlfn.CONCAT(MID(_xlpm.big,7,2),MID(_xlpm.big,5,2),MID(_xlpm.big,3,2),MID(_xlpm.big,1,2)))</f>
        <v>FEFFFFFF</v>
      </c>
      <c r="L32" s="2">
        <f t="shared" si="1"/>
        <v>0</v>
      </c>
      <c r="M32" s="2">
        <f t="shared" si="2"/>
        <v>0</v>
      </c>
      <c r="N32" s="2">
        <f t="shared" si="3"/>
        <v>0</v>
      </c>
      <c r="O32" s="2" cm="1">
        <f t="array" ref="O32">_xlfn.IFS(M32&lt;Data!$F$3,0,M32&lt;Data!$F$4,1,TRUE,2)</f>
        <v>0</v>
      </c>
      <c r="P32" s="2" cm="1">
        <f t="array" ref="P32">_xlfn.IFS(H32,3,N32&lt;Data!$F$3,0,N32&lt;Data!$F$4,1,TRUE,2)</f>
        <v>0</v>
      </c>
    </row>
    <row r="33" spans="4:16">
      <c r="D33" s="3"/>
      <c r="E33" s="3"/>
      <c r="F33" s="3"/>
      <c r="G33" s="2" t="str" cm="1">
        <f t="array" ref="G33">_xlfn.CONCAT(IFERROR(I33:K33,""))</f>
        <v>02000000FEFFFFFF</v>
      </c>
      <c r="I33" s="2" t="e">
        <f>_xlfn.LET(_xlpm.big,DEC2HEX(_xlfn.BITLSHIFT(M33-_xlfn.XLOOKUP(O33,Data!A:A,Data!F:F),4)+O33,8),_xlfn.CONCAT(MID(_xlpm.big,7,2),MID(_xlpm.big,5,2),MID(_xlpm.big,3,2),MID(_xlpm.big,1,2)))</f>
        <v>#NUM!</v>
      </c>
      <c r="J33" s="2" t="str">
        <f t="shared" si="0"/>
        <v>02000000</v>
      </c>
      <c r="K33" s="2" t="str">
        <f>_xlfn.LET(_xlpm.big,IF(H33,DEC2HEX(HEX2DEC(F33),8),DEC2HEX(N33-_xlfn.XLOOKUP(P33,Data!A:A,Data!F:F),8)),_xlfn.CONCAT(MID(_xlpm.big,7,2),MID(_xlpm.big,5,2),MID(_xlpm.big,3,2),MID(_xlpm.big,1,2)))</f>
        <v>FEFFFFFF</v>
      </c>
      <c r="L33" s="2">
        <f t="shared" si="1"/>
        <v>0</v>
      </c>
      <c r="M33" s="2">
        <f t="shared" si="2"/>
        <v>0</v>
      </c>
      <c r="N33" s="2">
        <f t="shared" si="3"/>
        <v>0</v>
      </c>
      <c r="O33" s="2" cm="1">
        <f t="array" ref="O33">_xlfn.IFS(M33&lt;Data!$F$3,0,M33&lt;Data!$F$4,1,TRUE,2)</f>
        <v>0</v>
      </c>
      <c r="P33" s="2" cm="1">
        <f t="array" ref="P33">_xlfn.IFS(H33,3,N33&lt;Data!$F$3,0,N33&lt;Data!$F$4,1,TRUE,2)</f>
        <v>0</v>
      </c>
    </row>
    <row r="34" spans="4:16">
      <c r="D34" s="3"/>
      <c r="E34" s="3"/>
      <c r="F34" s="3"/>
      <c r="G34" s="2" t="str" cm="1">
        <f t="array" ref="G34">_xlfn.CONCAT(IFERROR(I34:K34,""))</f>
        <v>02000000FEFFFFFF</v>
      </c>
      <c r="I34" s="2" t="e">
        <f>_xlfn.LET(_xlpm.big,DEC2HEX(_xlfn.BITLSHIFT(M34-_xlfn.XLOOKUP(O34,Data!A:A,Data!F:F),4)+O34,8),_xlfn.CONCAT(MID(_xlpm.big,7,2),MID(_xlpm.big,5,2),MID(_xlpm.big,3,2),MID(_xlpm.big,1,2)))</f>
        <v>#NUM!</v>
      </c>
      <c r="J34" s="2" t="str">
        <f t="shared" si="0"/>
        <v>02000000</v>
      </c>
      <c r="K34" s="2" t="str">
        <f>_xlfn.LET(_xlpm.big,IF(H34,DEC2HEX(HEX2DEC(F34),8),DEC2HEX(N34-_xlfn.XLOOKUP(P34,Data!A:A,Data!F:F),8)),_xlfn.CONCAT(MID(_xlpm.big,7,2),MID(_xlpm.big,5,2),MID(_xlpm.big,3,2),MID(_xlpm.big,1,2)))</f>
        <v>FEFFFFFF</v>
      </c>
      <c r="L34" s="2">
        <f t="shared" si="1"/>
        <v>0</v>
      </c>
      <c r="M34" s="2">
        <f t="shared" si="2"/>
        <v>0</v>
      </c>
      <c r="N34" s="2">
        <f t="shared" si="3"/>
        <v>0</v>
      </c>
      <c r="O34" s="2" cm="1">
        <f t="array" ref="O34">_xlfn.IFS(M34&lt;Data!$F$3,0,M34&lt;Data!$F$4,1,TRUE,2)</f>
        <v>0</v>
      </c>
      <c r="P34" s="2" cm="1">
        <f t="array" ref="P34">_xlfn.IFS(H34,3,N34&lt;Data!$F$3,0,N34&lt;Data!$F$4,1,TRUE,2)</f>
        <v>0</v>
      </c>
    </row>
    <row r="35" spans="4:16">
      <c r="D35" s="3"/>
      <c r="E35" s="3"/>
      <c r="F35" s="3"/>
      <c r="G35" s="2" t="str" cm="1">
        <f t="array" ref="G35">_xlfn.CONCAT(IFERROR(I35:K35,""))</f>
        <v>02000000FEFFFFFF</v>
      </c>
      <c r="I35" s="2" t="e">
        <f>_xlfn.LET(_xlpm.big,DEC2HEX(_xlfn.BITLSHIFT(M35-_xlfn.XLOOKUP(O35,Data!A:A,Data!F:F),4)+O35,8),_xlfn.CONCAT(MID(_xlpm.big,7,2),MID(_xlpm.big,5,2),MID(_xlpm.big,3,2),MID(_xlpm.big,1,2)))</f>
        <v>#NUM!</v>
      </c>
      <c r="J35" s="2" t="str">
        <f t="shared" si="0"/>
        <v>02000000</v>
      </c>
      <c r="K35" s="2" t="str">
        <f>_xlfn.LET(_xlpm.big,IF(H35,DEC2HEX(HEX2DEC(F35),8),DEC2HEX(N35-_xlfn.XLOOKUP(P35,Data!A:A,Data!F:F),8)),_xlfn.CONCAT(MID(_xlpm.big,7,2),MID(_xlpm.big,5,2),MID(_xlpm.big,3,2),MID(_xlpm.big,1,2)))</f>
        <v>FEFFFFFF</v>
      </c>
      <c r="L35" s="2">
        <f t="shared" si="1"/>
        <v>0</v>
      </c>
      <c r="M35" s="2">
        <f t="shared" si="2"/>
        <v>0</v>
      </c>
      <c r="N35" s="2">
        <f t="shared" si="3"/>
        <v>0</v>
      </c>
      <c r="O35" s="2" cm="1">
        <f t="array" ref="O35">_xlfn.IFS(M35&lt;Data!$F$3,0,M35&lt;Data!$F$4,1,TRUE,2)</f>
        <v>0</v>
      </c>
      <c r="P35" s="2" cm="1">
        <f t="array" ref="P35">_xlfn.IFS(H35,3,N35&lt;Data!$F$3,0,N35&lt;Data!$F$4,1,TRUE,2)</f>
        <v>0</v>
      </c>
    </row>
    <row r="36" spans="4:16">
      <c r="D36" s="3"/>
      <c r="E36" s="3"/>
      <c r="F36" s="3"/>
      <c r="G36" s="2" t="str" cm="1">
        <f t="array" ref="G36">_xlfn.CONCAT(IFERROR(I36:K36,""))</f>
        <v>02000000FEFFFFFF</v>
      </c>
      <c r="I36" s="2" t="e">
        <f>_xlfn.LET(_xlpm.big,DEC2HEX(_xlfn.BITLSHIFT(M36-_xlfn.XLOOKUP(O36,Data!A:A,Data!F:F),4)+O36,8),_xlfn.CONCAT(MID(_xlpm.big,7,2),MID(_xlpm.big,5,2),MID(_xlpm.big,3,2),MID(_xlpm.big,1,2)))</f>
        <v>#NUM!</v>
      </c>
      <c r="J36" s="2" t="str">
        <f t="shared" si="0"/>
        <v>02000000</v>
      </c>
      <c r="K36" s="2" t="str">
        <f>_xlfn.LET(_xlpm.big,IF(H36,DEC2HEX(HEX2DEC(F36),8),DEC2HEX(N36-_xlfn.XLOOKUP(P36,Data!A:A,Data!F:F),8)),_xlfn.CONCAT(MID(_xlpm.big,7,2),MID(_xlpm.big,5,2),MID(_xlpm.big,3,2),MID(_xlpm.big,1,2)))</f>
        <v>FEFFFFFF</v>
      </c>
      <c r="L36" s="2">
        <f t="shared" si="1"/>
        <v>0</v>
      </c>
      <c r="M36" s="2">
        <f t="shared" si="2"/>
        <v>0</v>
      </c>
      <c r="N36" s="2">
        <f t="shared" si="3"/>
        <v>0</v>
      </c>
      <c r="O36" s="2" cm="1">
        <f t="array" ref="O36">_xlfn.IFS(M36&lt;Data!$F$3,0,M36&lt;Data!$F$4,1,TRUE,2)</f>
        <v>0</v>
      </c>
      <c r="P36" s="2" cm="1">
        <f t="array" ref="P36">_xlfn.IFS(H36,3,N36&lt;Data!$F$3,0,N36&lt;Data!$F$4,1,TRUE,2)</f>
        <v>0</v>
      </c>
    </row>
    <row r="37" spans="4:16">
      <c r="D37" s="3"/>
      <c r="E37" s="3"/>
      <c r="F37" s="3"/>
      <c r="G37" s="2" t="str" cm="1">
        <f t="array" ref="G37">_xlfn.CONCAT(IFERROR(I37:K37,""))</f>
        <v>02000000FEFFFFFF</v>
      </c>
      <c r="I37" s="2" t="e">
        <f>_xlfn.LET(_xlpm.big,DEC2HEX(_xlfn.BITLSHIFT(M37-_xlfn.XLOOKUP(O37,Data!A:A,Data!F:F),4)+O37,8),_xlfn.CONCAT(MID(_xlpm.big,7,2),MID(_xlpm.big,5,2),MID(_xlpm.big,3,2),MID(_xlpm.big,1,2)))</f>
        <v>#NUM!</v>
      </c>
      <c r="J37" s="2" t="str">
        <f t="shared" si="0"/>
        <v>02000000</v>
      </c>
      <c r="K37" s="2" t="str">
        <f>_xlfn.LET(_xlpm.big,IF(H37,DEC2HEX(HEX2DEC(F37),8),DEC2HEX(N37-_xlfn.XLOOKUP(P37,Data!A:A,Data!F:F),8)),_xlfn.CONCAT(MID(_xlpm.big,7,2),MID(_xlpm.big,5,2),MID(_xlpm.big,3,2),MID(_xlpm.big,1,2)))</f>
        <v>FEFFFFFF</v>
      </c>
      <c r="L37" s="2">
        <f t="shared" si="1"/>
        <v>0</v>
      </c>
      <c r="M37" s="2">
        <f t="shared" si="2"/>
        <v>0</v>
      </c>
      <c r="N37" s="2">
        <f t="shared" si="3"/>
        <v>0</v>
      </c>
      <c r="O37" s="2" cm="1">
        <f t="array" ref="O37">_xlfn.IFS(M37&lt;Data!$F$3,0,M37&lt;Data!$F$4,1,TRUE,2)</f>
        <v>0</v>
      </c>
      <c r="P37" s="2" cm="1">
        <f t="array" ref="P37">_xlfn.IFS(H37,3,N37&lt;Data!$F$3,0,N37&lt;Data!$F$4,1,TRUE,2)</f>
        <v>0</v>
      </c>
    </row>
    <row r="38" spans="4:16">
      <c r="D38" s="3"/>
      <c r="E38" s="3"/>
      <c r="F38" s="3"/>
      <c r="G38" s="2" t="str" cm="1">
        <f t="array" ref="G38">_xlfn.CONCAT(IFERROR(I38:K38,""))</f>
        <v>02000000FEFFFFFF</v>
      </c>
      <c r="I38" s="2" t="e">
        <f>_xlfn.LET(_xlpm.big,DEC2HEX(_xlfn.BITLSHIFT(M38-_xlfn.XLOOKUP(O38,Data!A:A,Data!F:F),4)+O38,8),_xlfn.CONCAT(MID(_xlpm.big,7,2),MID(_xlpm.big,5,2),MID(_xlpm.big,3,2),MID(_xlpm.big,1,2)))</f>
        <v>#NUM!</v>
      </c>
      <c r="J38" s="2" t="str">
        <f t="shared" si="0"/>
        <v>02000000</v>
      </c>
      <c r="K38" s="2" t="str">
        <f>_xlfn.LET(_xlpm.big,IF(H38,DEC2HEX(HEX2DEC(F38),8),DEC2HEX(N38-_xlfn.XLOOKUP(P38,Data!A:A,Data!F:F),8)),_xlfn.CONCAT(MID(_xlpm.big,7,2),MID(_xlpm.big,5,2),MID(_xlpm.big,3,2),MID(_xlpm.big,1,2)))</f>
        <v>FEFFFFFF</v>
      </c>
      <c r="L38" s="2">
        <f t="shared" si="1"/>
        <v>0</v>
      </c>
      <c r="M38" s="2">
        <f t="shared" si="2"/>
        <v>0</v>
      </c>
      <c r="N38" s="2">
        <f t="shared" si="3"/>
        <v>0</v>
      </c>
      <c r="O38" s="2" cm="1">
        <f t="array" ref="O38">_xlfn.IFS(M38&lt;Data!$F$3,0,M38&lt;Data!$F$4,1,TRUE,2)</f>
        <v>0</v>
      </c>
      <c r="P38" s="2" cm="1">
        <f t="array" ref="P38">_xlfn.IFS(H38,3,N38&lt;Data!$F$3,0,N38&lt;Data!$F$4,1,TRUE,2)</f>
        <v>0</v>
      </c>
    </row>
    <row r="39" spans="4:16">
      <c r="D39" s="3"/>
      <c r="E39" s="3"/>
      <c r="F39" s="3"/>
      <c r="G39" s="2" t="str" cm="1">
        <f t="array" ref="G39">_xlfn.CONCAT(IFERROR(I39:K39,""))</f>
        <v>02000000FEFFFFFF</v>
      </c>
      <c r="I39" s="2" t="e">
        <f>_xlfn.LET(_xlpm.big,DEC2HEX(_xlfn.BITLSHIFT(M39-_xlfn.XLOOKUP(O39,Data!A:A,Data!F:F),4)+O39,8),_xlfn.CONCAT(MID(_xlpm.big,7,2),MID(_xlpm.big,5,2),MID(_xlpm.big,3,2),MID(_xlpm.big,1,2)))</f>
        <v>#NUM!</v>
      </c>
      <c r="J39" s="2" t="str">
        <f t="shared" si="0"/>
        <v>02000000</v>
      </c>
      <c r="K39" s="2" t="str">
        <f>_xlfn.LET(_xlpm.big,IF(H39,DEC2HEX(HEX2DEC(F39),8),DEC2HEX(N39-_xlfn.XLOOKUP(P39,Data!A:A,Data!F:F),8)),_xlfn.CONCAT(MID(_xlpm.big,7,2),MID(_xlpm.big,5,2),MID(_xlpm.big,3,2),MID(_xlpm.big,1,2)))</f>
        <v>FEFFFFFF</v>
      </c>
      <c r="L39" s="2">
        <f t="shared" si="1"/>
        <v>0</v>
      </c>
      <c r="M39" s="2">
        <f t="shared" si="2"/>
        <v>0</v>
      </c>
      <c r="N39" s="2">
        <f t="shared" si="3"/>
        <v>0</v>
      </c>
      <c r="O39" s="2" cm="1">
        <f t="array" ref="O39">_xlfn.IFS(M39&lt;Data!$F$3,0,M39&lt;Data!$F$4,1,TRUE,2)</f>
        <v>0</v>
      </c>
      <c r="P39" s="2" cm="1">
        <f t="array" ref="P39">_xlfn.IFS(H39,3,N39&lt;Data!$F$3,0,N39&lt;Data!$F$4,1,TRUE,2)</f>
        <v>0</v>
      </c>
    </row>
    <row r="40" spans="4:16">
      <c r="G40" s="2" t="str" cm="1">
        <f t="array" ref="G40">_xlfn.CONCAT(IFERROR(I40:K40,""))</f>
        <v>02000000FEFFFFFF</v>
      </c>
      <c r="I40" s="2" t="e">
        <f>_xlfn.LET(_xlpm.big,DEC2HEX(_xlfn.BITLSHIFT(M40-_xlfn.XLOOKUP(O40,Data!A:A,Data!F:F),4)+O40,8),_xlfn.CONCAT(MID(_xlpm.big,7,2),MID(_xlpm.big,5,2),MID(_xlpm.big,3,2),MID(_xlpm.big,1,2)))</f>
        <v>#NUM!</v>
      </c>
      <c r="J40" s="2" t="str">
        <f t="shared" si="0"/>
        <v>02000000</v>
      </c>
      <c r="K40" s="2" t="str">
        <f>_xlfn.LET(_xlpm.big,IF(H40,DEC2HEX(HEX2DEC(F40),8),DEC2HEX(N40-_xlfn.XLOOKUP(P40,Data!A:A,Data!F:F),8)),_xlfn.CONCAT(MID(_xlpm.big,7,2),MID(_xlpm.big,5,2),MID(_xlpm.big,3,2),MID(_xlpm.big,1,2)))</f>
        <v>FEFFFFFF</v>
      </c>
      <c r="L40" s="2">
        <f t="shared" si="1"/>
        <v>0</v>
      </c>
      <c r="M40" s="2">
        <f t="shared" si="2"/>
        <v>0</v>
      </c>
      <c r="N40" s="2">
        <f t="shared" si="3"/>
        <v>0</v>
      </c>
      <c r="O40" s="2" cm="1">
        <f t="array" ref="O40">_xlfn.IFS(M40&lt;Data!$F$3,0,M40&lt;Data!$F$4,1,TRUE,2)</f>
        <v>0</v>
      </c>
      <c r="P40" s="2" cm="1">
        <f t="array" ref="P40">_xlfn.IFS(H40,3,N40&lt;Data!$F$3,0,N40&lt;Data!$F$4,1,TRUE,2)</f>
        <v>0</v>
      </c>
    </row>
    <row r="41" spans="4:16">
      <c r="D41" s="3"/>
      <c r="E41" s="3"/>
      <c r="F41" s="3"/>
      <c r="G41" s="2" t="str" cm="1">
        <f t="array" ref="G41">_xlfn.CONCAT(IFERROR(I41:K41,""))</f>
        <v>02000000FEFFFFFF</v>
      </c>
      <c r="I41" s="2" t="e">
        <f>_xlfn.LET(_xlpm.big,DEC2HEX(_xlfn.BITLSHIFT(M41-_xlfn.XLOOKUP(O41,Data!A:A,Data!F:F),4)+O41,8),_xlfn.CONCAT(MID(_xlpm.big,7,2),MID(_xlpm.big,5,2),MID(_xlpm.big,3,2),MID(_xlpm.big,1,2)))</f>
        <v>#NUM!</v>
      </c>
      <c r="J41" s="2" t="str">
        <f t="shared" si="0"/>
        <v>02000000</v>
      </c>
      <c r="K41" s="2" t="str">
        <f>_xlfn.LET(_xlpm.big,IF(H41,DEC2HEX(HEX2DEC(F41),8),DEC2HEX(N41-_xlfn.XLOOKUP(P41,Data!A:A,Data!F:F),8)),_xlfn.CONCAT(MID(_xlpm.big,7,2),MID(_xlpm.big,5,2),MID(_xlpm.big,3,2),MID(_xlpm.big,1,2)))</f>
        <v>FEFFFFFF</v>
      </c>
      <c r="L41" s="2">
        <f t="shared" si="1"/>
        <v>0</v>
      </c>
      <c r="M41" s="2">
        <f t="shared" si="2"/>
        <v>0</v>
      </c>
      <c r="N41" s="2">
        <f t="shared" si="3"/>
        <v>0</v>
      </c>
      <c r="O41" s="2" cm="1">
        <f t="array" ref="O41">_xlfn.IFS(M41&lt;Data!$F$3,0,M41&lt;Data!$F$4,1,TRUE,2)</f>
        <v>0</v>
      </c>
      <c r="P41" s="2" cm="1">
        <f t="array" ref="P41">_xlfn.IFS(H41,3,N41&lt;Data!$F$3,0,N41&lt;Data!$F$4,1,TRUE,2)</f>
        <v>0</v>
      </c>
    </row>
    <row r="42" spans="4:16">
      <c r="D42" s="3"/>
      <c r="E42" s="3"/>
      <c r="F42" s="3"/>
      <c r="G42" s="2" t="str" cm="1">
        <f t="array" ref="G42">_xlfn.CONCAT(IFERROR(I42:K42,""))</f>
        <v>02000000FEFFFFFF</v>
      </c>
      <c r="I42" s="2" t="e">
        <f>_xlfn.LET(_xlpm.big,DEC2HEX(_xlfn.BITLSHIFT(M42-_xlfn.XLOOKUP(O42,Data!A:A,Data!F:F),4)+O42,8),_xlfn.CONCAT(MID(_xlpm.big,7,2),MID(_xlpm.big,5,2),MID(_xlpm.big,3,2),MID(_xlpm.big,1,2)))</f>
        <v>#NUM!</v>
      </c>
      <c r="J42" s="2" t="str">
        <f t="shared" si="0"/>
        <v>02000000</v>
      </c>
      <c r="K42" s="2" t="str">
        <f>_xlfn.LET(_xlpm.big,IF(H42,DEC2HEX(HEX2DEC(F42),8),DEC2HEX(N42-_xlfn.XLOOKUP(P42,Data!A:A,Data!F:F),8)),_xlfn.CONCAT(MID(_xlpm.big,7,2),MID(_xlpm.big,5,2),MID(_xlpm.big,3,2),MID(_xlpm.big,1,2)))</f>
        <v>FEFFFFFF</v>
      </c>
      <c r="L42" s="2">
        <f t="shared" si="1"/>
        <v>0</v>
      </c>
      <c r="M42" s="2">
        <f t="shared" si="2"/>
        <v>0</v>
      </c>
      <c r="N42" s="2">
        <f t="shared" si="3"/>
        <v>0</v>
      </c>
      <c r="O42" s="2" cm="1">
        <f t="array" ref="O42">_xlfn.IFS(M42&lt;Data!$F$3,0,M42&lt;Data!$F$4,1,TRUE,2)</f>
        <v>0</v>
      </c>
      <c r="P42" s="2" cm="1">
        <f t="array" ref="P42">_xlfn.IFS(H42,3,N42&lt;Data!$F$3,0,N42&lt;Data!$F$4,1,TRUE,2)</f>
        <v>0</v>
      </c>
    </row>
    <row r="43" spans="4:16">
      <c r="D43" s="3"/>
      <c r="E43" s="3"/>
      <c r="F43" s="3"/>
      <c r="G43" s="2" t="str" cm="1">
        <f t="array" ref="G43">_xlfn.CONCAT(IFERROR(I43:K43,""))</f>
        <v>02000000FEFFFFFF</v>
      </c>
      <c r="I43" s="2" t="e">
        <f>_xlfn.LET(_xlpm.big,DEC2HEX(_xlfn.BITLSHIFT(M43-_xlfn.XLOOKUP(O43,Data!A:A,Data!F:F),4)+O43,8),_xlfn.CONCAT(MID(_xlpm.big,7,2),MID(_xlpm.big,5,2),MID(_xlpm.big,3,2),MID(_xlpm.big,1,2)))</f>
        <v>#NUM!</v>
      </c>
      <c r="J43" s="2" t="str">
        <f t="shared" si="0"/>
        <v>02000000</v>
      </c>
      <c r="K43" s="2" t="str">
        <f>_xlfn.LET(_xlpm.big,IF(H43,DEC2HEX(HEX2DEC(F43),8),DEC2HEX(N43-_xlfn.XLOOKUP(P43,Data!A:A,Data!F:F),8)),_xlfn.CONCAT(MID(_xlpm.big,7,2),MID(_xlpm.big,5,2),MID(_xlpm.big,3,2),MID(_xlpm.big,1,2)))</f>
        <v>FEFFFFFF</v>
      </c>
      <c r="L43" s="2">
        <f t="shared" si="1"/>
        <v>0</v>
      </c>
      <c r="M43" s="2">
        <f t="shared" si="2"/>
        <v>0</v>
      </c>
      <c r="N43" s="2">
        <f t="shared" si="3"/>
        <v>0</v>
      </c>
      <c r="O43" s="2" cm="1">
        <f t="array" ref="O43">_xlfn.IFS(M43&lt;Data!$F$3,0,M43&lt;Data!$F$4,1,TRUE,2)</f>
        <v>0</v>
      </c>
      <c r="P43" s="2" cm="1">
        <f t="array" ref="P43">_xlfn.IFS(H43,3,N43&lt;Data!$F$3,0,N43&lt;Data!$F$4,1,TRUE,2)</f>
        <v>0</v>
      </c>
    </row>
    <row r="44" spans="4:16">
      <c r="D44" s="3"/>
      <c r="E44" s="3"/>
      <c r="F44" s="3"/>
      <c r="G44" s="2" t="str" cm="1">
        <f t="array" ref="G44">_xlfn.CONCAT(IFERROR(I44:K44,""))</f>
        <v>02000000FEFFFFFF</v>
      </c>
      <c r="I44" s="2" t="e">
        <f>_xlfn.LET(_xlpm.big,DEC2HEX(_xlfn.BITLSHIFT(M44-_xlfn.XLOOKUP(O44,Data!A:A,Data!F:F),4)+O44,8),_xlfn.CONCAT(MID(_xlpm.big,7,2),MID(_xlpm.big,5,2),MID(_xlpm.big,3,2),MID(_xlpm.big,1,2)))</f>
        <v>#NUM!</v>
      </c>
      <c r="J44" s="2" t="str">
        <f t="shared" si="0"/>
        <v>02000000</v>
      </c>
      <c r="K44" s="2" t="str">
        <f>_xlfn.LET(_xlpm.big,IF(H44,DEC2HEX(HEX2DEC(F44),8),DEC2HEX(N44-_xlfn.XLOOKUP(P44,Data!A:A,Data!F:F),8)),_xlfn.CONCAT(MID(_xlpm.big,7,2),MID(_xlpm.big,5,2),MID(_xlpm.big,3,2),MID(_xlpm.big,1,2)))</f>
        <v>FEFFFFFF</v>
      </c>
      <c r="L44" s="2">
        <f t="shared" si="1"/>
        <v>0</v>
      </c>
      <c r="M44" s="2">
        <f t="shared" si="2"/>
        <v>0</v>
      </c>
      <c r="N44" s="2">
        <f t="shared" si="3"/>
        <v>0</v>
      </c>
      <c r="O44" s="2" cm="1">
        <f t="array" ref="O44">_xlfn.IFS(M44&lt;Data!$F$3,0,M44&lt;Data!$F$4,1,TRUE,2)</f>
        <v>0</v>
      </c>
      <c r="P44" s="2" cm="1">
        <f t="array" ref="P44">_xlfn.IFS(H44,3,N44&lt;Data!$F$3,0,N44&lt;Data!$F$4,1,TRUE,2)</f>
        <v>0</v>
      </c>
    </row>
    <row r="45" spans="4:16">
      <c r="D45" s="3"/>
      <c r="E45" s="3"/>
      <c r="F45" s="3"/>
      <c r="G45" s="2" t="str" cm="1">
        <f t="array" ref="G45">_xlfn.CONCAT(IFERROR(I45:K45,""))</f>
        <v>02000000FEFFFFFF</v>
      </c>
      <c r="I45" s="2" t="e">
        <f>_xlfn.LET(_xlpm.big,DEC2HEX(_xlfn.BITLSHIFT(M45-_xlfn.XLOOKUP(O45,Data!A:A,Data!F:F),4)+O45,8),_xlfn.CONCAT(MID(_xlpm.big,7,2),MID(_xlpm.big,5,2),MID(_xlpm.big,3,2),MID(_xlpm.big,1,2)))</f>
        <v>#NUM!</v>
      </c>
      <c r="J45" s="2" t="str">
        <f t="shared" si="0"/>
        <v>02000000</v>
      </c>
      <c r="K45" s="2" t="str">
        <f>_xlfn.LET(_xlpm.big,IF(H45,DEC2HEX(HEX2DEC(F45),8),DEC2HEX(N45-_xlfn.XLOOKUP(P45,Data!A:A,Data!F:F),8)),_xlfn.CONCAT(MID(_xlpm.big,7,2),MID(_xlpm.big,5,2),MID(_xlpm.big,3,2),MID(_xlpm.big,1,2)))</f>
        <v>FEFFFFFF</v>
      </c>
      <c r="L45" s="2">
        <f t="shared" si="1"/>
        <v>0</v>
      </c>
      <c r="M45" s="2">
        <f t="shared" si="2"/>
        <v>0</v>
      </c>
      <c r="N45" s="2">
        <f t="shared" si="3"/>
        <v>0</v>
      </c>
      <c r="O45" s="2" cm="1">
        <f t="array" ref="O45">_xlfn.IFS(M45&lt;Data!$F$3,0,M45&lt;Data!$F$4,1,TRUE,2)</f>
        <v>0</v>
      </c>
      <c r="P45" s="2" cm="1">
        <f t="array" ref="P45">_xlfn.IFS(H45,3,N45&lt;Data!$F$3,0,N45&lt;Data!$F$4,1,TRUE,2)</f>
        <v>0</v>
      </c>
    </row>
    <row r="46" spans="4:16">
      <c r="D46" s="3"/>
      <c r="E46" s="3"/>
      <c r="F46" s="3"/>
      <c r="G46" s="2" t="str" cm="1">
        <f t="array" ref="G46">_xlfn.CONCAT(IFERROR(I46:K46,""))</f>
        <v>02000000FEFFFFFF</v>
      </c>
      <c r="I46" s="2" t="e">
        <f>_xlfn.LET(_xlpm.big,DEC2HEX(_xlfn.BITLSHIFT(M46-_xlfn.XLOOKUP(O46,Data!A:A,Data!F:F),4)+O46,8),_xlfn.CONCAT(MID(_xlpm.big,7,2),MID(_xlpm.big,5,2),MID(_xlpm.big,3,2),MID(_xlpm.big,1,2)))</f>
        <v>#NUM!</v>
      </c>
      <c r="J46" s="2" t="str">
        <f t="shared" si="0"/>
        <v>02000000</v>
      </c>
      <c r="K46" s="2" t="str">
        <f>_xlfn.LET(_xlpm.big,IF(H46,DEC2HEX(HEX2DEC(F46),8),DEC2HEX(N46-_xlfn.XLOOKUP(P46,Data!A:A,Data!F:F),8)),_xlfn.CONCAT(MID(_xlpm.big,7,2),MID(_xlpm.big,5,2),MID(_xlpm.big,3,2),MID(_xlpm.big,1,2)))</f>
        <v>FEFFFFFF</v>
      </c>
      <c r="L46" s="2">
        <f t="shared" si="1"/>
        <v>0</v>
      </c>
      <c r="M46" s="2">
        <f t="shared" si="2"/>
        <v>0</v>
      </c>
      <c r="N46" s="2">
        <f t="shared" si="3"/>
        <v>0</v>
      </c>
      <c r="O46" s="2" cm="1">
        <f t="array" ref="O46">_xlfn.IFS(M46&lt;Data!$F$3,0,M46&lt;Data!$F$4,1,TRUE,2)</f>
        <v>0</v>
      </c>
      <c r="P46" s="2" cm="1">
        <f t="array" ref="P46">_xlfn.IFS(H46,3,N46&lt;Data!$F$3,0,N46&lt;Data!$F$4,1,TRUE,2)</f>
        <v>0</v>
      </c>
    </row>
    <row r="47" spans="4:16">
      <c r="D47" s="3"/>
      <c r="E47" s="3"/>
      <c r="F47" s="3"/>
      <c r="G47" s="2" t="str" cm="1">
        <f t="array" ref="G47">_xlfn.CONCAT(IFERROR(I47:K47,""))</f>
        <v>02000000FEFFFFFF</v>
      </c>
      <c r="I47" s="2" t="e">
        <f>_xlfn.LET(_xlpm.big,DEC2HEX(_xlfn.BITLSHIFT(M47-_xlfn.XLOOKUP(O47,Data!A:A,Data!F:F),4)+O47,8),_xlfn.CONCAT(MID(_xlpm.big,7,2),MID(_xlpm.big,5,2),MID(_xlpm.big,3,2),MID(_xlpm.big,1,2)))</f>
        <v>#NUM!</v>
      </c>
      <c r="J47" s="2" t="str">
        <f t="shared" si="0"/>
        <v>02000000</v>
      </c>
      <c r="K47" s="2" t="str">
        <f>_xlfn.LET(_xlpm.big,IF(H47,DEC2HEX(HEX2DEC(F47),8),DEC2HEX(N47-_xlfn.XLOOKUP(P47,Data!A:A,Data!F:F),8)),_xlfn.CONCAT(MID(_xlpm.big,7,2),MID(_xlpm.big,5,2),MID(_xlpm.big,3,2),MID(_xlpm.big,1,2)))</f>
        <v>FEFFFFFF</v>
      </c>
      <c r="L47" s="2">
        <f t="shared" si="1"/>
        <v>0</v>
      </c>
      <c r="M47" s="2">
        <f t="shared" si="2"/>
        <v>0</v>
      </c>
      <c r="N47" s="2">
        <f t="shared" si="3"/>
        <v>0</v>
      </c>
      <c r="O47" s="2" cm="1">
        <f t="array" ref="O47">_xlfn.IFS(M47&lt;Data!$F$3,0,M47&lt;Data!$F$4,1,TRUE,2)</f>
        <v>0</v>
      </c>
      <c r="P47" s="2" cm="1">
        <f t="array" ref="P47">_xlfn.IFS(H47,3,N47&lt;Data!$F$3,0,N47&lt;Data!$F$4,1,TRUE,2)</f>
        <v>0</v>
      </c>
    </row>
    <row r="48" spans="4:16">
      <c r="D48" s="3"/>
      <c r="E48" s="3"/>
      <c r="F48" s="3"/>
      <c r="G48" s="2" t="str" cm="1">
        <f t="array" ref="G48">_xlfn.CONCAT(IFERROR(I48:K48,""))</f>
        <v>02000000FEFFFFFF</v>
      </c>
      <c r="I48" s="2" t="e">
        <f>_xlfn.LET(_xlpm.big,DEC2HEX(_xlfn.BITLSHIFT(M48-_xlfn.XLOOKUP(O48,Data!A:A,Data!F:F),4)+O48,8),_xlfn.CONCAT(MID(_xlpm.big,7,2),MID(_xlpm.big,5,2),MID(_xlpm.big,3,2),MID(_xlpm.big,1,2)))</f>
        <v>#NUM!</v>
      </c>
      <c r="J48" s="2" t="str">
        <f t="shared" si="0"/>
        <v>02000000</v>
      </c>
      <c r="K48" s="2" t="str">
        <f>_xlfn.LET(_xlpm.big,IF(H48,DEC2HEX(HEX2DEC(F48),8),DEC2HEX(N48-_xlfn.XLOOKUP(P48,Data!A:A,Data!F:F),8)),_xlfn.CONCAT(MID(_xlpm.big,7,2),MID(_xlpm.big,5,2),MID(_xlpm.big,3,2),MID(_xlpm.big,1,2)))</f>
        <v>FEFFFFFF</v>
      </c>
      <c r="L48" s="2">
        <f t="shared" si="1"/>
        <v>0</v>
      </c>
      <c r="M48" s="2">
        <f t="shared" si="2"/>
        <v>0</v>
      </c>
      <c r="N48" s="2">
        <f t="shared" si="3"/>
        <v>0</v>
      </c>
      <c r="O48" s="2" cm="1">
        <f t="array" ref="O48">_xlfn.IFS(M48&lt;Data!$F$3,0,M48&lt;Data!$F$4,1,TRUE,2)</f>
        <v>0</v>
      </c>
      <c r="P48" s="2" cm="1">
        <f t="array" ref="P48">_xlfn.IFS(H48,3,N48&lt;Data!$F$3,0,N48&lt;Data!$F$4,1,TRUE,2)</f>
        <v>0</v>
      </c>
    </row>
    <row r="49" spans="4:16">
      <c r="D49" s="3"/>
      <c r="E49" s="3"/>
      <c r="F49" s="3"/>
      <c r="G49" s="2" t="str" cm="1">
        <f t="array" ref="G49">_xlfn.CONCAT(IFERROR(I49:K49,""))</f>
        <v>02000000FEFFFFFF</v>
      </c>
      <c r="I49" s="2" t="e">
        <f>_xlfn.LET(_xlpm.big,DEC2HEX(_xlfn.BITLSHIFT(M49-_xlfn.XLOOKUP(O49,Data!A:A,Data!F:F),4)+O49,8),_xlfn.CONCAT(MID(_xlpm.big,7,2),MID(_xlpm.big,5,2),MID(_xlpm.big,3,2),MID(_xlpm.big,1,2)))</f>
        <v>#NUM!</v>
      </c>
      <c r="J49" s="2" t="str">
        <f t="shared" si="0"/>
        <v>02000000</v>
      </c>
      <c r="K49" s="2" t="str">
        <f>_xlfn.LET(_xlpm.big,IF(H49,DEC2HEX(HEX2DEC(F49),8),DEC2HEX(N49-_xlfn.XLOOKUP(P49,Data!A:A,Data!F:F),8)),_xlfn.CONCAT(MID(_xlpm.big,7,2),MID(_xlpm.big,5,2),MID(_xlpm.big,3,2),MID(_xlpm.big,1,2)))</f>
        <v>FEFFFFFF</v>
      </c>
      <c r="L49" s="2">
        <f t="shared" si="1"/>
        <v>0</v>
      </c>
      <c r="M49" s="2">
        <f t="shared" si="2"/>
        <v>0</v>
      </c>
      <c r="N49" s="2">
        <f t="shared" si="3"/>
        <v>0</v>
      </c>
      <c r="O49" s="2" cm="1">
        <f t="array" ref="O49">_xlfn.IFS(M49&lt;Data!$F$3,0,M49&lt;Data!$F$4,1,TRUE,2)</f>
        <v>0</v>
      </c>
      <c r="P49" s="2" cm="1">
        <f t="array" ref="P49">_xlfn.IFS(H49,3,N49&lt;Data!$F$3,0,N49&lt;Data!$F$4,1,TRUE,2)</f>
        <v>0</v>
      </c>
    </row>
    <row r="50" spans="4:16">
      <c r="D50" s="3"/>
      <c r="E50" s="3"/>
      <c r="F50" s="3"/>
      <c r="G50" s="2" t="str" cm="1">
        <f t="array" ref="G50">_xlfn.CONCAT(IFERROR(I50:K50,""))</f>
        <v>02000000FEFFFFFF</v>
      </c>
      <c r="I50" s="2" t="e">
        <f>_xlfn.LET(_xlpm.big,DEC2HEX(_xlfn.BITLSHIFT(M50-_xlfn.XLOOKUP(O50,Data!A:A,Data!F:F),4)+O50,8),_xlfn.CONCAT(MID(_xlpm.big,7,2),MID(_xlpm.big,5,2),MID(_xlpm.big,3,2),MID(_xlpm.big,1,2)))</f>
        <v>#NUM!</v>
      </c>
      <c r="J50" s="2" t="str">
        <f t="shared" si="0"/>
        <v>02000000</v>
      </c>
      <c r="K50" s="2" t="str">
        <f>_xlfn.LET(_xlpm.big,IF(H50,DEC2HEX(HEX2DEC(F50),8),DEC2HEX(N50-_xlfn.XLOOKUP(P50,Data!A:A,Data!F:F),8)),_xlfn.CONCAT(MID(_xlpm.big,7,2),MID(_xlpm.big,5,2),MID(_xlpm.big,3,2),MID(_xlpm.big,1,2)))</f>
        <v>FEFFFFFF</v>
      </c>
      <c r="L50" s="2">
        <f t="shared" si="1"/>
        <v>0</v>
      </c>
      <c r="M50" s="2">
        <f t="shared" si="2"/>
        <v>0</v>
      </c>
      <c r="N50" s="2">
        <f t="shared" si="3"/>
        <v>0</v>
      </c>
      <c r="O50" s="2" cm="1">
        <f t="array" ref="O50">_xlfn.IFS(M50&lt;Data!$F$3,0,M50&lt;Data!$F$4,1,TRUE,2)</f>
        <v>0</v>
      </c>
      <c r="P50" s="2" cm="1">
        <f t="array" ref="P50">_xlfn.IFS(H50,3,N50&lt;Data!$F$3,0,N50&lt;Data!$F$4,1,TRUE,2)</f>
        <v>0</v>
      </c>
    </row>
    <row r="51" spans="4:16">
      <c r="D51" s="3"/>
      <c r="E51" s="3"/>
      <c r="F51" s="3"/>
      <c r="G51" s="2" t="str" cm="1">
        <f t="array" ref="G51">_xlfn.CONCAT(IFERROR(I51:K51,""))</f>
        <v>02000000FEFFFFFF</v>
      </c>
      <c r="I51" s="2" t="e">
        <f>_xlfn.LET(_xlpm.big,DEC2HEX(_xlfn.BITLSHIFT(M51-_xlfn.XLOOKUP(O51,Data!A:A,Data!F:F),4)+O51,8),_xlfn.CONCAT(MID(_xlpm.big,7,2),MID(_xlpm.big,5,2),MID(_xlpm.big,3,2),MID(_xlpm.big,1,2)))</f>
        <v>#NUM!</v>
      </c>
      <c r="J51" s="2" t="str">
        <f t="shared" si="0"/>
        <v>02000000</v>
      </c>
      <c r="K51" s="2" t="str">
        <f>_xlfn.LET(_xlpm.big,IF(H51,DEC2HEX(HEX2DEC(F51),8),DEC2HEX(N51-_xlfn.XLOOKUP(P51,Data!A:A,Data!F:F),8)),_xlfn.CONCAT(MID(_xlpm.big,7,2),MID(_xlpm.big,5,2),MID(_xlpm.big,3,2),MID(_xlpm.big,1,2)))</f>
        <v>FEFFFFFF</v>
      </c>
      <c r="L51" s="2">
        <f t="shared" si="1"/>
        <v>0</v>
      </c>
      <c r="M51" s="2">
        <f t="shared" si="2"/>
        <v>0</v>
      </c>
      <c r="N51" s="2">
        <f t="shared" si="3"/>
        <v>0</v>
      </c>
      <c r="O51" s="2" cm="1">
        <f t="array" ref="O51">_xlfn.IFS(M51&lt;Data!$F$3,0,M51&lt;Data!$F$4,1,TRUE,2)</f>
        <v>0</v>
      </c>
      <c r="P51" s="2" cm="1">
        <f t="array" ref="P51">_xlfn.IFS(H51,3,N51&lt;Data!$F$3,0,N51&lt;Data!$F$4,1,TRUE,2)</f>
        <v>0</v>
      </c>
    </row>
    <row r="52" spans="4:16">
      <c r="D52" s="3"/>
      <c r="E52" s="3"/>
      <c r="F52" s="3"/>
      <c r="G52" s="2" t="str" cm="1">
        <f t="array" ref="G52">_xlfn.CONCAT(IFERROR(I52:K52,""))</f>
        <v>02000000FEFFFFFF</v>
      </c>
      <c r="I52" s="2" t="e">
        <f>_xlfn.LET(_xlpm.big,DEC2HEX(_xlfn.BITLSHIFT(M52-_xlfn.XLOOKUP(O52,Data!A:A,Data!F:F),4)+O52,8),_xlfn.CONCAT(MID(_xlpm.big,7,2),MID(_xlpm.big,5,2),MID(_xlpm.big,3,2),MID(_xlpm.big,1,2)))</f>
        <v>#NUM!</v>
      </c>
      <c r="J52" s="2" t="str">
        <f t="shared" si="0"/>
        <v>02000000</v>
      </c>
      <c r="K52" s="2" t="str">
        <f>_xlfn.LET(_xlpm.big,IF(H52,DEC2HEX(HEX2DEC(F52),8),DEC2HEX(N52-_xlfn.XLOOKUP(P52,Data!A:A,Data!F:F),8)),_xlfn.CONCAT(MID(_xlpm.big,7,2),MID(_xlpm.big,5,2),MID(_xlpm.big,3,2),MID(_xlpm.big,1,2)))</f>
        <v>FEFFFFFF</v>
      </c>
      <c r="L52" s="2">
        <f t="shared" si="1"/>
        <v>0</v>
      </c>
      <c r="M52" s="2">
        <f t="shared" si="2"/>
        <v>0</v>
      </c>
      <c r="N52" s="2">
        <f t="shared" si="3"/>
        <v>0</v>
      </c>
      <c r="O52" s="2" cm="1">
        <f t="array" ref="O52">_xlfn.IFS(M52&lt;Data!$F$3,0,M52&lt;Data!$F$4,1,TRUE,2)</f>
        <v>0</v>
      </c>
      <c r="P52" s="2" cm="1">
        <f t="array" ref="P52">_xlfn.IFS(H52,3,N52&lt;Data!$F$3,0,N52&lt;Data!$F$4,1,TRUE,2)</f>
        <v>0</v>
      </c>
    </row>
    <row r="53" spans="4:16">
      <c r="D53" s="3"/>
      <c r="E53" s="3"/>
      <c r="F53" s="3"/>
      <c r="G53" s="2" t="str" cm="1">
        <f t="array" ref="G53">_xlfn.CONCAT(IFERROR(I53:K53,""))</f>
        <v>02000000FEFFFFFF</v>
      </c>
      <c r="I53" s="2" t="e">
        <f>_xlfn.LET(_xlpm.big,DEC2HEX(_xlfn.BITLSHIFT(M53-_xlfn.XLOOKUP(O53,Data!A:A,Data!F:F),4)+O53,8),_xlfn.CONCAT(MID(_xlpm.big,7,2),MID(_xlpm.big,5,2),MID(_xlpm.big,3,2),MID(_xlpm.big,1,2)))</f>
        <v>#NUM!</v>
      </c>
      <c r="J53" s="2" t="str">
        <f t="shared" si="0"/>
        <v>02000000</v>
      </c>
      <c r="K53" s="2" t="str">
        <f>_xlfn.LET(_xlpm.big,IF(H53,DEC2HEX(HEX2DEC(F53),8),DEC2HEX(N53-_xlfn.XLOOKUP(P53,Data!A:A,Data!F:F),8)),_xlfn.CONCAT(MID(_xlpm.big,7,2),MID(_xlpm.big,5,2),MID(_xlpm.big,3,2),MID(_xlpm.big,1,2)))</f>
        <v>FEFFFFFF</v>
      </c>
      <c r="L53" s="2">
        <f t="shared" si="1"/>
        <v>0</v>
      </c>
      <c r="M53" s="2">
        <f t="shared" si="2"/>
        <v>0</v>
      </c>
      <c r="N53" s="2">
        <f t="shared" si="3"/>
        <v>0</v>
      </c>
      <c r="O53" s="2" cm="1">
        <f t="array" ref="O53">_xlfn.IFS(M53&lt;Data!$F$3,0,M53&lt;Data!$F$4,1,TRUE,2)</f>
        <v>0</v>
      </c>
      <c r="P53" s="2" cm="1">
        <f t="array" ref="P53">_xlfn.IFS(H53,3,N53&lt;Data!$F$3,0,N53&lt;Data!$F$4,1,TRUE,2)</f>
        <v>0</v>
      </c>
    </row>
    <row r="54" spans="4:16">
      <c r="D54" s="3"/>
      <c r="E54" s="3"/>
      <c r="F54" s="3"/>
      <c r="G54" s="2" t="str" cm="1">
        <f t="array" ref="G54">_xlfn.CONCAT(IFERROR(I54:K54,""))</f>
        <v>02000000FEFFFFFF</v>
      </c>
      <c r="I54" s="2" t="e">
        <f>_xlfn.LET(_xlpm.big,DEC2HEX(_xlfn.BITLSHIFT(M54-_xlfn.XLOOKUP(O54,Data!A:A,Data!F:F),4)+O54,8),_xlfn.CONCAT(MID(_xlpm.big,7,2),MID(_xlpm.big,5,2),MID(_xlpm.big,3,2),MID(_xlpm.big,1,2)))</f>
        <v>#NUM!</v>
      </c>
      <c r="J54" s="2" t="str">
        <f t="shared" si="0"/>
        <v>02000000</v>
      </c>
      <c r="K54" s="2" t="str">
        <f>_xlfn.LET(_xlpm.big,IF(H54,DEC2HEX(HEX2DEC(F54),8),DEC2HEX(N54-_xlfn.XLOOKUP(P54,Data!A:A,Data!F:F),8)),_xlfn.CONCAT(MID(_xlpm.big,7,2),MID(_xlpm.big,5,2),MID(_xlpm.big,3,2),MID(_xlpm.big,1,2)))</f>
        <v>FEFFFFFF</v>
      </c>
      <c r="L54" s="2">
        <f t="shared" si="1"/>
        <v>0</v>
      </c>
      <c r="M54" s="2">
        <f t="shared" si="2"/>
        <v>0</v>
      </c>
      <c r="N54" s="2">
        <f t="shared" si="3"/>
        <v>0</v>
      </c>
      <c r="O54" s="2" cm="1">
        <f t="array" ref="O54">_xlfn.IFS(M54&lt;Data!$F$3,0,M54&lt;Data!$F$4,1,TRUE,2)</f>
        <v>0</v>
      </c>
      <c r="P54" s="2" cm="1">
        <f t="array" ref="P54">_xlfn.IFS(H54,3,N54&lt;Data!$F$3,0,N54&lt;Data!$F$4,1,TRUE,2)</f>
        <v>0</v>
      </c>
    </row>
    <row r="55" spans="4:16">
      <c r="D55" s="3"/>
      <c r="E55" s="3"/>
      <c r="F55" s="3"/>
      <c r="G55" s="2" t="str" cm="1">
        <f t="array" ref="G55">_xlfn.CONCAT(IFERROR(I55:K55,""))</f>
        <v>02000000FEFFFFFF</v>
      </c>
      <c r="I55" s="2" t="e">
        <f>_xlfn.LET(_xlpm.big,DEC2HEX(_xlfn.BITLSHIFT(M55-_xlfn.XLOOKUP(O55,Data!A:A,Data!F:F),4)+O55,8),_xlfn.CONCAT(MID(_xlpm.big,7,2),MID(_xlpm.big,5,2),MID(_xlpm.big,3,2),MID(_xlpm.big,1,2)))</f>
        <v>#NUM!</v>
      </c>
      <c r="J55" s="2" t="str">
        <f t="shared" si="0"/>
        <v>02000000</v>
      </c>
      <c r="K55" s="2" t="str">
        <f>_xlfn.LET(_xlpm.big,IF(H55,DEC2HEX(HEX2DEC(F55),8),DEC2HEX(N55-_xlfn.XLOOKUP(P55,Data!A:A,Data!F:F),8)),_xlfn.CONCAT(MID(_xlpm.big,7,2),MID(_xlpm.big,5,2),MID(_xlpm.big,3,2),MID(_xlpm.big,1,2)))</f>
        <v>FEFFFFFF</v>
      </c>
      <c r="L55" s="2">
        <f t="shared" si="1"/>
        <v>0</v>
      </c>
      <c r="M55" s="2">
        <f t="shared" si="2"/>
        <v>0</v>
      </c>
      <c r="N55" s="2">
        <f t="shared" si="3"/>
        <v>0</v>
      </c>
      <c r="O55" s="2" cm="1">
        <f t="array" ref="O55">_xlfn.IFS(M55&lt;Data!$F$3,0,M55&lt;Data!$F$4,1,TRUE,2)</f>
        <v>0</v>
      </c>
      <c r="P55" s="2" cm="1">
        <f t="array" ref="P55">_xlfn.IFS(H55,3,N55&lt;Data!$F$3,0,N55&lt;Data!$F$4,1,TRUE,2)</f>
        <v>0</v>
      </c>
    </row>
    <row r="56" spans="4:16">
      <c r="D56" s="3"/>
      <c r="E56" s="3"/>
      <c r="F56" s="3"/>
      <c r="G56" s="2" t="str" cm="1">
        <f t="array" ref="G56">_xlfn.CONCAT(IFERROR(I56:K56,""))</f>
        <v>02000000FEFFFFFF</v>
      </c>
      <c r="I56" s="2" t="e">
        <f>_xlfn.LET(_xlpm.big,DEC2HEX(_xlfn.BITLSHIFT(M56-_xlfn.XLOOKUP(O56,Data!A:A,Data!F:F),4)+O56,8),_xlfn.CONCAT(MID(_xlpm.big,7,2),MID(_xlpm.big,5,2),MID(_xlpm.big,3,2),MID(_xlpm.big,1,2)))</f>
        <v>#NUM!</v>
      </c>
      <c r="J56" s="2" t="str">
        <f t="shared" si="0"/>
        <v>02000000</v>
      </c>
      <c r="K56" s="2" t="str">
        <f>_xlfn.LET(_xlpm.big,IF(H56,DEC2HEX(HEX2DEC(F56),8),DEC2HEX(N56-_xlfn.XLOOKUP(P56,Data!A:A,Data!F:F),8)),_xlfn.CONCAT(MID(_xlpm.big,7,2),MID(_xlpm.big,5,2),MID(_xlpm.big,3,2),MID(_xlpm.big,1,2)))</f>
        <v>FEFFFFFF</v>
      </c>
      <c r="L56" s="2">
        <f t="shared" si="1"/>
        <v>0</v>
      </c>
      <c r="M56" s="2">
        <f t="shared" si="2"/>
        <v>0</v>
      </c>
      <c r="N56" s="2">
        <f t="shared" si="3"/>
        <v>0</v>
      </c>
      <c r="O56" s="2" cm="1">
        <f t="array" ref="O56">_xlfn.IFS(M56&lt;Data!$F$3,0,M56&lt;Data!$F$4,1,TRUE,2)</f>
        <v>0</v>
      </c>
      <c r="P56" s="2" cm="1">
        <f t="array" ref="P56">_xlfn.IFS(H56,3,N56&lt;Data!$F$3,0,N56&lt;Data!$F$4,1,TRUE,2)</f>
        <v>0</v>
      </c>
    </row>
    <row r="57" spans="4:16">
      <c r="D57" s="3"/>
      <c r="E57" s="3"/>
      <c r="F57" s="3"/>
      <c r="G57" s="2" t="str" cm="1">
        <f t="array" ref="G57">_xlfn.CONCAT(IFERROR(I57:K57,""))</f>
        <v>02000000FEFFFFFF</v>
      </c>
      <c r="I57" s="2" t="e">
        <f>_xlfn.LET(_xlpm.big,DEC2HEX(_xlfn.BITLSHIFT(M57-_xlfn.XLOOKUP(O57,Data!A:A,Data!F:F),4)+O57,8),_xlfn.CONCAT(MID(_xlpm.big,7,2),MID(_xlpm.big,5,2),MID(_xlpm.big,3,2),MID(_xlpm.big,1,2)))</f>
        <v>#NUM!</v>
      </c>
      <c r="J57" s="2" t="str">
        <f t="shared" si="0"/>
        <v>02000000</v>
      </c>
      <c r="K57" s="2" t="str">
        <f>_xlfn.LET(_xlpm.big,IF(H57,DEC2HEX(HEX2DEC(F57),8),DEC2HEX(N57-_xlfn.XLOOKUP(P57,Data!A:A,Data!F:F),8)),_xlfn.CONCAT(MID(_xlpm.big,7,2),MID(_xlpm.big,5,2),MID(_xlpm.big,3,2),MID(_xlpm.big,1,2)))</f>
        <v>FEFFFFFF</v>
      </c>
      <c r="L57" s="2">
        <f t="shared" si="1"/>
        <v>0</v>
      </c>
      <c r="M57" s="2">
        <f t="shared" si="2"/>
        <v>0</v>
      </c>
      <c r="N57" s="2">
        <f t="shared" si="3"/>
        <v>0</v>
      </c>
      <c r="O57" s="2" cm="1">
        <f t="array" ref="O57">_xlfn.IFS(M57&lt;Data!$F$3,0,M57&lt;Data!$F$4,1,TRUE,2)</f>
        <v>0</v>
      </c>
      <c r="P57" s="2" cm="1">
        <f t="array" ref="P57">_xlfn.IFS(H57,3,N57&lt;Data!$F$3,0,N57&lt;Data!$F$4,1,TRUE,2)</f>
        <v>0</v>
      </c>
    </row>
    <row r="58" spans="4:16">
      <c r="D58" s="3"/>
      <c r="E58" s="3"/>
      <c r="F58" s="3"/>
      <c r="G58" s="2" t="str" cm="1">
        <f t="array" ref="G58">_xlfn.CONCAT(IFERROR(I58:K58,""))</f>
        <v>02000000FEFFFFFF</v>
      </c>
      <c r="I58" s="2" t="e">
        <f>_xlfn.LET(_xlpm.big,DEC2HEX(_xlfn.BITLSHIFT(M58-_xlfn.XLOOKUP(O58,Data!A:A,Data!F:F),4)+O58,8),_xlfn.CONCAT(MID(_xlpm.big,7,2),MID(_xlpm.big,5,2),MID(_xlpm.big,3,2),MID(_xlpm.big,1,2)))</f>
        <v>#NUM!</v>
      </c>
      <c r="J58" s="2" t="str">
        <f t="shared" si="0"/>
        <v>02000000</v>
      </c>
      <c r="K58" s="2" t="str">
        <f>_xlfn.LET(_xlpm.big,IF(H58,DEC2HEX(HEX2DEC(F58),8),DEC2HEX(N58-_xlfn.XLOOKUP(P58,Data!A:A,Data!F:F),8)),_xlfn.CONCAT(MID(_xlpm.big,7,2),MID(_xlpm.big,5,2),MID(_xlpm.big,3,2),MID(_xlpm.big,1,2)))</f>
        <v>FEFFFFFF</v>
      </c>
      <c r="L58" s="2">
        <f t="shared" si="1"/>
        <v>0</v>
      </c>
      <c r="M58" s="2">
        <f t="shared" si="2"/>
        <v>0</v>
      </c>
      <c r="N58" s="2">
        <f t="shared" si="3"/>
        <v>0</v>
      </c>
      <c r="O58" s="2" cm="1">
        <f t="array" ref="O58">_xlfn.IFS(M58&lt;Data!$F$3,0,M58&lt;Data!$F$4,1,TRUE,2)</f>
        <v>0</v>
      </c>
      <c r="P58" s="2" cm="1">
        <f t="array" ref="P58">_xlfn.IFS(H58,3,N58&lt;Data!$F$3,0,N58&lt;Data!$F$4,1,TRUE,2)</f>
        <v>0</v>
      </c>
    </row>
    <row r="59" spans="4:16">
      <c r="D59" s="3"/>
      <c r="E59" s="3"/>
      <c r="F59" s="3"/>
      <c r="G59" s="2" t="str" cm="1">
        <f t="array" ref="G59">_xlfn.CONCAT(IFERROR(I59:K59,""))</f>
        <v>02000000FEFFFFFF</v>
      </c>
      <c r="I59" s="2" t="e">
        <f>_xlfn.LET(_xlpm.big,DEC2HEX(_xlfn.BITLSHIFT(M59-_xlfn.XLOOKUP(O59,Data!A:A,Data!F:F),4)+O59,8),_xlfn.CONCAT(MID(_xlpm.big,7,2),MID(_xlpm.big,5,2),MID(_xlpm.big,3,2),MID(_xlpm.big,1,2)))</f>
        <v>#NUM!</v>
      </c>
      <c r="J59" s="2" t="str">
        <f t="shared" si="0"/>
        <v>02000000</v>
      </c>
      <c r="K59" s="2" t="str">
        <f>_xlfn.LET(_xlpm.big,IF(H59,DEC2HEX(HEX2DEC(F59),8),DEC2HEX(N59-_xlfn.XLOOKUP(P59,Data!A:A,Data!F:F),8)),_xlfn.CONCAT(MID(_xlpm.big,7,2),MID(_xlpm.big,5,2),MID(_xlpm.big,3,2),MID(_xlpm.big,1,2)))</f>
        <v>FEFFFFFF</v>
      </c>
      <c r="L59" s="2">
        <f t="shared" si="1"/>
        <v>0</v>
      </c>
      <c r="M59" s="2">
        <f t="shared" si="2"/>
        <v>0</v>
      </c>
      <c r="N59" s="2">
        <f t="shared" si="3"/>
        <v>0</v>
      </c>
      <c r="O59" s="2" cm="1">
        <f t="array" ref="O59">_xlfn.IFS(M59&lt;Data!$F$3,0,M59&lt;Data!$F$4,1,TRUE,2)</f>
        <v>0</v>
      </c>
      <c r="P59" s="2" cm="1">
        <f t="array" ref="P59">_xlfn.IFS(H59,3,N59&lt;Data!$F$3,0,N59&lt;Data!$F$4,1,TRUE,2)</f>
        <v>0</v>
      </c>
    </row>
    <row r="60" spans="4:16">
      <c r="D60" s="3"/>
      <c r="E60" s="3"/>
      <c r="F60" s="3"/>
      <c r="G60" s="2" t="str" cm="1">
        <f t="array" ref="G60">_xlfn.CONCAT(IFERROR(I60:K60,""))</f>
        <v>02000000FEFFFFFF</v>
      </c>
      <c r="I60" s="2" t="e">
        <f>_xlfn.LET(_xlpm.big,DEC2HEX(_xlfn.BITLSHIFT(M60-_xlfn.XLOOKUP(O60,Data!A:A,Data!F:F),4)+O60,8),_xlfn.CONCAT(MID(_xlpm.big,7,2),MID(_xlpm.big,5,2),MID(_xlpm.big,3,2),MID(_xlpm.big,1,2)))</f>
        <v>#NUM!</v>
      </c>
      <c r="J60" s="2" t="str">
        <f t="shared" si="0"/>
        <v>02000000</v>
      </c>
      <c r="K60" s="2" t="str">
        <f>_xlfn.LET(_xlpm.big,IF(H60,DEC2HEX(HEX2DEC(F60),8),DEC2HEX(N60-_xlfn.XLOOKUP(P60,Data!A:A,Data!F:F),8)),_xlfn.CONCAT(MID(_xlpm.big,7,2),MID(_xlpm.big,5,2),MID(_xlpm.big,3,2),MID(_xlpm.big,1,2)))</f>
        <v>FEFFFFFF</v>
      </c>
      <c r="L60" s="2">
        <f t="shared" si="1"/>
        <v>0</v>
      </c>
      <c r="M60" s="2">
        <f t="shared" si="2"/>
        <v>0</v>
      </c>
      <c r="N60" s="2">
        <f t="shared" si="3"/>
        <v>0</v>
      </c>
      <c r="O60" s="2" cm="1">
        <f t="array" ref="O60">_xlfn.IFS(M60&lt;Data!$F$3,0,M60&lt;Data!$F$4,1,TRUE,2)</f>
        <v>0</v>
      </c>
      <c r="P60" s="2" cm="1">
        <f t="array" ref="P60">_xlfn.IFS(H60,3,N60&lt;Data!$F$3,0,N60&lt;Data!$F$4,1,TRUE,2)</f>
        <v>0</v>
      </c>
    </row>
    <row r="61" spans="4:16">
      <c r="G61" s="2" t="str" cm="1">
        <f t="array" ref="G61">_xlfn.CONCAT(IFERROR(I61:K61,""))</f>
        <v>02000000FEFFFFFF</v>
      </c>
      <c r="I61" s="2" t="e">
        <f>_xlfn.LET(_xlpm.big,DEC2HEX(_xlfn.BITLSHIFT(M61-_xlfn.XLOOKUP(O61,Data!A:A,Data!F:F),4)+O61,8),_xlfn.CONCAT(MID(_xlpm.big,7,2),MID(_xlpm.big,5,2),MID(_xlpm.big,3,2),MID(_xlpm.big,1,2)))</f>
        <v>#NUM!</v>
      </c>
      <c r="J61" s="2" t="str">
        <f t="shared" si="0"/>
        <v>02000000</v>
      </c>
      <c r="K61" s="2" t="str">
        <f>_xlfn.LET(_xlpm.big,IF(H61,DEC2HEX(HEX2DEC(F61),8),DEC2HEX(N61-_xlfn.XLOOKUP(P61,Data!A:A,Data!F:F),8)),_xlfn.CONCAT(MID(_xlpm.big,7,2),MID(_xlpm.big,5,2),MID(_xlpm.big,3,2),MID(_xlpm.big,1,2)))</f>
        <v>FEFFFFFF</v>
      </c>
      <c r="L61" s="2">
        <f t="shared" si="1"/>
        <v>0</v>
      </c>
      <c r="M61" s="2">
        <f t="shared" si="2"/>
        <v>0</v>
      </c>
      <c r="N61" s="2">
        <f t="shared" si="3"/>
        <v>0</v>
      </c>
      <c r="O61" s="2" cm="1">
        <f t="array" ref="O61">_xlfn.IFS(M61&lt;Data!$F$3,0,M61&lt;Data!$F$4,1,TRUE,2)</f>
        <v>0</v>
      </c>
      <c r="P61" s="2" cm="1">
        <f t="array" ref="P61">_xlfn.IFS(H61,3,N61&lt;Data!$F$3,0,N61&lt;Data!$F$4,1,TRUE,2)</f>
        <v>0</v>
      </c>
    </row>
    <row r="62" spans="4:16">
      <c r="F62" s="3"/>
      <c r="G62" s="2" t="str" cm="1">
        <f t="array" ref="G62">_xlfn.CONCAT(IFERROR(I62:K62,""))</f>
        <v>02000000FEFFFFFF</v>
      </c>
      <c r="I62" s="2" t="e">
        <f>_xlfn.LET(_xlpm.big,DEC2HEX(_xlfn.BITLSHIFT(M62-_xlfn.XLOOKUP(O62,Data!A:A,Data!F:F),4)+O62,8),_xlfn.CONCAT(MID(_xlpm.big,7,2),MID(_xlpm.big,5,2),MID(_xlpm.big,3,2),MID(_xlpm.big,1,2)))</f>
        <v>#NUM!</v>
      </c>
      <c r="J62" s="2" t="str">
        <f t="shared" si="0"/>
        <v>02000000</v>
      </c>
      <c r="K62" s="2" t="str">
        <f>_xlfn.LET(_xlpm.big,IF(H62,DEC2HEX(HEX2DEC(F62),8),DEC2HEX(N62-_xlfn.XLOOKUP(P62,Data!A:A,Data!F:F),8)),_xlfn.CONCAT(MID(_xlpm.big,7,2),MID(_xlpm.big,5,2),MID(_xlpm.big,3,2),MID(_xlpm.big,1,2)))</f>
        <v>FEFFFFFF</v>
      </c>
      <c r="L62" s="2">
        <f t="shared" si="1"/>
        <v>0</v>
      </c>
      <c r="M62" s="2">
        <f t="shared" si="2"/>
        <v>0</v>
      </c>
      <c r="N62" s="2">
        <f t="shared" si="3"/>
        <v>0</v>
      </c>
      <c r="O62" s="2" cm="1">
        <f t="array" ref="O62">_xlfn.IFS(M62&lt;Data!$F$3,0,M62&lt;Data!$F$4,1,TRUE,2)</f>
        <v>0</v>
      </c>
      <c r="P62" s="2" cm="1">
        <f t="array" ref="P62">_xlfn.IFS(H62,3,N62&lt;Data!$F$3,0,N62&lt;Data!$F$4,1,TRUE,2)</f>
        <v>0</v>
      </c>
    </row>
    <row r="63" spans="4:16">
      <c r="D63" s="3"/>
      <c r="E63" s="3"/>
      <c r="F63" s="3"/>
      <c r="G63" s="2" t="str" cm="1">
        <f t="array" ref="G63">_xlfn.CONCAT(IFERROR(I63:K63,""))</f>
        <v>02000000FEFFFFFF</v>
      </c>
      <c r="I63" s="2" t="e">
        <f>_xlfn.LET(_xlpm.big,DEC2HEX(_xlfn.BITLSHIFT(M63-_xlfn.XLOOKUP(O63,Data!A:A,Data!F:F),4)+O63,8),_xlfn.CONCAT(MID(_xlpm.big,7,2),MID(_xlpm.big,5,2),MID(_xlpm.big,3,2),MID(_xlpm.big,1,2)))</f>
        <v>#NUM!</v>
      </c>
      <c r="J63" s="2" t="str">
        <f t="shared" si="0"/>
        <v>02000000</v>
      </c>
      <c r="K63" s="2" t="str">
        <f>_xlfn.LET(_xlpm.big,IF(H63,DEC2HEX(HEX2DEC(F63),8),DEC2HEX(N63-_xlfn.XLOOKUP(P63,Data!A:A,Data!F:F),8)),_xlfn.CONCAT(MID(_xlpm.big,7,2),MID(_xlpm.big,5,2),MID(_xlpm.big,3,2),MID(_xlpm.big,1,2)))</f>
        <v>FEFFFFFF</v>
      </c>
      <c r="L63" s="2">
        <f t="shared" si="1"/>
        <v>0</v>
      </c>
      <c r="M63" s="2">
        <f t="shared" si="2"/>
        <v>0</v>
      </c>
      <c r="N63" s="2">
        <f t="shared" si="3"/>
        <v>0</v>
      </c>
      <c r="O63" s="2" cm="1">
        <f t="array" ref="O63">_xlfn.IFS(M63&lt;Data!$F$3,0,M63&lt;Data!$F$4,1,TRUE,2)</f>
        <v>0</v>
      </c>
      <c r="P63" s="2" cm="1">
        <f t="array" ref="P63">_xlfn.IFS(H63,3,N63&lt;Data!$F$3,0,N63&lt;Data!$F$4,1,TRUE,2)</f>
        <v>0</v>
      </c>
    </row>
    <row r="64" spans="4:16">
      <c r="G64" s="2" t="str" cm="1">
        <f t="array" ref="G64">_xlfn.CONCAT(IFERROR(I64:K64,""))</f>
        <v>02000000FEFFFFFF</v>
      </c>
      <c r="I64" s="2" t="e">
        <f>_xlfn.LET(_xlpm.big,DEC2HEX(_xlfn.BITLSHIFT(M64-_xlfn.XLOOKUP(O64,Data!A:A,Data!F:F),4)+O64,8),_xlfn.CONCAT(MID(_xlpm.big,7,2),MID(_xlpm.big,5,2),MID(_xlpm.big,3,2),MID(_xlpm.big,1,2)))</f>
        <v>#NUM!</v>
      </c>
      <c r="J64" s="2" t="str">
        <f t="shared" si="0"/>
        <v>02000000</v>
      </c>
      <c r="K64" s="2" t="str">
        <f>_xlfn.LET(_xlpm.big,IF(H64,DEC2HEX(HEX2DEC(F64),8),DEC2HEX(N64-_xlfn.XLOOKUP(P64,Data!A:A,Data!F:F),8)),_xlfn.CONCAT(MID(_xlpm.big,7,2),MID(_xlpm.big,5,2),MID(_xlpm.big,3,2),MID(_xlpm.big,1,2)))</f>
        <v>FEFFFFFF</v>
      </c>
      <c r="L64" s="2">
        <f t="shared" si="1"/>
        <v>0</v>
      </c>
      <c r="M64" s="2">
        <f t="shared" si="2"/>
        <v>0</v>
      </c>
      <c r="N64" s="2">
        <f t="shared" si="3"/>
        <v>0</v>
      </c>
      <c r="O64" s="2" cm="1">
        <f t="array" ref="O64">_xlfn.IFS(M64&lt;Data!$F$3,0,M64&lt;Data!$F$4,1,TRUE,2)</f>
        <v>0</v>
      </c>
      <c r="P64" s="2" cm="1">
        <f t="array" ref="P64">_xlfn.IFS(H64,3,N64&lt;Data!$F$3,0,N64&lt;Data!$F$4,1,TRUE,2)</f>
        <v>0</v>
      </c>
    </row>
    <row r="65" spans="4:16">
      <c r="D65" s="3"/>
      <c r="E65" s="3"/>
      <c r="F65" s="3"/>
      <c r="G65" s="2" t="str" cm="1">
        <f t="array" ref="G65">_xlfn.CONCAT(IFERROR(I65:K65,""))</f>
        <v>02000000FEFFFFFF</v>
      </c>
      <c r="I65" s="2" t="e">
        <f>_xlfn.LET(_xlpm.big,DEC2HEX(_xlfn.BITLSHIFT(M65-_xlfn.XLOOKUP(O65,Data!A:A,Data!F:F),4)+O65,8),_xlfn.CONCAT(MID(_xlpm.big,7,2),MID(_xlpm.big,5,2),MID(_xlpm.big,3,2),MID(_xlpm.big,1,2)))</f>
        <v>#NUM!</v>
      </c>
      <c r="J65" s="2" t="str">
        <f t="shared" si="0"/>
        <v>02000000</v>
      </c>
      <c r="K65" s="2" t="str">
        <f>_xlfn.LET(_xlpm.big,IF(H65,DEC2HEX(HEX2DEC(F65),8),DEC2HEX(N65-_xlfn.XLOOKUP(P65,Data!A:A,Data!F:F),8)),_xlfn.CONCAT(MID(_xlpm.big,7,2),MID(_xlpm.big,5,2),MID(_xlpm.big,3,2),MID(_xlpm.big,1,2)))</f>
        <v>FEFFFFFF</v>
      </c>
      <c r="L65" s="2">
        <f t="shared" si="1"/>
        <v>0</v>
      </c>
      <c r="M65" s="2">
        <f t="shared" si="2"/>
        <v>0</v>
      </c>
      <c r="N65" s="2">
        <f t="shared" si="3"/>
        <v>0</v>
      </c>
      <c r="O65" s="2" cm="1">
        <f t="array" ref="O65">_xlfn.IFS(M65&lt;Data!$F$3,0,M65&lt;Data!$F$4,1,TRUE,2)</f>
        <v>0</v>
      </c>
      <c r="P65" s="2" cm="1">
        <f t="array" ref="P65">_xlfn.IFS(H65,3,N65&lt;Data!$F$3,0,N65&lt;Data!$F$4,1,TRUE,2)</f>
        <v>0</v>
      </c>
    </row>
    <row r="66" spans="4:16">
      <c r="D66" s="3"/>
      <c r="E66" s="3"/>
      <c r="F66" s="3"/>
      <c r="G66" s="2" t="str" cm="1">
        <f t="array" ref="G66">_xlfn.CONCAT(IFERROR(I66:K66,""))</f>
        <v>02000000FEFFFFFF</v>
      </c>
      <c r="I66" s="2" t="e">
        <f>_xlfn.LET(_xlpm.big,DEC2HEX(_xlfn.BITLSHIFT(M66-_xlfn.XLOOKUP(O66,Data!A:A,Data!F:F),4)+O66,8),_xlfn.CONCAT(MID(_xlpm.big,7,2),MID(_xlpm.big,5,2),MID(_xlpm.big,3,2),MID(_xlpm.big,1,2)))</f>
        <v>#NUM!</v>
      </c>
      <c r="J66" s="2" t="str">
        <f t="shared" ref="J66:J129" si="4">_xlfn.CONCAT("02",DEC2HEX(P66,2),"0000")</f>
        <v>02000000</v>
      </c>
      <c r="K66" s="2" t="str">
        <f>_xlfn.LET(_xlpm.big,IF(H66,DEC2HEX(HEX2DEC(F66),8),DEC2HEX(N66-_xlfn.XLOOKUP(P66,Data!A:A,Data!F:F),8)),_xlfn.CONCAT(MID(_xlpm.big,7,2),MID(_xlpm.big,5,2),MID(_xlpm.big,3,2),MID(_xlpm.big,1,2)))</f>
        <v>FEFFFFFF</v>
      </c>
      <c r="L66" s="2">
        <f t="shared" ref="L66:L129" si="5">HEX2DEC(D66)</f>
        <v>0</v>
      </c>
      <c r="M66" s="2">
        <f t="shared" ref="M66:M129" si="6">HEX2DEC(E66)</f>
        <v>0</v>
      </c>
      <c r="N66" s="2">
        <f t="shared" ref="N66:N129" si="7">HEX2DEC(F66)</f>
        <v>0</v>
      </c>
      <c r="O66" s="2" cm="1">
        <f t="array" ref="O66">_xlfn.IFS(M66&lt;Data!$F$3,0,M66&lt;Data!$F$4,1,TRUE,2)</f>
        <v>0</v>
      </c>
      <c r="P66" s="2" cm="1">
        <f t="array" ref="P66">_xlfn.IFS(H66,3,N66&lt;Data!$F$3,0,N66&lt;Data!$F$4,1,TRUE,2)</f>
        <v>0</v>
      </c>
    </row>
    <row r="67" spans="4:16">
      <c r="D67" s="3"/>
      <c r="E67" s="3"/>
      <c r="F67" s="3"/>
      <c r="G67" s="2" t="str" cm="1">
        <f t="array" ref="G67">_xlfn.CONCAT(IFERROR(I67:K67,""))</f>
        <v>02000000FEFFFFFF</v>
      </c>
      <c r="I67" s="2" t="e">
        <f>_xlfn.LET(_xlpm.big,DEC2HEX(_xlfn.BITLSHIFT(M67-_xlfn.XLOOKUP(O67,Data!A:A,Data!F:F),4)+O67,8),_xlfn.CONCAT(MID(_xlpm.big,7,2),MID(_xlpm.big,5,2),MID(_xlpm.big,3,2),MID(_xlpm.big,1,2)))</f>
        <v>#NUM!</v>
      </c>
      <c r="J67" s="2" t="str">
        <f t="shared" si="4"/>
        <v>02000000</v>
      </c>
      <c r="K67" s="2" t="str">
        <f>_xlfn.LET(_xlpm.big,IF(H67,DEC2HEX(HEX2DEC(F67),8),DEC2HEX(N67-_xlfn.XLOOKUP(P67,Data!A:A,Data!F:F),8)),_xlfn.CONCAT(MID(_xlpm.big,7,2),MID(_xlpm.big,5,2),MID(_xlpm.big,3,2),MID(_xlpm.big,1,2)))</f>
        <v>FEFFFFFF</v>
      </c>
      <c r="L67" s="2">
        <f t="shared" si="5"/>
        <v>0</v>
      </c>
      <c r="M67" s="2">
        <f t="shared" si="6"/>
        <v>0</v>
      </c>
      <c r="N67" s="2">
        <f t="shared" si="7"/>
        <v>0</v>
      </c>
      <c r="O67" s="2" cm="1">
        <f t="array" ref="O67">_xlfn.IFS(M67&lt;Data!$F$3,0,M67&lt;Data!$F$4,1,TRUE,2)</f>
        <v>0</v>
      </c>
      <c r="P67" s="2" cm="1">
        <f t="array" ref="P67">_xlfn.IFS(H67,3,N67&lt;Data!$F$3,0,N67&lt;Data!$F$4,1,TRUE,2)</f>
        <v>0</v>
      </c>
    </row>
    <row r="68" spans="4:16">
      <c r="D68" s="3"/>
      <c r="E68" s="3"/>
      <c r="F68" s="3"/>
      <c r="G68" s="2" t="str" cm="1">
        <f t="array" ref="G68">_xlfn.CONCAT(IFERROR(I68:K68,""))</f>
        <v>02000000FEFFFFFF</v>
      </c>
      <c r="I68" s="2" t="e">
        <f>_xlfn.LET(_xlpm.big,DEC2HEX(_xlfn.BITLSHIFT(M68-_xlfn.XLOOKUP(O68,Data!A:A,Data!F:F),4)+O68,8),_xlfn.CONCAT(MID(_xlpm.big,7,2),MID(_xlpm.big,5,2),MID(_xlpm.big,3,2),MID(_xlpm.big,1,2)))</f>
        <v>#NUM!</v>
      </c>
      <c r="J68" s="2" t="str">
        <f t="shared" si="4"/>
        <v>02000000</v>
      </c>
      <c r="K68" s="2" t="str">
        <f>_xlfn.LET(_xlpm.big,IF(H68,DEC2HEX(HEX2DEC(F68),8),DEC2HEX(N68-_xlfn.XLOOKUP(P68,Data!A:A,Data!F:F),8)),_xlfn.CONCAT(MID(_xlpm.big,7,2),MID(_xlpm.big,5,2),MID(_xlpm.big,3,2),MID(_xlpm.big,1,2)))</f>
        <v>FEFFFFFF</v>
      </c>
      <c r="L68" s="2">
        <f t="shared" si="5"/>
        <v>0</v>
      </c>
      <c r="M68" s="2">
        <f t="shared" si="6"/>
        <v>0</v>
      </c>
      <c r="N68" s="2">
        <f t="shared" si="7"/>
        <v>0</v>
      </c>
      <c r="O68" s="2" cm="1">
        <f t="array" ref="O68">_xlfn.IFS(M68&lt;Data!$F$3,0,M68&lt;Data!$F$4,1,TRUE,2)</f>
        <v>0</v>
      </c>
      <c r="P68" s="2" cm="1">
        <f t="array" ref="P68">_xlfn.IFS(H68,3,N68&lt;Data!$F$3,0,N68&lt;Data!$F$4,1,TRUE,2)</f>
        <v>0</v>
      </c>
    </row>
    <row r="69" spans="4:16">
      <c r="D69" s="3"/>
      <c r="E69" s="3"/>
      <c r="F69" s="3"/>
      <c r="G69" s="2" t="str" cm="1">
        <f t="array" ref="G69">_xlfn.CONCAT(IFERROR(I69:K69,""))</f>
        <v>02000000FEFFFFFF</v>
      </c>
      <c r="I69" s="2" t="e">
        <f>_xlfn.LET(_xlpm.big,DEC2HEX(_xlfn.BITLSHIFT(M69-_xlfn.XLOOKUP(O69,Data!A:A,Data!F:F),4)+O69,8),_xlfn.CONCAT(MID(_xlpm.big,7,2),MID(_xlpm.big,5,2),MID(_xlpm.big,3,2),MID(_xlpm.big,1,2)))</f>
        <v>#NUM!</v>
      </c>
      <c r="J69" s="2" t="str">
        <f t="shared" si="4"/>
        <v>02000000</v>
      </c>
      <c r="K69" s="2" t="str">
        <f>_xlfn.LET(_xlpm.big,IF(H69,DEC2HEX(HEX2DEC(F69),8),DEC2HEX(N69-_xlfn.XLOOKUP(P69,Data!A:A,Data!F:F),8)),_xlfn.CONCAT(MID(_xlpm.big,7,2),MID(_xlpm.big,5,2),MID(_xlpm.big,3,2),MID(_xlpm.big,1,2)))</f>
        <v>FEFFFFFF</v>
      </c>
      <c r="L69" s="2">
        <f t="shared" si="5"/>
        <v>0</v>
      </c>
      <c r="M69" s="2">
        <f t="shared" si="6"/>
        <v>0</v>
      </c>
      <c r="N69" s="2">
        <f t="shared" si="7"/>
        <v>0</v>
      </c>
      <c r="O69" s="2" cm="1">
        <f t="array" ref="O69">_xlfn.IFS(M69&lt;Data!$F$3,0,M69&lt;Data!$F$4,1,TRUE,2)</f>
        <v>0</v>
      </c>
      <c r="P69" s="2" cm="1">
        <f t="array" ref="P69">_xlfn.IFS(H69,3,N69&lt;Data!$F$3,0,N69&lt;Data!$F$4,1,TRUE,2)</f>
        <v>0</v>
      </c>
    </row>
    <row r="70" spans="4:16">
      <c r="D70" s="3"/>
      <c r="E70" s="3"/>
      <c r="F70" s="3"/>
      <c r="G70" s="2" t="str" cm="1">
        <f t="array" ref="G70">_xlfn.CONCAT(IFERROR(I70:K70,""))</f>
        <v>02000000FEFFFFFF</v>
      </c>
      <c r="I70" s="2" t="e">
        <f>_xlfn.LET(_xlpm.big,DEC2HEX(_xlfn.BITLSHIFT(M70-_xlfn.XLOOKUP(O70,Data!A:A,Data!F:F),4)+O70,8),_xlfn.CONCAT(MID(_xlpm.big,7,2),MID(_xlpm.big,5,2),MID(_xlpm.big,3,2),MID(_xlpm.big,1,2)))</f>
        <v>#NUM!</v>
      </c>
      <c r="J70" s="2" t="str">
        <f t="shared" si="4"/>
        <v>02000000</v>
      </c>
      <c r="K70" s="2" t="str">
        <f>_xlfn.LET(_xlpm.big,IF(H70,DEC2HEX(HEX2DEC(F70),8),DEC2HEX(N70-_xlfn.XLOOKUP(P70,Data!A:A,Data!F:F),8)),_xlfn.CONCAT(MID(_xlpm.big,7,2),MID(_xlpm.big,5,2),MID(_xlpm.big,3,2),MID(_xlpm.big,1,2)))</f>
        <v>FEFFFFFF</v>
      </c>
      <c r="L70" s="2">
        <f t="shared" si="5"/>
        <v>0</v>
      </c>
      <c r="M70" s="2">
        <f t="shared" si="6"/>
        <v>0</v>
      </c>
      <c r="N70" s="2">
        <f t="shared" si="7"/>
        <v>0</v>
      </c>
      <c r="O70" s="2" cm="1">
        <f t="array" ref="O70">_xlfn.IFS(M70&lt;Data!$F$3,0,M70&lt;Data!$F$4,1,TRUE,2)</f>
        <v>0</v>
      </c>
      <c r="P70" s="2" cm="1">
        <f t="array" ref="P70">_xlfn.IFS(H70,3,N70&lt;Data!$F$3,0,N70&lt;Data!$F$4,1,TRUE,2)</f>
        <v>0</v>
      </c>
    </row>
    <row r="71" spans="4:16">
      <c r="D71" s="3"/>
      <c r="E71" s="3"/>
      <c r="F71" s="3"/>
      <c r="G71" s="2" t="str" cm="1">
        <f t="array" ref="G71">_xlfn.CONCAT(IFERROR(I71:K71,""))</f>
        <v>02000000FEFFFFFF</v>
      </c>
      <c r="I71" s="2" t="e">
        <f>_xlfn.LET(_xlpm.big,DEC2HEX(_xlfn.BITLSHIFT(M71-_xlfn.XLOOKUP(O71,Data!A:A,Data!F:F),4)+O71,8),_xlfn.CONCAT(MID(_xlpm.big,7,2),MID(_xlpm.big,5,2),MID(_xlpm.big,3,2),MID(_xlpm.big,1,2)))</f>
        <v>#NUM!</v>
      </c>
      <c r="J71" s="2" t="str">
        <f t="shared" si="4"/>
        <v>02000000</v>
      </c>
      <c r="K71" s="2" t="str">
        <f>_xlfn.LET(_xlpm.big,IF(H71,DEC2HEX(HEX2DEC(F71),8),DEC2HEX(N71-_xlfn.XLOOKUP(P71,Data!A:A,Data!F:F),8)),_xlfn.CONCAT(MID(_xlpm.big,7,2),MID(_xlpm.big,5,2),MID(_xlpm.big,3,2),MID(_xlpm.big,1,2)))</f>
        <v>FEFFFFFF</v>
      </c>
      <c r="L71" s="2">
        <f t="shared" si="5"/>
        <v>0</v>
      </c>
      <c r="M71" s="2">
        <f t="shared" si="6"/>
        <v>0</v>
      </c>
      <c r="N71" s="2">
        <f t="shared" si="7"/>
        <v>0</v>
      </c>
      <c r="O71" s="2" cm="1">
        <f t="array" ref="O71">_xlfn.IFS(M71&lt;Data!$F$3,0,M71&lt;Data!$F$4,1,TRUE,2)</f>
        <v>0</v>
      </c>
      <c r="P71" s="2" cm="1">
        <f t="array" ref="P71">_xlfn.IFS(H71,3,N71&lt;Data!$F$3,0,N71&lt;Data!$F$4,1,TRUE,2)</f>
        <v>0</v>
      </c>
    </row>
    <row r="72" spans="4:16">
      <c r="D72" s="3"/>
      <c r="E72" s="3"/>
      <c r="F72" s="3"/>
      <c r="G72" s="2" t="str" cm="1">
        <f t="array" ref="G72">_xlfn.CONCAT(IFERROR(I72:K72,""))</f>
        <v>02000000FEFFFFFF</v>
      </c>
      <c r="I72" s="2" t="e">
        <f>_xlfn.LET(_xlpm.big,DEC2HEX(_xlfn.BITLSHIFT(M72-_xlfn.XLOOKUP(O72,Data!A:A,Data!F:F),4)+O72,8),_xlfn.CONCAT(MID(_xlpm.big,7,2),MID(_xlpm.big,5,2),MID(_xlpm.big,3,2),MID(_xlpm.big,1,2)))</f>
        <v>#NUM!</v>
      </c>
      <c r="J72" s="2" t="str">
        <f t="shared" si="4"/>
        <v>02000000</v>
      </c>
      <c r="K72" s="2" t="str">
        <f>_xlfn.LET(_xlpm.big,IF(H72,DEC2HEX(HEX2DEC(F72),8),DEC2HEX(N72-_xlfn.XLOOKUP(P72,Data!A:A,Data!F:F),8)),_xlfn.CONCAT(MID(_xlpm.big,7,2),MID(_xlpm.big,5,2),MID(_xlpm.big,3,2),MID(_xlpm.big,1,2)))</f>
        <v>FEFFFFFF</v>
      </c>
      <c r="L72" s="2">
        <f t="shared" si="5"/>
        <v>0</v>
      </c>
      <c r="M72" s="2">
        <f t="shared" si="6"/>
        <v>0</v>
      </c>
      <c r="N72" s="2">
        <f t="shared" si="7"/>
        <v>0</v>
      </c>
      <c r="O72" s="2" cm="1">
        <f t="array" ref="O72">_xlfn.IFS(M72&lt;Data!$F$3,0,M72&lt;Data!$F$4,1,TRUE,2)</f>
        <v>0</v>
      </c>
      <c r="P72" s="2" cm="1">
        <f t="array" ref="P72">_xlfn.IFS(H72,3,N72&lt;Data!$F$3,0,N72&lt;Data!$F$4,1,TRUE,2)</f>
        <v>0</v>
      </c>
    </row>
    <row r="73" spans="4:16">
      <c r="G73" s="2" t="str" cm="1">
        <f t="array" ref="G73">_xlfn.CONCAT(IFERROR(I73:K73,""))</f>
        <v>02000000FEFFFFFF</v>
      </c>
      <c r="I73" s="2" t="e">
        <f>_xlfn.LET(_xlpm.big,DEC2HEX(_xlfn.BITLSHIFT(M73-_xlfn.XLOOKUP(O73,Data!A:A,Data!F:F),4)+O73,8),_xlfn.CONCAT(MID(_xlpm.big,7,2),MID(_xlpm.big,5,2),MID(_xlpm.big,3,2),MID(_xlpm.big,1,2)))</f>
        <v>#NUM!</v>
      </c>
      <c r="J73" s="2" t="str">
        <f t="shared" si="4"/>
        <v>02000000</v>
      </c>
      <c r="K73" s="2" t="str">
        <f>_xlfn.LET(_xlpm.big,IF(H73,DEC2HEX(HEX2DEC(F73),8),DEC2HEX(N73-_xlfn.XLOOKUP(P73,Data!A:A,Data!F:F),8)),_xlfn.CONCAT(MID(_xlpm.big,7,2),MID(_xlpm.big,5,2),MID(_xlpm.big,3,2),MID(_xlpm.big,1,2)))</f>
        <v>FEFFFFFF</v>
      </c>
      <c r="L73" s="2">
        <f t="shared" si="5"/>
        <v>0</v>
      </c>
      <c r="M73" s="2">
        <f t="shared" si="6"/>
        <v>0</v>
      </c>
      <c r="N73" s="2">
        <f t="shared" si="7"/>
        <v>0</v>
      </c>
      <c r="O73" s="2" cm="1">
        <f t="array" ref="O73">_xlfn.IFS(M73&lt;Data!$F$3,0,M73&lt;Data!$F$4,1,TRUE,2)</f>
        <v>0</v>
      </c>
      <c r="P73" s="2" cm="1">
        <f t="array" ref="P73">_xlfn.IFS(H73,3,N73&lt;Data!$F$3,0,N73&lt;Data!$F$4,1,TRUE,2)</f>
        <v>0</v>
      </c>
    </row>
    <row r="74" spans="4:16">
      <c r="G74" s="2" t="str" cm="1">
        <f t="array" ref="G74">_xlfn.CONCAT(IFERROR(I74:K74,""))</f>
        <v>02000000FEFFFFFF</v>
      </c>
      <c r="I74" s="2" t="e">
        <f>_xlfn.LET(_xlpm.big,DEC2HEX(_xlfn.BITLSHIFT(M74-_xlfn.XLOOKUP(O74,Data!A:A,Data!F:F),4)+O74,8),_xlfn.CONCAT(MID(_xlpm.big,7,2),MID(_xlpm.big,5,2),MID(_xlpm.big,3,2),MID(_xlpm.big,1,2)))</f>
        <v>#NUM!</v>
      </c>
      <c r="J74" s="2" t="str">
        <f t="shared" si="4"/>
        <v>02000000</v>
      </c>
      <c r="K74" s="2" t="str">
        <f>_xlfn.LET(_xlpm.big,IF(H74,DEC2HEX(HEX2DEC(F74),8),DEC2HEX(N74-_xlfn.XLOOKUP(P74,Data!A:A,Data!F:F),8)),_xlfn.CONCAT(MID(_xlpm.big,7,2),MID(_xlpm.big,5,2),MID(_xlpm.big,3,2),MID(_xlpm.big,1,2)))</f>
        <v>FEFFFFFF</v>
      </c>
      <c r="L74" s="2">
        <f t="shared" si="5"/>
        <v>0</v>
      </c>
      <c r="M74" s="2">
        <f t="shared" si="6"/>
        <v>0</v>
      </c>
      <c r="N74" s="2">
        <f t="shared" si="7"/>
        <v>0</v>
      </c>
      <c r="O74" s="2" cm="1">
        <f t="array" ref="O74">_xlfn.IFS(M74&lt;Data!$F$3,0,M74&lt;Data!$F$4,1,TRUE,2)</f>
        <v>0</v>
      </c>
      <c r="P74" s="2" cm="1">
        <f t="array" ref="P74">_xlfn.IFS(H74,3,N74&lt;Data!$F$3,0,N74&lt;Data!$F$4,1,TRUE,2)</f>
        <v>0</v>
      </c>
    </row>
    <row r="75" spans="4:16">
      <c r="G75" s="2" t="str" cm="1">
        <f t="array" ref="G75">_xlfn.CONCAT(IFERROR(I75:K75,""))</f>
        <v>02000000FEFFFFFF</v>
      </c>
      <c r="I75" s="2" t="e">
        <f>_xlfn.LET(_xlpm.big,DEC2HEX(_xlfn.BITLSHIFT(M75-_xlfn.XLOOKUP(O75,Data!A:A,Data!F:F),4)+O75,8),_xlfn.CONCAT(MID(_xlpm.big,7,2),MID(_xlpm.big,5,2),MID(_xlpm.big,3,2),MID(_xlpm.big,1,2)))</f>
        <v>#NUM!</v>
      </c>
      <c r="J75" s="2" t="str">
        <f t="shared" si="4"/>
        <v>02000000</v>
      </c>
      <c r="K75" s="2" t="str">
        <f>_xlfn.LET(_xlpm.big,IF(H75,DEC2HEX(HEX2DEC(F75),8),DEC2HEX(N75-_xlfn.XLOOKUP(P75,Data!A:A,Data!F:F),8)),_xlfn.CONCAT(MID(_xlpm.big,7,2),MID(_xlpm.big,5,2),MID(_xlpm.big,3,2),MID(_xlpm.big,1,2)))</f>
        <v>FEFFFFFF</v>
      </c>
      <c r="L75" s="2">
        <f t="shared" si="5"/>
        <v>0</v>
      </c>
      <c r="M75" s="2">
        <f t="shared" si="6"/>
        <v>0</v>
      </c>
      <c r="N75" s="2">
        <f t="shared" si="7"/>
        <v>0</v>
      </c>
      <c r="O75" s="2" cm="1">
        <f t="array" ref="O75">_xlfn.IFS(M75&lt;Data!$F$3,0,M75&lt;Data!$F$4,1,TRUE,2)</f>
        <v>0</v>
      </c>
      <c r="P75" s="2" cm="1">
        <f t="array" ref="P75">_xlfn.IFS(H75,3,N75&lt;Data!$F$3,0,N75&lt;Data!$F$4,1,TRUE,2)</f>
        <v>0</v>
      </c>
    </row>
    <row r="76" spans="4:16">
      <c r="G76" s="2" t="str" cm="1">
        <f t="array" ref="G76">_xlfn.CONCAT(IFERROR(I76:K76,""))</f>
        <v>02000000FEFFFFFF</v>
      </c>
      <c r="I76" s="2" t="e">
        <f>_xlfn.LET(_xlpm.big,DEC2HEX(_xlfn.BITLSHIFT(M76-_xlfn.XLOOKUP(O76,Data!A:A,Data!F:F),4)+O76,8),_xlfn.CONCAT(MID(_xlpm.big,7,2),MID(_xlpm.big,5,2),MID(_xlpm.big,3,2),MID(_xlpm.big,1,2)))</f>
        <v>#NUM!</v>
      </c>
      <c r="J76" s="2" t="str">
        <f t="shared" si="4"/>
        <v>02000000</v>
      </c>
      <c r="K76" s="2" t="str">
        <f>_xlfn.LET(_xlpm.big,IF(H76,DEC2HEX(HEX2DEC(F76),8),DEC2HEX(N76-_xlfn.XLOOKUP(P76,Data!A:A,Data!F:F),8)),_xlfn.CONCAT(MID(_xlpm.big,7,2),MID(_xlpm.big,5,2),MID(_xlpm.big,3,2),MID(_xlpm.big,1,2)))</f>
        <v>FEFFFFFF</v>
      </c>
      <c r="L76" s="2">
        <f t="shared" si="5"/>
        <v>0</v>
      </c>
      <c r="M76" s="2">
        <f t="shared" si="6"/>
        <v>0</v>
      </c>
      <c r="N76" s="2">
        <f t="shared" si="7"/>
        <v>0</v>
      </c>
      <c r="O76" s="2" cm="1">
        <f t="array" ref="O76">_xlfn.IFS(M76&lt;Data!$F$3,0,M76&lt;Data!$F$4,1,TRUE,2)</f>
        <v>0</v>
      </c>
      <c r="P76" s="2" cm="1">
        <f t="array" ref="P76">_xlfn.IFS(H76,3,N76&lt;Data!$F$3,0,N76&lt;Data!$F$4,1,TRUE,2)</f>
        <v>0</v>
      </c>
    </row>
    <row r="77" spans="4:16">
      <c r="G77" s="2" t="str" cm="1">
        <f t="array" ref="G77">_xlfn.CONCAT(IFERROR(I77:K77,""))</f>
        <v>02000000FEFFFFFF</v>
      </c>
      <c r="I77" s="2" t="e">
        <f>_xlfn.LET(_xlpm.big,DEC2HEX(_xlfn.BITLSHIFT(M77-_xlfn.XLOOKUP(O77,Data!A:A,Data!F:F),4)+O77,8),_xlfn.CONCAT(MID(_xlpm.big,7,2),MID(_xlpm.big,5,2),MID(_xlpm.big,3,2),MID(_xlpm.big,1,2)))</f>
        <v>#NUM!</v>
      </c>
      <c r="J77" s="2" t="str">
        <f t="shared" si="4"/>
        <v>02000000</v>
      </c>
      <c r="K77" s="2" t="str">
        <f>_xlfn.LET(_xlpm.big,IF(H77,DEC2HEX(HEX2DEC(F77),8),DEC2HEX(N77-_xlfn.XLOOKUP(P77,Data!A:A,Data!F:F),8)),_xlfn.CONCAT(MID(_xlpm.big,7,2),MID(_xlpm.big,5,2),MID(_xlpm.big,3,2),MID(_xlpm.big,1,2)))</f>
        <v>FEFFFFFF</v>
      </c>
      <c r="L77" s="2">
        <f t="shared" si="5"/>
        <v>0</v>
      </c>
      <c r="M77" s="2">
        <f t="shared" si="6"/>
        <v>0</v>
      </c>
      <c r="N77" s="2">
        <f t="shared" si="7"/>
        <v>0</v>
      </c>
      <c r="O77" s="2" cm="1">
        <f t="array" ref="O77">_xlfn.IFS(M77&lt;Data!$F$3,0,M77&lt;Data!$F$4,1,TRUE,2)</f>
        <v>0</v>
      </c>
      <c r="P77" s="2" cm="1">
        <f t="array" ref="P77">_xlfn.IFS(H77,3,N77&lt;Data!$F$3,0,N77&lt;Data!$F$4,1,TRUE,2)</f>
        <v>0</v>
      </c>
    </row>
    <row r="78" spans="4:16">
      <c r="G78" s="2" t="str" cm="1">
        <f t="array" ref="G78">_xlfn.CONCAT(IFERROR(I78:K78,""))</f>
        <v>02000000FEFFFFFF</v>
      </c>
      <c r="I78" s="2" t="e">
        <f>_xlfn.LET(_xlpm.big,DEC2HEX(_xlfn.BITLSHIFT(M78-_xlfn.XLOOKUP(O78,Data!A:A,Data!F:F),4)+O78,8),_xlfn.CONCAT(MID(_xlpm.big,7,2),MID(_xlpm.big,5,2),MID(_xlpm.big,3,2),MID(_xlpm.big,1,2)))</f>
        <v>#NUM!</v>
      </c>
      <c r="J78" s="2" t="str">
        <f t="shared" si="4"/>
        <v>02000000</v>
      </c>
      <c r="K78" s="2" t="str">
        <f>_xlfn.LET(_xlpm.big,IF(H78,DEC2HEX(HEX2DEC(F78),8),DEC2HEX(N78-_xlfn.XLOOKUP(P78,Data!A:A,Data!F:F),8)),_xlfn.CONCAT(MID(_xlpm.big,7,2),MID(_xlpm.big,5,2),MID(_xlpm.big,3,2),MID(_xlpm.big,1,2)))</f>
        <v>FEFFFFFF</v>
      </c>
      <c r="L78" s="2">
        <f t="shared" si="5"/>
        <v>0</v>
      </c>
      <c r="M78" s="2">
        <f t="shared" si="6"/>
        <v>0</v>
      </c>
      <c r="N78" s="2">
        <f t="shared" si="7"/>
        <v>0</v>
      </c>
      <c r="O78" s="2" cm="1">
        <f t="array" ref="O78">_xlfn.IFS(M78&lt;Data!$F$3,0,M78&lt;Data!$F$4,1,TRUE,2)</f>
        <v>0</v>
      </c>
      <c r="P78" s="2" cm="1">
        <f t="array" ref="P78">_xlfn.IFS(H78,3,N78&lt;Data!$F$3,0,N78&lt;Data!$F$4,1,TRUE,2)</f>
        <v>0</v>
      </c>
    </row>
    <row r="79" spans="4:16">
      <c r="G79" s="2" t="str" cm="1">
        <f t="array" ref="G79">_xlfn.CONCAT(IFERROR(I79:K79,""))</f>
        <v>02000000FEFFFFFF</v>
      </c>
      <c r="I79" s="2" t="e">
        <f>_xlfn.LET(_xlpm.big,DEC2HEX(_xlfn.BITLSHIFT(M79-_xlfn.XLOOKUP(O79,Data!A:A,Data!F:F),4)+O79,8),_xlfn.CONCAT(MID(_xlpm.big,7,2),MID(_xlpm.big,5,2),MID(_xlpm.big,3,2),MID(_xlpm.big,1,2)))</f>
        <v>#NUM!</v>
      </c>
      <c r="J79" s="2" t="str">
        <f t="shared" si="4"/>
        <v>02000000</v>
      </c>
      <c r="K79" s="2" t="str">
        <f>_xlfn.LET(_xlpm.big,IF(H79,DEC2HEX(HEX2DEC(F79),8),DEC2HEX(N79-_xlfn.XLOOKUP(P79,Data!A:A,Data!F:F),8)),_xlfn.CONCAT(MID(_xlpm.big,7,2),MID(_xlpm.big,5,2),MID(_xlpm.big,3,2),MID(_xlpm.big,1,2)))</f>
        <v>FEFFFFFF</v>
      </c>
      <c r="L79" s="2">
        <f t="shared" si="5"/>
        <v>0</v>
      </c>
      <c r="M79" s="2">
        <f t="shared" si="6"/>
        <v>0</v>
      </c>
      <c r="N79" s="2">
        <f t="shared" si="7"/>
        <v>0</v>
      </c>
      <c r="O79" s="2" cm="1">
        <f t="array" ref="O79">_xlfn.IFS(M79&lt;Data!$F$3,0,M79&lt;Data!$F$4,1,TRUE,2)</f>
        <v>0</v>
      </c>
      <c r="P79" s="2" cm="1">
        <f t="array" ref="P79">_xlfn.IFS(H79,3,N79&lt;Data!$F$3,0,N79&lt;Data!$F$4,1,TRUE,2)</f>
        <v>0</v>
      </c>
    </row>
    <row r="80" spans="4:16">
      <c r="D80" s="3"/>
      <c r="E80" s="3"/>
      <c r="F80" s="3"/>
      <c r="G80" s="2" t="str" cm="1">
        <f t="array" ref="G80">_xlfn.CONCAT(IFERROR(I80:K80,""))</f>
        <v>02000000FEFFFFFF</v>
      </c>
      <c r="I80" s="2" t="e">
        <f>_xlfn.LET(_xlpm.big,DEC2HEX(_xlfn.BITLSHIFT(M80-_xlfn.XLOOKUP(O80,Data!A:A,Data!F:F),4)+O80,8),_xlfn.CONCAT(MID(_xlpm.big,7,2),MID(_xlpm.big,5,2),MID(_xlpm.big,3,2),MID(_xlpm.big,1,2)))</f>
        <v>#NUM!</v>
      </c>
      <c r="J80" s="2" t="str">
        <f t="shared" si="4"/>
        <v>02000000</v>
      </c>
      <c r="K80" s="2" t="str">
        <f>_xlfn.LET(_xlpm.big,IF(H80,DEC2HEX(HEX2DEC(F80),8),DEC2HEX(N80-_xlfn.XLOOKUP(P80,Data!A:A,Data!F:F),8)),_xlfn.CONCAT(MID(_xlpm.big,7,2),MID(_xlpm.big,5,2),MID(_xlpm.big,3,2),MID(_xlpm.big,1,2)))</f>
        <v>FEFFFFFF</v>
      </c>
      <c r="L80" s="2">
        <f t="shared" si="5"/>
        <v>0</v>
      </c>
      <c r="M80" s="2">
        <f t="shared" si="6"/>
        <v>0</v>
      </c>
      <c r="N80" s="2">
        <f t="shared" si="7"/>
        <v>0</v>
      </c>
      <c r="O80" s="2" cm="1">
        <f t="array" ref="O80">_xlfn.IFS(M80&lt;Data!$F$3,0,M80&lt;Data!$F$4,1,TRUE,2)</f>
        <v>0</v>
      </c>
      <c r="P80" s="2" cm="1">
        <f t="array" ref="P80">_xlfn.IFS(H80,3,N80&lt;Data!$F$3,0,N80&lt;Data!$F$4,1,TRUE,2)</f>
        <v>0</v>
      </c>
    </row>
    <row r="81" spans="4:16">
      <c r="D81" s="3"/>
      <c r="E81" s="3"/>
      <c r="F81" s="3"/>
      <c r="G81" s="2" t="str" cm="1">
        <f t="array" ref="G81">_xlfn.CONCAT(IFERROR(I81:K81,""))</f>
        <v>02000000FEFFFFFF</v>
      </c>
      <c r="I81" s="2" t="e">
        <f>_xlfn.LET(_xlpm.big,DEC2HEX(_xlfn.BITLSHIFT(M81-_xlfn.XLOOKUP(O81,Data!A:A,Data!F:F),4)+O81,8),_xlfn.CONCAT(MID(_xlpm.big,7,2),MID(_xlpm.big,5,2),MID(_xlpm.big,3,2),MID(_xlpm.big,1,2)))</f>
        <v>#NUM!</v>
      </c>
      <c r="J81" s="2" t="str">
        <f t="shared" si="4"/>
        <v>02000000</v>
      </c>
      <c r="K81" s="2" t="str">
        <f>_xlfn.LET(_xlpm.big,IF(H81,DEC2HEX(HEX2DEC(F81),8),DEC2HEX(N81-_xlfn.XLOOKUP(P81,Data!A:A,Data!F:F),8)),_xlfn.CONCAT(MID(_xlpm.big,7,2),MID(_xlpm.big,5,2),MID(_xlpm.big,3,2),MID(_xlpm.big,1,2)))</f>
        <v>FEFFFFFF</v>
      </c>
      <c r="L81" s="2">
        <f t="shared" si="5"/>
        <v>0</v>
      </c>
      <c r="M81" s="2">
        <f t="shared" si="6"/>
        <v>0</v>
      </c>
      <c r="N81" s="2">
        <f t="shared" si="7"/>
        <v>0</v>
      </c>
      <c r="O81" s="2" cm="1">
        <f t="array" ref="O81">_xlfn.IFS(M81&lt;Data!$F$3,0,M81&lt;Data!$F$4,1,TRUE,2)</f>
        <v>0</v>
      </c>
      <c r="P81" s="2" cm="1">
        <f t="array" ref="P81">_xlfn.IFS(H81,3,N81&lt;Data!$F$3,0,N81&lt;Data!$F$4,1,TRUE,2)</f>
        <v>0</v>
      </c>
    </row>
    <row r="82" spans="4:16">
      <c r="D82" s="3"/>
      <c r="E82" s="3"/>
      <c r="F82" s="3"/>
      <c r="G82" s="2" t="str" cm="1">
        <f t="array" ref="G82">_xlfn.CONCAT(IFERROR(I82:K82,""))</f>
        <v>02000000FEFFFFFF</v>
      </c>
      <c r="I82" s="2" t="e">
        <f>_xlfn.LET(_xlpm.big,DEC2HEX(_xlfn.BITLSHIFT(M82-_xlfn.XLOOKUP(O82,Data!A:A,Data!F:F),4)+O82,8),_xlfn.CONCAT(MID(_xlpm.big,7,2),MID(_xlpm.big,5,2),MID(_xlpm.big,3,2),MID(_xlpm.big,1,2)))</f>
        <v>#NUM!</v>
      </c>
      <c r="J82" s="2" t="str">
        <f t="shared" si="4"/>
        <v>02000000</v>
      </c>
      <c r="K82" s="2" t="str">
        <f>_xlfn.LET(_xlpm.big,IF(H82,DEC2HEX(HEX2DEC(F82),8),DEC2HEX(N82-_xlfn.XLOOKUP(P82,Data!A:A,Data!F:F),8)),_xlfn.CONCAT(MID(_xlpm.big,7,2),MID(_xlpm.big,5,2),MID(_xlpm.big,3,2),MID(_xlpm.big,1,2)))</f>
        <v>FEFFFFFF</v>
      </c>
      <c r="L82" s="2">
        <f t="shared" si="5"/>
        <v>0</v>
      </c>
      <c r="M82" s="2">
        <f t="shared" si="6"/>
        <v>0</v>
      </c>
      <c r="N82" s="2">
        <f t="shared" si="7"/>
        <v>0</v>
      </c>
      <c r="O82" s="2" cm="1">
        <f t="array" ref="O82">_xlfn.IFS(M82&lt;Data!$F$3,0,M82&lt;Data!$F$4,1,TRUE,2)</f>
        <v>0</v>
      </c>
      <c r="P82" s="2" cm="1">
        <f t="array" ref="P82">_xlfn.IFS(H82,3,N82&lt;Data!$F$3,0,N82&lt;Data!$F$4,1,TRUE,2)</f>
        <v>0</v>
      </c>
    </row>
    <row r="83" spans="4:16">
      <c r="D83" s="3"/>
      <c r="E83" s="3"/>
      <c r="F83" s="3"/>
      <c r="G83" s="2" t="str" cm="1">
        <f t="array" ref="G83">_xlfn.CONCAT(IFERROR(I83:K83,""))</f>
        <v>02000000FEFFFFFF</v>
      </c>
      <c r="I83" s="2" t="e">
        <f>_xlfn.LET(_xlpm.big,DEC2HEX(_xlfn.BITLSHIFT(M83-_xlfn.XLOOKUP(O83,Data!A:A,Data!F:F),4)+O83,8),_xlfn.CONCAT(MID(_xlpm.big,7,2),MID(_xlpm.big,5,2),MID(_xlpm.big,3,2),MID(_xlpm.big,1,2)))</f>
        <v>#NUM!</v>
      </c>
      <c r="J83" s="2" t="str">
        <f t="shared" si="4"/>
        <v>02000000</v>
      </c>
      <c r="K83" s="2" t="str">
        <f>_xlfn.LET(_xlpm.big,IF(H83,DEC2HEX(HEX2DEC(F83),8),DEC2HEX(N83-_xlfn.XLOOKUP(P83,Data!A:A,Data!F:F),8)),_xlfn.CONCAT(MID(_xlpm.big,7,2),MID(_xlpm.big,5,2),MID(_xlpm.big,3,2),MID(_xlpm.big,1,2)))</f>
        <v>FEFFFFFF</v>
      </c>
      <c r="L83" s="2">
        <f t="shared" si="5"/>
        <v>0</v>
      </c>
      <c r="M83" s="2">
        <f t="shared" si="6"/>
        <v>0</v>
      </c>
      <c r="N83" s="2">
        <f t="shared" si="7"/>
        <v>0</v>
      </c>
      <c r="O83" s="2" cm="1">
        <f t="array" ref="O83">_xlfn.IFS(M83&lt;Data!$F$3,0,M83&lt;Data!$F$4,1,TRUE,2)</f>
        <v>0</v>
      </c>
      <c r="P83" s="2" cm="1">
        <f t="array" ref="P83">_xlfn.IFS(H83,3,N83&lt;Data!$F$3,0,N83&lt;Data!$F$4,1,TRUE,2)</f>
        <v>0</v>
      </c>
    </row>
    <row r="84" spans="4:16">
      <c r="D84" s="3"/>
      <c r="E84" s="3"/>
      <c r="F84" s="3"/>
      <c r="G84" s="2" t="str" cm="1">
        <f t="array" ref="G84">_xlfn.CONCAT(IFERROR(I84:K84,""))</f>
        <v>02000000FEFFFFFF</v>
      </c>
      <c r="I84" s="2" t="e">
        <f>_xlfn.LET(_xlpm.big,DEC2HEX(_xlfn.BITLSHIFT(M84-_xlfn.XLOOKUP(O84,Data!A:A,Data!F:F),4)+O84,8),_xlfn.CONCAT(MID(_xlpm.big,7,2),MID(_xlpm.big,5,2),MID(_xlpm.big,3,2),MID(_xlpm.big,1,2)))</f>
        <v>#NUM!</v>
      </c>
      <c r="J84" s="2" t="str">
        <f t="shared" si="4"/>
        <v>02000000</v>
      </c>
      <c r="K84" s="2" t="str">
        <f>_xlfn.LET(_xlpm.big,IF(H84,DEC2HEX(HEX2DEC(F84),8),DEC2HEX(N84-_xlfn.XLOOKUP(P84,Data!A:A,Data!F:F),8)),_xlfn.CONCAT(MID(_xlpm.big,7,2),MID(_xlpm.big,5,2),MID(_xlpm.big,3,2),MID(_xlpm.big,1,2)))</f>
        <v>FEFFFFFF</v>
      </c>
      <c r="L84" s="2">
        <f t="shared" si="5"/>
        <v>0</v>
      </c>
      <c r="M84" s="2">
        <f t="shared" si="6"/>
        <v>0</v>
      </c>
      <c r="N84" s="2">
        <f t="shared" si="7"/>
        <v>0</v>
      </c>
      <c r="O84" s="2" cm="1">
        <f t="array" ref="O84">_xlfn.IFS(M84&lt;Data!$F$3,0,M84&lt;Data!$F$4,1,TRUE,2)</f>
        <v>0</v>
      </c>
      <c r="P84" s="2" cm="1">
        <f t="array" ref="P84">_xlfn.IFS(H84,3,N84&lt;Data!$F$3,0,N84&lt;Data!$F$4,1,TRUE,2)</f>
        <v>0</v>
      </c>
    </row>
    <row r="85" spans="4:16">
      <c r="G85" s="2" t="str" cm="1">
        <f t="array" ref="G85">_xlfn.CONCAT(IFERROR(I85:K85,""))</f>
        <v>02000000FEFFFFFF</v>
      </c>
      <c r="I85" s="2" t="e">
        <f>_xlfn.LET(_xlpm.big,DEC2HEX(_xlfn.BITLSHIFT(M85-_xlfn.XLOOKUP(O85,Data!A:A,Data!F:F),4)+O85,8),_xlfn.CONCAT(MID(_xlpm.big,7,2),MID(_xlpm.big,5,2),MID(_xlpm.big,3,2),MID(_xlpm.big,1,2)))</f>
        <v>#NUM!</v>
      </c>
      <c r="J85" s="2" t="str">
        <f t="shared" si="4"/>
        <v>02000000</v>
      </c>
      <c r="K85" s="2" t="str">
        <f>_xlfn.LET(_xlpm.big,IF(H85,DEC2HEX(HEX2DEC(F85),8),DEC2HEX(N85-_xlfn.XLOOKUP(P85,Data!A:A,Data!F:F),8)),_xlfn.CONCAT(MID(_xlpm.big,7,2),MID(_xlpm.big,5,2),MID(_xlpm.big,3,2),MID(_xlpm.big,1,2)))</f>
        <v>FEFFFFFF</v>
      </c>
      <c r="L85" s="2">
        <f t="shared" si="5"/>
        <v>0</v>
      </c>
      <c r="M85" s="2">
        <f t="shared" si="6"/>
        <v>0</v>
      </c>
      <c r="N85" s="2">
        <f t="shared" si="7"/>
        <v>0</v>
      </c>
      <c r="O85" s="2" cm="1">
        <f t="array" ref="O85">_xlfn.IFS(M85&lt;Data!$F$3,0,M85&lt;Data!$F$4,1,TRUE,2)</f>
        <v>0</v>
      </c>
      <c r="P85" s="2" cm="1">
        <f t="array" ref="P85">_xlfn.IFS(H85,3,N85&lt;Data!$F$3,0,N85&lt;Data!$F$4,1,TRUE,2)</f>
        <v>0</v>
      </c>
    </row>
    <row r="86" spans="4:16">
      <c r="G86" s="2" t="str" cm="1">
        <f t="array" ref="G86">_xlfn.CONCAT(IFERROR(I86:K86,""))</f>
        <v>02000000FEFFFFFF</v>
      </c>
      <c r="I86" s="2" t="e">
        <f>_xlfn.LET(_xlpm.big,DEC2HEX(_xlfn.BITLSHIFT(M86-_xlfn.XLOOKUP(O86,Data!A:A,Data!F:F),4)+O86,8),_xlfn.CONCAT(MID(_xlpm.big,7,2),MID(_xlpm.big,5,2),MID(_xlpm.big,3,2),MID(_xlpm.big,1,2)))</f>
        <v>#NUM!</v>
      </c>
      <c r="J86" s="2" t="str">
        <f t="shared" si="4"/>
        <v>02000000</v>
      </c>
      <c r="K86" s="2" t="str">
        <f>_xlfn.LET(_xlpm.big,IF(H86,DEC2HEX(HEX2DEC(F86),8),DEC2HEX(N86-_xlfn.XLOOKUP(P86,Data!A:A,Data!F:F),8)),_xlfn.CONCAT(MID(_xlpm.big,7,2),MID(_xlpm.big,5,2),MID(_xlpm.big,3,2),MID(_xlpm.big,1,2)))</f>
        <v>FEFFFFFF</v>
      </c>
      <c r="L86" s="2">
        <f t="shared" si="5"/>
        <v>0</v>
      </c>
      <c r="M86" s="2">
        <f t="shared" si="6"/>
        <v>0</v>
      </c>
      <c r="N86" s="2">
        <f t="shared" si="7"/>
        <v>0</v>
      </c>
      <c r="O86" s="2" cm="1">
        <f t="array" ref="O86">_xlfn.IFS(M86&lt;Data!$F$3,0,M86&lt;Data!$F$4,1,TRUE,2)</f>
        <v>0</v>
      </c>
      <c r="P86" s="2" cm="1">
        <f t="array" ref="P86">_xlfn.IFS(H86,3,N86&lt;Data!$F$3,0,N86&lt;Data!$F$4,1,TRUE,2)</f>
        <v>0</v>
      </c>
    </row>
    <row r="87" spans="4:16">
      <c r="G87" s="2" t="str" cm="1">
        <f t="array" ref="G87">_xlfn.CONCAT(IFERROR(I87:K87,""))</f>
        <v>02000000FEFFFFFF</v>
      </c>
      <c r="I87" s="2" t="e">
        <f>_xlfn.LET(_xlpm.big,DEC2HEX(_xlfn.BITLSHIFT(M87-_xlfn.XLOOKUP(O87,Data!A:A,Data!F:F),4)+O87,8),_xlfn.CONCAT(MID(_xlpm.big,7,2),MID(_xlpm.big,5,2),MID(_xlpm.big,3,2),MID(_xlpm.big,1,2)))</f>
        <v>#NUM!</v>
      </c>
      <c r="J87" s="2" t="str">
        <f t="shared" si="4"/>
        <v>02000000</v>
      </c>
      <c r="K87" s="2" t="str">
        <f>_xlfn.LET(_xlpm.big,IF(H87,DEC2HEX(HEX2DEC(F87),8),DEC2HEX(N87-_xlfn.XLOOKUP(P87,Data!A:A,Data!F:F),8)),_xlfn.CONCAT(MID(_xlpm.big,7,2),MID(_xlpm.big,5,2),MID(_xlpm.big,3,2),MID(_xlpm.big,1,2)))</f>
        <v>FEFFFFFF</v>
      </c>
      <c r="L87" s="2">
        <f t="shared" si="5"/>
        <v>0</v>
      </c>
      <c r="M87" s="2">
        <f t="shared" si="6"/>
        <v>0</v>
      </c>
      <c r="N87" s="2">
        <f t="shared" si="7"/>
        <v>0</v>
      </c>
      <c r="O87" s="2" cm="1">
        <f t="array" ref="O87">_xlfn.IFS(M87&lt;Data!$F$3,0,M87&lt;Data!$F$4,1,TRUE,2)</f>
        <v>0</v>
      </c>
      <c r="P87" s="2" cm="1">
        <f t="array" ref="P87">_xlfn.IFS(H87,3,N87&lt;Data!$F$3,0,N87&lt;Data!$F$4,1,TRUE,2)</f>
        <v>0</v>
      </c>
    </row>
    <row r="88" spans="4:16">
      <c r="D88" s="3"/>
      <c r="E88" s="3"/>
      <c r="F88" s="3"/>
      <c r="G88" s="2" t="str" cm="1">
        <f t="array" ref="G88">_xlfn.CONCAT(IFERROR(I88:K88,""))</f>
        <v>02000000FEFFFFFF</v>
      </c>
      <c r="I88" s="2" t="e">
        <f>_xlfn.LET(_xlpm.big,DEC2HEX(_xlfn.BITLSHIFT(M88-_xlfn.XLOOKUP(O88,Data!A:A,Data!F:F),4)+O88,8),_xlfn.CONCAT(MID(_xlpm.big,7,2),MID(_xlpm.big,5,2),MID(_xlpm.big,3,2),MID(_xlpm.big,1,2)))</f>
        <v>#NUM!</v>
      </c>
      <c r="J88" s="2" t="str">
        <f t="shared" si="4"/>
        <v>02000000</v>
      </c>
      <c r="K88" s="2" t="str">
        <f>_xlfn.LET(_xlpm.big,IF(H88,DEC2HEX(HEX2DEC(F88),8),DEC2HEX(N88-_xlfn.XLOOKUP(P88,Data!A:A,Data!F:F),8)),_xlfn.CONCAT(MID(_xlpm.big,7,2),MID(_xlpm.big,5,2),MID(_xlpm.big,3,2),MID(_xlpm.big,1,2)))</f>
        <v>FEFFFFFF</v>
      </c>
      <c r="L88" s="2">
        <f t="shared" si="5"/>
        <v>0</v>
      </c>
      <c r="M88" s="2">
        <f t="shared" si="6"/>
        <v>0</v>
      </c>
      <c r="N88" s="2">
        <f t="shared" si="7"/>
        <v>0</v>
      </c>
      <c r="O88" s="2" cm="1">
        <f t="array" ref="O88">_xlfn.IFS(M88&lt;Data!$F$3,0,M88&lt;Data!$F$4,1,TRUE,2)</f>
        <v>0</v>
      </c>
      <c r="P88" s="2" cm="1">
        <f t="array" ref="P88">_xlfn.IFS(H88,3,N88&lt;Data!$F$3,0,N88&lt;Data!$F$4,1,TRUE,2)</f>
        <v>0</v>
      </c>
    </row>
    <row r="89" spans="4:16">
      <c r="D89" s="3"/>
      <c r="E89" s="3"/>
      <c r="F89" s="3"/>
      <c r="G89" s="2" t="str" cm="1">
        <f t="array" ref="G89">_xlfn.CONCAT(IFERROR(I89:K89,""))</f>
        <v>02000000FEFFFFFF</v>
      </c>
      <c r="I89" s="2" t="e">
        <f>_xlfn.LET(_xlpm.big,DEC2HEX(_xlfn.BITLSHIFT(M89-_xlfn.XLOOKUP(O89,Data!A:A,Data!F:F),4)+O89,8),_xlfn.CONCAT(MID(_xlpm.big,7,2),MID(_xlpm.big,5,2),MID(_xlpm.big,3,2),MID(_xlpm.big,1,2)))</f>
        <v>#NUM!</v>
      </c>
      <c r="J89" s="2" t="str">
        <f t="shared" si="4"/>
        <v>02000000</v>
      </c>
      <c r="K89" s="2" t="str">
        <f>_xlfn.LET(_xlpm.big,IF(H89,DEC2HEX(HEX2DEC(F89),8),DEC2HEX(N89-_xlfn.XLOOKUP(P89,Data!A:A,Data!F:F),8)),_xlfn.CONCAT(MID(_xlpm.big,7,2),MID(_xlpm.big,5,2),MID(_xlpm.big,3,2),MID(_xlpm.big,1,2)))</f>
        <v>FEFFFFFF</v>
      </c>
      <c r="L89" s="2">
        <f t="shared" si="5"/>
        <v>0</v>
      </c>
      <c r="M89" s="2">
        <f t="shared" si="6"/>
        <v>0</v>
      </c>
      <c r="N89" s="2">
        <f t="shared" si="7"/>
        <v>0</v>
      </c>
      <c r="O89" s="2" cm="1">
        <f t="array" ref="O89">_xlfn.IFS(M89&lt;Data!$F$3,0,M89&lt;Data!$F$4,1,TRUE,2)</f>
        <v>0</v>
      </c>
      <c r="P89" s="2" cm="1">
        <f t="array" ref="P89">_xlfn.IFS(H89,3,N89&lt;Data!$F$3,0,N89&lt;Data!$F$4,1,TRUE,2)</f>
        <v>0</v>
      </c>
    </row>
    <row r="90" spans="4:16">
      <c r="D90" s="3"/>
      <c r="E90" s="3"/>
      <c r="F90" s="3"/>
      <c r="G90" s="2" t="str" cm="1">
        <f t="array" ref="G90">_xlfn.CONCAT(IFERROR(I90:K90,""))</f>
        <v>02000000FEFFFFFF</v>
      </c>
      <c r="I90" s="2" t="e">
        <f>_xlfn.LET(_xlpm.big,DEC2HEX(_xlfn.BITLSHIFT(M90-_xlfn.XLOOKUP(O90,Data!A:A,Data!F:F),4)+O90,8),_xlfn.CONCAT(MID(_xlpm.big,7,2),MID(_xlpm.big,5,2),MID(_xlpm.big,3,2),MID(_xlpm.big,1,2)))</f>
        <v>#NUM!</v>
      </c>
      <c r="J90" s="2" t="str">
        <f t="shared" si="4"/>
        <v>02000000</v>
      </c>
      <c r="K90" s="2" t="str">
        <f>_xlfn.LET(_xlpm.big,IF(H90,DEC2HEX(HEX2DEC(F90),8),DEC2HEX(N90-_xlfn.XLOOKUP(P90,Data!A:A,Data!F:F),8)),_xlfn.CONCAT(MID(_xlpm.big,7,2),MID(_xlpm.big,5,2),MID(_xlpm.big,3,2),MID(_xlpm.big,1,2)))</f>
        <v>FEFFFFFF</v>
      </c>
      <c r="L90" s="2">
        <f t="shared" si="5"/>
        <v>0</v>
      </c>
      <c r="M90" s="2">
        <f t="shared" si="6"/>
        <v>0</v>
      </c>
      <c r="N90" s="2">
        <f t="shared" si="7"/>
        <v>0</v>
      </c>
      <c r="O90" s="2" cm="1">
        <f t="array" ref="O90">_xlfn.IFS(M90&lt;Data!$F$3,0,M90&lt;Data!$F$4,1,TRUE,2)</f>
        <v>0</v>
      </c>
      <c r="P90" s="2" cm="1">
        <f t="array" ref="P90">_xlfn.IFS(H90,3,N90&lt;Data!$F$3,0,N90&lt;Data!$F$4,1,TRUE,2)</f>
        <v>0</v>
      </c>
    </row>
    <row r="91" spans="4:16">
      <c r="D91" s="3"/>
      <c r="E91" s="3"/>
      <c r="F91" s="3"/>
      <c r="G91" s="2" t="str" cm="1">
        <f t="array" ref="G91">_xlfn.CONCAT(IFERROR(I91:K91,""))</f>
        <v>02000000FEFFFFFF</v>
      </c>
      <c r="I91" s="2" t="e">
        <f>_xlfn.LET(_xlpm.big,DEC2HEX(_xlfn.BITLSHIFT(M91-_xlfn.XLOOKUP(O91,Data!A:A,Data!F:F),4)+O91,8),_xlfn.CONCAT(MID(_xlpm.big,7,2),MID(_xlpm.big,5,2),MID(_xlpm.big,3,2),MID(_xlpm.big,1,2)))</f>
        <v>#NUM!</v>
      </c>
      <c r="J91" s="2" t="str">
        <f t="shared" si="4"/>
        <v>02000000</v>
      </c>
      <c r="K91" s="2" t="str">
        <f>_xlfn.LET(_xlpm.big,IF(H91,DEC2HEX(HEX2DEC(F91),8),DEC2HEX(N91-_xlfn.XLOOKUP(P91,Data!A:A,Data!F:F),8)),_xlfn.CONCAT(MID(_xlpm.big,7,2),MID(_xlpm.big,5,2),MID(_xlpm.big,3,2),MID(_xlpm.big,1,2)))</f>
        <v>FEFFFFFF</v>
      </c>
      <c r="L91" s="2">
        <f t="shared" si="5"/>
        <v>0</v>
      </c>
      <c r="M91" s="2">
        <f t="shared" si="6"/>
        <v>0</v>
      </c>
      <c r="N91" s="2">
        <f t="shared" si="7"/>
        <v>0</v>
      </c>
      <c r="O91" s="2" cm="1">
        <f t="array" ref="O91">_xlfn.IFS(M91&lt;Data!$F$3,0,M91&lt;Data!$F$4,1,TRUE,2)</f>
        <v>0</v>
      </c>
      <c r="P91" s="2" cm="1">
        <f t="array" ref="P91">_xlfn.IFS(H91,3,N91&lt;Data!$F$3,0,N91&lt;Data!$F$4,1,TRUE,2)</f>
        <v>0</v>
      </c>
    </row>
    <row r="92" spans="4:16">
      <c r="G92" s="2" t="str" cm="1">
        <f t="array" ref="G92">_xlfn.CONCAT(IFERROR(I92:K92,""))</f>
        <v>02000000FEFFFFFF</v>
      </c>
      <c r="I92" s="2" t="e">
        <f>_xlfn.LET(_xlpm.big,DEC2HEX(_xlfn.BITLSHIFT(M92-_xlfn.XLOOKUP(O92,Data!A:A,Data!F:F),4)+O92,8),_xlfn.CONCAT(MID(_xlpm.big,7,2),MID(_xlpm.big,5,2),MID(_xlpm.big,3,2),MID(_xlpm.big,1,2)))</f>
        <v>#NUM!</v>
      </c>
      <c r="J92" s="2" t="str">
        <f t="shared" si="4"/>
        <v>02000000</v>
      </c>
      <c r="K92" s="2" t="str">
        <f>_xlfn.LET(_xlpm.big,IF(H92,DEC2HEX(HEX2DEC(F92),8),DEC2HEX(N92-_xlfn.XLOOKUP(P92,Data!A:A,Data!F:F),8)),_xlfn.CONCAT(MID(_xlpm.big,7,2),MID(_xlpm.big,5,2),MID(_xlpm.big,3,2),MID(_xlpm.big,1,2)))</f>
        <v>FEFFFFFF</v>
      </c>
      <c r="L92" s="2">
        <f t="shared" si="5"/>
        <v>0</v>
      </c>
      <c r="M92" s="2">
        <f t="shared" si="6"/>
        <v>0</v>
      </c>
      <c r="N92" s="2">
        <f t="shared" si="7"/>
        <v>0</v>
      </c>
      <c r="O92" s="2" cm="1">
        <f t="array" ref="O92">_xlfn.IFS(M92&lt;Data!$F$3,0,M92&lt;Data!$F$4,1,TRUE,2)</f>
        <v>0</v>
      </c>
      <c r="P92" s="2" cm="1">
        <f t="array" ref="P92">_xlfn.IFS(H92,3,N92&lt;Data!$F$3,0,N92&lt;Data!$F$4,1,TRUE,2)</f>
        <v>0</v>
      </c>
    </row>
    <row r="93" spans="4:16">
      <c r="D93" s="3"/>
      <c r="E93" s="3"/>
      <c r="F93" s="3"/>
      <c r="G93" s="2" t="str" cm="1">
        <f t="array" ref="G93">_xlfn.CONCAT(IFERROR(I93:K93,""))</f>
        <v>02000000FEFFFFFF</v>
      </c>
      <c r="I93" s="2" t="e">
        <f>_xlfn.LET(_xlpm.big,DEC2HEX(_xlfn.BITLSHIFT(M93-_xlfn.XLOOKUP(O93,Data!A:A,Data!F:F),4)+O93,8),_xlfn.CONCAT(MID(_xlpm.big,7,2),MID(_xlpm.big,5,2),MID(_xlpm.big,3,2),MID(_xlpm.big,1,2)))</f>
        <v>#NUM!</v>
      </c>
      <c r="J93" s="2" t="str">
        <f t="shared" si="4"/>
        <v>02000000</v>
      </c>
      <c r="K93" s="2" t="str">
        <f>_xlfn.LET(_xlpm.big,IF(H93,DEC2HEX(HEX2DEC(F93),8),DEC2HEX(N93-_xlfn.XLOOKUP(P93,Data!A:A,Data!F:F),8)),_xlfn.CONCAT(MID(_xlpm.big,7,2),MID(_xlpm.big,5,2),MID(_xlpm.big,3,2),MID(_xlpm.big,1,2)))</f>
        <v>FEFFFFFF</v>
      </c>
      <c r="L93" s="2">
        <f t="shared" si="5"/>
        <v>0</v>
      </c>
      <c r="M93" s="2">
        <f t="shared" si="6"/>
        <v>0</v>
      </c>
      <c r="N93" s="2">
        <f t="shared" si="7"/>
        <v>0</v>
      </c>
      <c r="O93" s="2" cm="1">
        <f t="array" ref="O93">_xlfn.IFS(M93&lt;Data!$F$3,0,M93&lt;Data!$F$4,1,TRUE,2)</f>
        <v>0</v>
      </c>
      <c r="P93" s="2" cm="1">
        <f t="array" ref="P93">_xlfn.IFS(H93,3,N93&lt;Data!$F$3,0,N93&lt;Data!$F$4,1,TRUE,2)</f>
        <v>0</v>
      </c>
    </row>
    <row r="94" spans="4:16">
      <c r="D94" s="3"/>
      <c r="E94" s="3"/>
      <c r="F94" s="3"/>
      <c r="G94" s="2" t="str" cm="1">
        <f t="array" ref="G94">_xlfn.CONCAT(IFERROR(I94:K94,""))</f>
        <v>02000000FEFFFFFF</v>
      </c>
      <c r="I94" s="2" t="e">
        <f>_xlfn.LET(_xlpm.big,DEC2HEX(_xlfn.BITLSHIFT(M94-_xlfn.XLOOKUP(O94,Data!A:A,Data!F:F),4)+O94,8),_xlfn.CONCAT(MID(_xlpm.big,7,2),MID(_xlpm.big,5,2),MID(_xlpm.big,3,2),MID(_xlpm.big,1,2)))</f>
        <v>#NUM!</v>
      </c>
      <c r="J94" s="2" t="str">
        <f t="shared" si="4"/>
        <v>02000000</v>
      </c>
      <c r="K94" s="2" t="str">
        <f>_xlfn.LET(_xlpm.big,IF(H94,DEC2HEX(HEX2DEC(F94),8),DEC2HEX(N94-_xlfn.XLOOKUP(P94,Data!A:A,Data!F:F),8)),_xlfn.CONCAT(MID(_xlpm.big,7,2),MID(_xlpm.big,5,2),MID(_xlpm.big,3,2),MID(_xlpm.big,1,2)))</f>
        <v>FEFFFFFF</v>
      </c>
      <c r="L94" s="2">
        <f t="shared" si="5"/>
        <v>0</v>
      </c>
      <c r="M94" s="2">
        <f t="shared" si="6"/>
        <v>0</v>
      </c>
      <c r="N94" s="2">
        <f t="shared" si="7"/>
        <v>0</v>
      </c>
      <c r="O94" s="2" cm="1">
        <f t="array" ref="O94">_xlfn.IFS(M94&lt;Data!$F$3,0,M94&lt;Data!$F$4,1,TRUE,2)</f>
        <v>0</v>
      </c>
      <c r="P94" s="2" cm="1">
        <f t="array" ref="P94">_xlfn.IFS(H94,3,N94&lt;Data!$F$3,0,N94&lt;Data!$F$4,1,TRUE,2)</f>
        <v>0</v>
      </c>
    </row>
    <row r="95" spans="4:16">
      <c r="F95" s="2"/>
      <c r="G95" s="2" t="str" cm="1">
        <f t="array" ref="G95">_xlfn.CONCAT(IFERROR(I95:K95,""))</f>
        <v>02000000FEFFFFFF</v>
      </c>
      <c r="I95" s="2" t="e">
        <f>_xlfn.LET(_xlpm.big,DEC2HEX(_xlfn.BITLSHIFT(M95-_xlfn.XLOOKUP(O95,Data!A:A,Data!F:F),4)+O95,8),_xlfn.CONCAT(MID(_xlpm.big,7,2),MID(_xlpm.big,5,2),MID(_xlpm.big,3,2),MID(_xlpm.big,1,2)))</f>
        <v>#NUM!</v>
      </c>
      <c r="J95" s="2" t="str">
        <f t="shared" si="4"/>
        <v>02000000</v>
      </c>
      <c r="K95" s="2" t="str">
        <f>_xlfn.LET(_xlpm.big,IF(H95,DEC2HEX(HEX2DEC(F95),8),DEC2HEX(N95-_xlfn.XLOOKUP(P95,Data!A:A,Data!F:F),8)),_xlfn.CONCAT(MID(_xlpm.big,7,2),MID(_xlpm.big,5,2),MID(_xlpm.big,3,2),MID(_xlpm.big,1,2)))</f>
        <v>FEFFFFFF</v>
      </c>
      <c r="L95" s="2">
        <f t="shared" si="5"/>
        <v>0</v>
      </c>
      <c r="M95" s="2">
        <f t="shared" si="6"/>
        <v>0</v>
      </c>
      <c r="N95" s="2">
        <f t="shared" si="7"/>
        <v>0</v>
      </c>
      <c r="O95" s="2" cm="1">
        <f t="array" ref="O95">_xlfn.IFS(M95&lt;Data!$F$3,0,M95&lt;Data!$F$4,1,TRUE,2)</f>
        <v>0</v>
      </c>
      <c r="P95" s="2" cm="1">
        <f t="array" ref="P95">_xlfn.IFS(H95,3,N95&lt;Data!$F$3,0,N95&lt;Data!$F$4,1,TRUE,2)</f>
        <v>0</v>
      </c>
    </row>
    <row r="96" spans="4:16">
      <c r="D96" s="3"/>
      <c r="E96" s="3"/>
      <c r="F96" s="3"/>
      <c r="G96" s="2" t="str" cm="1">
        <f t="array" ref="G96">_xlfn.CONCAT(IFERROR(I96:K96,""))</f>
        <v>02000000FEFFFFFF</v>
      </c>
      <c r="I96" s="2" t="e">
        <f>_xlfn.LET(_xlpm.big,DEC2HEX(_xlfn.BITLSHIFT(M96-_xlfn.XLOOKUP(O96,Data!A:A,Data!F:F),4)+O96,8),_xlfn.CONCAT(MID(_xlpm.big,7,2),MID(_xlpm.big,5,2),MID(_xlpm.big,3,2),MID(_xlpm.big,1,2)))</f>
        <v>#NUM!</v>
      </c>
      <c r="J96" s="2" t="str">
        <f t="shared" si="4"/>
        <v>02000000</v>
      </c>
      <c r="K96" s="2" t="str">
        <f>_xlfn.LET(_xlpm.big,IF(H96,DEC2HEX(HEX2DEC(F96),8),DEC2HEX(N96-_xlfn.XLOOKUP(P96,Data!A:A,Data!F:F),8)),_xlfn.CONCAT(MID(_xlpm.big,7,2),MID(_xlpm.big,5,2),MID(_xlpm.big,3,2),MID(_xlpm.big,1,2)))</f>
        <v>FEFFFFFF</v>
      </c>
      <c r="L96" s="2">
        <f t="shared" si="5"/>
        <v>0</v>
      </c>
      <c r="M96" s="2">
        <f t="shared" si="6"/>
        <v>0</v>
      </c>
      <c r="N96" s="2">
        <f t="shared" si="7"/>
        <v>0</v>
      </c>
      <c r="O96" s="2" cm="1">
        <f t="array" ref="O96">_xlfn.IFS(M96&lt;Data!$F$3,0,M96&lt;Data!$F$4,1,TRUE,2)</f>
        <v>0</v>
      </c>
      <c r="P96" s="2" cm="1">
        <f t="array" ref="P96">_xlfn.IFS(H96,3,N96&lt;Data!$F$3,0,N96&lt;Data!$F$4,1,TRUE,2)</f>
        <v>0</v>
      </c>
    </row>
    <row r="97" spans="4:16">
      <c r="G97" s="2" t="str" cm="1">
        <f t="array" ref="G97">_xlfn.CONCAT(IFERROR(I97:K97,""))</f>
        <v>02000000FEFFFFFF</v>
      </c>
      <c r="I97" s="2" t="e">
        <f>_xlfn.LET(_xlpm.big,DEC2HEX(_xlfn.BITLSHIFT(M97-_xlfn.XLOOKUP(O97,Data!A:A,Data!F:F),4)+O97,8),_xlfn.CONCAT(MID(_xlpm.big,7,2),MID(_xlpm.big,5,2),MID(_xlpm.big,3,2),MID(_xlpm.big,1,2)))</f>
        <v>#NUM!</v>
      </c>
      <c r="J97" s="2" t="str">
        <f t="shared" si="4"/>
        <v>02000000</v>
      </c>
      <c r="K97" s="2" t="str">
        <f>_xlfn.LET(_xlpm.big,IF(H97,DEC2HEX(HEX2DEC(F97),8),DEC2HEX(N97-_xlfn.XLOOKUP(P97,Data!A:A,Data!F:F),8)),_xlfn.CONCAT(MID(_xlpm.big,7,2),MID(_xlpm.big,5,2),MID(_xlpm.big,3,2),MID(_xlpm.big,1,2)))</f>
        <v>FEFFFFFF</v>
      </c>
      <c r="L97" s="2">
        <f t="shared" si="5"/>
        <v>0</v>
      </c>
      <c r="M97" s="2">
        <f t="shared" si="6"/>
        <v>0</v>
      </c>
      <c r="N97" s="2">
        <f t="shared" si="7"/>
        <v>0</v>
      </c>
      <c r="O97" s="2" cm="1">
        <f t="array" ref="O97">_xlfn.IFS(M97&lt;Data!$F$3,0,M97&lt;Data!$F$4,1,TRUE,2)</f>
        <v>0</v>
      </c>
      <c r="P97" s="2" cm="1">
        <f t="array" ref="P97">_xlfn.IFS(H97,3,N97&lt;Data!$F$3,0,N97&lt;Data!$F$4,1,TRUE,2)</f>
        <v>0</v>
      </c>
    </row>
    <row r="98" spans="4:16">
      <c r="D98" s="3"/>
      <c r="E98" s="3"/>
      <c r="F98" s="3"/>
      <c r="G98" s="2" t="str" cm="1">
        <f t="array" ref="G98">_xlfn.CONCAT(IFERROR(I98:K98,""))</f>
        <v>02000000FEFFFFFF</v>
      </c>
      <c r="I98" s="2" t="e">
        <f>_xlfn.LET(_xlpm.big,DEC2HEX(_xlfn.BITLSHIFT(M98-_xlfn.XLOOKUP(O98,Data!A:A,Data!F:F),4)+O98,8),_xlfn.CONCAT(MID(_xlpm.big,7,2),MID(_xlpm.big,5,2),MID(_xlpm.big,3,2),MID(_xlpm.big,1,2)))</f>
        <v>#NUM!</v>
      </c>
      <c r="J98" s="2" t="str">
        <f t="shared" si="4"/>
        <v>02000000</v>
      </c>
      <c r="K98" s="2" t="str">
        <f>_xlfn.LET(_xlpm.big,IF(H98,DEC2HEX(HEX2DEC(F98),8),DEC2HEX(N98-_xlfn.XLOOKUP(P98,Data!A:A,Data!F:F),8)),_xlfn.CONCAT(MID(_xlpm.big,7,2),MID(_xlpm.big,5,2),MID(_xlpm.big,3,2),MID(_xlpm.big,1,2)))</f>
        <v>FEFFFFFF</v>
      </c>
      <c r="L98" s="2">
        <f t="shared" si="5"/>
        <v>0</v>
      </c>
      <c r="M98" s="2">
        <f t="shared" si="6"/>
        <v>0</v>
      </c>
      <c r="N98" s="2">
        <f t="shared" si="7"/>
        <v>0</v>
      </c>
      <c r="O98" s="2" cm="1">
        <f t="array" ref="O98">_xlfn.IFS(M98&lt;Data!$F$3,0,M98&lt;Data!$F$4,1,TRUE,2)</f>
        <v>0</v>
      </c>
      <c r="P98" s="2" cm="1">
        <f t="array" ref="P98">_xlfn.IFS(H98,3,N98&lt;Data!$F$3,0,N98&lt;Data!$F$4,1,TRUE,2)</f>
        <v>0</v>
      </c>
    </row>
    <row r="99" spans="4:16">
      <c r="D99" s="3"/>
      <c r="E99" s="3"/>
      <c r="F99" s="3"/>
      <c r="G99" s="2" t="str" cm="1">
        <f t="array" ref="G99">_xlfn.CONCAT(IFERROR(I99:K99,""))</f>
        <v>02000000FEFFFFFF</v>
      </c>
      <c r="I99" s="2" t="e">
        <f>_xlfn.LET(_xlpm.big,DEC2HEX(_xlfn.BITLSHIFT(M99-_xlfn.XLOOKUP(O99,Data!A:A,Data!F:F),4)+O99,8),_xlfn.CONCAT(MID(_xlpm.big,7,2),MID(_xlpm.big,5,2),MID(_xlpm.big,3,2),MID(_xlpm.big,1,2)))</f>
        <v>#NUM!</v>
      </c>
      <c r="J99" s="2" t="str">
        <f t="shared" si="4"/>
        <v>02000000</v>
      </c>
      <c r="K99" s="2" t="str">
        <f>_xlfn.LET(_xlpm.big,IF(H99,DEC2HEX(HEX2DEC(F99),8),DEC2HEX(N99-_xlfn.XLOOKUP(P99,Data!A:A,Data!F:F),8)),_xlfn.CONCAT(MID(_xlpm.big,7,2),MID(_xlpm.big,5,2),MID(_xlpm.big,3,2),MID(_xlpm.big,1,2)))</f>
        <v>FEFFFFFF</v>
      </c>
      <c r="L99" s="2">
        <f t="shared" si="5"/>
        <v>0</v>
      </c>
      <c r="M99" s="2">
        <f t="shared" si="6"/>
        <v>0</v>
      </c>
      <c r="N99" s="2">
        <f t="shared" si="7"/>
        <v>0</v>
      </c>
      <c r="O99" s="2" cm="1">
        <f t="array" ref="O99">_xlfn.IFS(M99&lt;Data!$F$3,0,M99&lt;Data!$F$4,1,TRUE,2)</f>
        <v>0</v>
      </c>
      <c r="P99" s="2" cm="1">
        <f t="array" ref="P99">_xlfn.IFS(H99,3,N99&lt;Data!$F$3,0,N99&lt;Data!$F$4,1,TRUE,2)</f>
        <v>0</v>
      </c>
    </row>
    <row r="100" spans="4:16">
      <c r="D100" s="3"/>
      <c r="E100" s="3"/>
      <c r="F100" s="3"/>
      <c r="G100" s="2" t="str" cm="1">
        <f t="array" ref="G100">_xlfn.CONCAT(IFERROR(I100:K100,""))</f>
        <v>02000000FEFFFFFF</v>
      </c>
      <c r="I100" s="2" t="e">
        <f>_xlfn.LET(_xlpm.big,DEC2HEX(_xlfn.BITLSHIFT(M100-_xlfn.XLOOKUP(O100,Data!A:A,Data!F:F),4)+O100,8),_xlfn.CONCAT(MID(_xlpm.big,7,2),MID(_xlpm.big,5,2),MID(_xlpm.big,3,2),MID(_xlpm.big,1,2)))</f>
        <v>#NUM!</v>
      </c>
      <c r="J100" s="2" t="str">
        <f t="shared" si="4"/>
        <v>02000000</v>
      </c>
      <c r="K100" s="2" t="str">
        <f>_xlfn.LET(_xlpm.big,IF(H100,DEC2HEX(HEX2DEC(F100),8),DEC2HEX(N100-_xlfn.XLOOKUP(P100,Data!A:A,Data!F:F),8)),_xlfn.CONCAT(MID(_xlpm.big,7,2),MID(_xlpm.big,5,2),MID(_xlpm.big,3,2),MID(_xlpm.big,1,2)))</f>
        <v>FEFFFFFF</v>
      </c>
      <c r="L100" s="2">
        <f t="shared" si="5"/>
        <v>0</v>
      </c>
      <c r="M100" s="2">
        <f t="shared" si="6"/>
        <v>0</v>
      </c>
      <c r="N100" s="2">
        <f t="shared" si="7"/>
        <v>0</v>
      </c>
      <c r="O100" s="2" cm="1">
        <f t="array" ref="O100">_xlfn.IFS(M100&lt;Data!$F$3,0,M100&lt;Data!$F$4,1,TRUE,2)</f>
        <v>0</v>
      </c>
      <c r="P100" s="2" cm="1">
        <f t="array" ref="P100">_xlfn.IFS(H100,3,N100&lt;Data!$F$3,0,N100&lt;Data!$F$4,1,TRUE,2)</f>
        <v>0</v>
      </c>
    </row>
    <row r="101" spans="4:16">
      <c r="D101" s="3"/>
      <c r="E101" s="3"/>
      <c r="F101" s="3"/>
      <c r="G101" s="2" t="str" cm="1">
        <f t="array" ref="G101">_xlfn.CONCAT(IFERROR(I101:K101,""))</f>
        <v>02000000FEFFFFFF</v>
      </c>
      <c r="I101" s="2" t="e">
        <f>_xlfn.LET(_xlpm.big,DEC2HEX(_xlfn.BITLSHIFT(M101-_xlfn.XLOOKUP(O101,Data!A:A,Data!F:F),4)+O101,8),_xlfn.CONCAT(MID(_xlpm.big,7,2),MID(_xlpm.big,5,2),MID(_xlpm.big,3,2),MID(_xlpm.big,1,2)))</f>
        <v>#NUM!</v>
      </c>
      <c r="J101" s="2" t="str">
        <f t="shared" si="4"/>
        <v>02000000</v>
      </c>
      <c r="K101" s="2" t="str">
        <f>_xlfn.LET(_xlpm.big,IF(H101,DEC2HEX(HEX2DEC(F101),8),DEC2HEX(N101-_xlfn.XLOOKUP(P101,Data!A:A,Data!F:F),8)),_xlfn.CONCAT(MID(_xlpm.big,7,2),MID(_xlpm.big,5,2),MID(_xlpm.big,3,2),MID(_xlpm.big,1,2)))</f>
        <v>FEFFFFFF</v>
      </c>
      <c r="L101" s="2">
        <f t="shared" si="5"/>
        <v>0</v>
      </c>
      <c r="M101" s="2">
        <f t="shared" si="6"/>
        <v>0</v>
      </c>
      <c r="N101" s="2">
        <f t="shared" si="7"/>
        <v>0</v>
      </c>
      <c r="O101" s="2" cm="1">
        <f t="array" ref="O101">_xlfn.IFS(M101&lt;Data!$F$3,0,M101&lt;Data!$F$4,1,TRUE,2)</f>
        <v>0</v>
      </c>
      <c r="P101" s="2" cm="1">
        <f t="array" ref="P101">_xlfn.IFS(H101,3,N101&lt;Data!$F$3,0,N101&lt;Data!$F$4,1,TRUE,2)</f>
        <v>0</v>
      </c>
    </row>
    <row r="102" spans="4:16">
      <c r="D102" s="3"/>
      <c r="E102" s="3"/>
      <c r="F102" s="3"/>
      <c r="G102" s="2" t="str" cm="1">
        <f t="array" ref="G102">_xlfn.CONCAT(IFERROR(I102:K102,""))</f>
        <v>02000000FEFFFFFF</v>
      </c>
      <c r="I102" s="2" t="e">
        <f>_xlfn.LET(_xlpm.big,DEC2HEX(_xlfn.BITLSHIFT(M102-_xlfn.XLOOKUP(O102,Data!A:A,Data!F:F),4)+O102,8),_xlfn.CONCAT(MID(_xlpm.big,7,2),MID(_xlpm.big,5,2),MID(_xlpm.big,3,2),MID(_xlpm.big,1,2)))</f>
        <v>#NUM!</v>
      </c>
      <c r="J102" s="2" t="str">
        <f t="shared" si="4"/>
        <v>02000000</v>
      </c>
      <c r="K102" s="2" t="str">
        <f>_xlfn.LET(_xlpm.big,IF(H102,DEC2HEX(HEX2DEC(F102),8),DEC2HEX(N102-_xlfn.XLOOKUP(P102,Data!A:A,Data!F:F),8)),_xlfn.CONCAT(MID(_xlpm.big,7,2),MID(_xlpm.big,5,2),MID(_xlpm.big,3,2),MID(_xlpm.big,1,2)))</f>
        <v>FEFFFFFF</v>
      </c>
      <c r="L102" s="2">
        <f t="shared" si="5"/>
        <v>0</v>
      </c>
      <c r="M102" s="2">
        <f t="shared" si="6"/>
        <v>0</v>
      </c>
      <c r="N102" s="2">
        <f t="shared" si="7"/>
        <v>0</v>
      </c>
      <c r="O102" s="2" cm="1">
        <f t="array" ref="O102">_xlfn.IFS(M102&lt;Data!$F$3,0,M102&lt;Data!$F$4,1,TRUE,2)</f>
        <v>0</v>
      </c>
      <c r="P102" s="2" cm="1">
        <f t="array" ref="P102">_xlfn.IFS(H102,3,N102&lt;Data!$F$3,0,N102&lt;Data!$F$4,1,TRUE,2)</f>
        <v>0</v>
      </c>
    </row>
    <row r="103" spans="4:16">
      <c r="D103" s="3"/>
      <c r="E103" s="3"/>
      <c r="F103" s="3"/>
      <c r="G103" s="2" t="str" cm="1">
        <f t="array" ref="G103">_xlfn.CONCAT(IFERROR(I103:K103,""))</f>
        <v>02000000FEFFFFFF</v>
      </c>
      <c r="I103" s="2" t="e">
        <f>_xlfn.LET(_xlpm.big,DEC2HEX(_xlfn.BITLSHIFT(M103-_xlfn.XLOOKUP(O103,Data!A:A,Data!F:F),4)+O103,8),_xlfn.CONCAT(MID(_xlpm.big,7,2),MID(_xlpm.big,5,2),MID(_xlpm.big,3,2),MID(_xlpm.big,1,2)))</f>
        <v>#NUM!</v>
      </c>
      <c r="J103" s="2" t="str">
        <f t="shared" si="4"/>
        <v>02000000</v>
      </c>
      <c r="K103" s="2" t="str">
        <f>_xlfn.LET(_xlpm.big,IF(H103,DEC2HEX(HEX2DEC(F103),8),DEC2HEX(N103-_xlfn.XLOOKUP(P103,Data!A:A,Data!F:F),8)),_xlfn.CONCAT(MID(_xlpm.big,7,2),MID(_xlpm.big,5,2),MID(_xlpm.big,3,2),MID(_xlpm.big,1,2)))</f>
        <v>FEFFFFFF</v>
      </c>
      <c r="L103" s="2">
        <f t="shared" si="5"/>
        <v>0</v>
      </c>
      <c r="M103" s="2">
        <f t="shared" si="6"/>
        <v>0</v>
      </c>
      <c r="N103" s="2">
        <f t="shared" si="7"/>
        <v>0</v>
      </c>
      <c r="O103" s="2" cm="1">
        <f t="array" ref="O103">_xlfn.IFS(M103&lt;Data!$F$3,0,M103&lt;Data!$F$4,1,TRUE,2)</f>
        <v>0</v>
      </c>
      <c r="P103" s="2" cm="1">
        <f t="array" ref="P103">_xlfn.IFS(H103,3,N103&lt;Data!$F$3,0,N103&lt;Data!$F$4,1,TRUE,2)</f>
        <v>0</v>
      </c>
    </row>
    <row r="104" spans="4:16">
      <c r="D104" s="3"/>
      <c r="E104" s="3"/>
      <c r="F104" s="3"/>
      <c r="G104" s="2" t="str" cm="1">
        <f t="array" ref="G104">_xlfn.CONCAT(IFERROR(I104:K104,""))</f>
        <v>02000000FEFFFFFF</v>
      </c>
      <c r="I104" s="2" t="e">
        <f>_xlfn.LET(_xlpm.big,DEC2HEX(_xlfn.BITLSHIFT(M104-_xlfn.XLOOKUP(O104,Data!A:A,Data!F:F),4)+O104,8),_xlfn.CONCAT(MID(_xlpm.big,7,2),MID(_xlpm.big,5,2),MID(_xlpm.big,3,2),MID(_xlpm.big,1,2)))</f>
        <v>#NUM!</v>
      </c>
      <c r="J104" s="2" t="str">
        <f t="shared" si="4"/>
        <v>02000000</v>
      </c>
      <c r="K104" s="2" t="str">
        <f>_xlfn.LET(_xlpm.big,IF(H104,DEC2HEX(HEX2DEC(F104),8),DEC2HEX(N104-_xlfn.XLOOKUP(P104,Data!A:A,Data!F:F),8)),_xlfn.CONCAT(MID(_xlpm.big,7,2),MID(_xlpm.big,5,2),MID(_xlpm.big,3,2),MID(_xlpm.big,1,2)))</f>
        <v>FEFFFFFF</v>
      </c>
      <c r="L104" s="2">
        <f t="shared" si="5"/>
        <v>0</v>
      </c>
      <c r="M104" s="2">
        <f t="shared" si="6"/>
        <v>0</v>
      </c>
      <c r="N104" s="2">
        <f t="shared" si="7"/>
        <v>0</v>
      </c>
      <c r="O104" s="2" cm="1">
        <f t="array" ref="O104">_xlfn.IFS(M104&lt;Data!$F$3,0,M104&lt;Data!$F$4,1,TRUE,2)</f>
        <v>0</v>
      </c>
      <c r="P104" s="2" cm="1">
        <f t="array" ref="P104">_xlfn.IFS(H104,3,N104&lt;Data!$F$3,0,N104&lt;Data!$F$4,1,TRUE,2)</f>
        <v>0</v>
      </c>
    </row>
    <row r="105" spans="4:16">
      <c r="D105" s="3"/>
      <c r="E105" s="3"/>
      <c r="F105" s="3"/>
      <c r="G105" s="2" t="str" cm="1">
        <f t="array" ref="G105">_xlfn.CONCAT(IFERROR(I105:K105,""))</f>
        <v>02000000FEFFFFFF</v>
      </c>
      <c r="I105" s="2" t="e">
        <f>_xlfn.LET(_xlpm.big,DEC2HEX(_xlfn.BITLSHIFT(M105-_xlfn.XLOOKUP(O105,Data!A:A,Data!F:F),4)+O105,8),_xlfn.CONCAT(MID(_xlpm.big,7,2),MID(_xlpm.big,5,2),MID(_xlpm.big,3,2),MID(_xlpm.big,1,2)))</f>
        <v>#NUM!</v>
      </c>
      <c r="J105" s="2" t="str">
        <f t="shared" si="4"/>
        <v>02000000</v>
      </c>
      <c r="K105" s="2" t="str">
        <f>_xlfn.LET(_xlpm.big,IF(H105,DEC2HEX(HEX2DEC(F105),8),DEC2HEX(N105-_xlfn.XLOOKUP(P105,Data!A:A,Data!F:F),8)),_xlfn.CONCAT(MID(_xlpm.big,7,2),MID(_xlpm.big,5,2),MID(_xlpm.big,3,2),MID(_xlpm.big,1,2)))</f>
        <v>FEFFFFFF</v>
      </c>
      <c r="L105" s="2">
        <f t="shared" si="5"/>
        <v>0</v>
      </c>
      <c r="M105" s="2">
        <f t="shared" si="6"/>
        <v>0</v>
      </c>
      <c r="N105" s="2">
        <f t="shared" si="7"/>
        <v>0</v>
      </c>
      <c r="O105" s="2" cm="1">
        <f t="array" ref="O105">_xlfn.IFS(M105&lt;Data!$F$3,0,M105&lt;Data!$F$4,1,TRUE,2)</f>
        <v>0</v>
      </c>
      <c r="P105" s="2" cm="1">
        <f t="array" ref="P105">_xlfn.IFS(H105,3,N105&lt;Data!$F$3,0,N105&lt;Data!$F$4,1,TRUE,2)</f>
        <v>0</v>
      </c>
    </row>
    <row r="106" spans="4:16">
      <c r="D106" s="3"/>
      <c r="E106" s="3"/>
      <c r="F106" s="3"/>
      <c r="G106" s="2" t="str" cm="1">
        <f t="array" ref="G106">_xlfn.CONCAT(IFERROR(I106:K106,""))</f>
        <v>02000000FEFFFFFF</v>
      </c>
      <c r="I106" s="2" t="e">
        <f>_xlfn.LET(_xlpm.big,DEC2HEX(_xlfn.BITLSHIFT(M106-_xlfn.XLOOKUP(O106,Data!A:A,Data!F:F),4)+O106,8),_xlfn.CONCAT(MID(_xlpm.big,7,2),MID(_xlpm.big,5,2),MID(_xlpm.big,3,2),MID(_xlpm.big,1,2)))</f>
        <v>#NUM!</v>
      </c>
      <c r="J106" s="2" t="str">
        <f t="shared" si="4"/>
        <v>02000000</v>
      </c>
      <c r="K106" s="2" t="str">
        <f>_xlfn.LET(_xlpm.big,IF(H106,DEC2HEX(HEX2DEC(F106),8),DEC2HEX(N106-_xlfn.XLOOKUP(P106,Data!A:A,Data!F:F),8)),_xlfn.CONCAT(MID(_xlpm.big,7,2),MID(_xlpm.big,5,2),MID(_xlpm.big,3,2),MID(_xlpm.big,1,2)))</f>
        <v>FEFFFFFF</v>
      </c>
      <c r="L106" s="2">
        <f t="shared" si="5"/>
        <v>0</v>
      </c>
      <c r="M106" s="2">
        <f t="shared" si="6"/>
        <v>0</v>
      </c>
      <c r="N106" s="2">
        <f t="shared" si="7"/>
        <v>0</v>
      </c>
      <c r="O106" s="2" cm="1">
        <f t="array" ref="O106">_xlfn.IFS(M106&lt;Data!$F$3,0,M106&lt;Data!$F$4,1,TRUE,2)</f>
        <v>0</v>
      </c>
      <c r="P106" s="2" cm="1">
        <f t="array" ref="P106">_xlfn.IFS(H106,3,N106&lt;Data!$F$3,0,N106&lt;Data!$F$4,1,TRUE,2)</f>
        <v>0</v>
      </c>
    </row>
    <row r="107" spans="4:16">
      <c r="D107" s="3"/>
      <c r="E107" s="3"/>
      <c r="F107" s="3"/>
      <c r="G107" s="2" t="str" cm="1">
        <f t="array" ref="G107">_xlfn.CONCAT(IFERROR(I107:K107,""))</f>
        <v>02000000FEFFFFFF</v>
      </c>
      <c r="I107" s="2" t="e">
        <f>_xlfn.LET(_xlpm.big,DEC2HEX(_xlfn.BITLSHIFT(M107-_xlfn.XLOOKUP(O107,Data!A:A,Data!F:F),4)+O107,8),_xlfn.CONCAT(MID(_xlpm.big,7,2),MID(_xlpm.big,5,2),MID(_xlpm.big,3,2),MID(_xlpm.big,1,2)))</f>
        <v>#NUM!</v>
      </c>
      <c r="J107" s="2" t="str">
        <f t="shared" si="4"/>
        <v>02000000</v>
      </c>
      <c r="K107" s="2" t="str">
        <f>_xlfn.LET(_xlpm.big,IF(H107,DEC2HEX(HEX2DEC(F107),8),DEC2HEX(N107-_xlfn.XLOOKUP(P107,Data!A:A,Data!F:F),8)),_xlfn.CONCAT(MID(_xlpm.big,7,2),MID(_xlpm.big,5,2),MID(_xlpm.big,3,2),MID(_xlpm.big,1,2)))</f>
        <v>FEFFFFFF</v>
      </c>
      <c r="L107" s="2">
        <f t="shared" si="5"/>
        <v>0</v>
      </c>
      <c r="M107" s="2">
        <f t="shared" si="6"/>
        <v>0</v>
      </c>
      <c r="N107" s="2">
        <f t="shared" si="7"/>
        <v>0</v>
      </c>
      <c r="O107" s="2" cm="1">
        <f t="array" ref="O107">_xlfn.IFS(M107&lt;Data!$F$3,0,M107&lt;Data!$F$4,1,TRUE,2)</f>
        <v>0</v>
      </c>
      <c r="P107" s="2" cm="1">
        <f t="array" ref="P107">_xlfn.IFS(H107,3,N107&lt;Data!$F$3,0,N107&lt;Data!$F$4,1,TRUE,2)</f>
        <v>0</v>
      </c>
    </row>
    <row r="108" spans="4:16">
      <c r="D108" s="3"/>
      <c r="E108" s="3"/>
      <c r="F108" s="3"/>
      <c r="G108" s="2" t="str" cm="1">
        <f t="array" ref="G108">_xlfn.CONCAT(IFERROR(I108:K108,""))</f>
        <v>02000000FEFFFFFF</v>
      </c>
      <c r="I108" s="2" t="e">
        <f>_xlfn.LET(_xlpm.big,DEC2HEX(_xlfn.BITLSHIFT(M108-_xlfn.XLOOKUP(O108,Data!A:A,Data!F:F),4)+O108,8),_xlfn.CONCAT(MID(_xlpm.big,7,2),MID(_xlpm.big,5,2),MID(_xlpm.big,3,2),MID(_xlpm.big,1,2)))</f>
        <v>#NUM!</v>
      </c>
      <c r="J108" s="2" t="str">
        <f t="shared" si="4"/>
        <v>02000000</v>
      </c>
      <c r="K108" s="2" t="str">
        <f>_xlfn.LET(_xlpm.big,IF(H108,DEC2HEX(HEX2DEC(F108),8),DEC2HEX(N108-_xlfn.XLOOKUP(P108,Data!A:A,Data!F:F),8)),_xlfn.CONCAT(MID(_xlpm.big,7,2),MID(_xlpm.big,5,2),MID(_xlpm.big,3,2),MID(_xlpm.big,1,2)))</f>
        <v>FEFFFFFF</v>
      </c>
      <c r="L108" s="2">
        <f t="shared" si="5"/>
        <v>0</v>
      </c>
      <c r="M108" s="2">
        <f t="shared" si="6"/>
        <v>0</v>
      </c>
      <c r="N108" s="2">
        <f t="shared" si="7"/>
        <v>0</v>
      </c>
      <c r="O108" s="2" cm="1">
        <f t="array" ref="O108">_xlfn.IFS(M108&lt;Data!$F$3,0,M108&lt;Data!$F$4,1,TRUE,2)</f>
        <v>0</v>
      </c>
      <c r="P108" s="2" cm="1">
        <f t="array" ref="P108">_xlfn.IFS(H108,3,N108&lt;Data!$F$3,0,N108&lt;Data!$F$4,1,TRUE,2)</f>
        <v>0</v>
      </c>
    </row>
    <row r="109" spans="4:16">
      <c r="D109" s="3"/>
      <c r="E109" s="3"/>
      <c r="F109" s="3"/>
      <c r="G109" s="2" t="str" cm="1">
        <f t="array" ref="G109">_xlfn.CONCAT(IFERROR(I109:K109,""))</f>
        <v>02000000FEFFFFFF</v>
      </c>
      <c r="I109" s="2" t="e">
        <f>_xlfn.LET(_xlpm.big,DEC2HEX(_xlfn.BITLSHIFT(M109-_xlfn.XLOOKUP(O109,Data!A:A,Data!F:F),4)+O109,8),_xlfn.CONCAT(MID(_xlpm.big,7,2),MID(_xlpm.big,5,2),MID(_xlpm.big,3,2),MID(_xlpm.big,1,2)))</f>
        <v>#NUM!</v>
      </c>
      <c r="J109" s="2" t="str">
        <f t="shared" si="4"/>
        <v>02000000</v>
      </c>
      <c r="K109" s="2" t="str">
        <f>_xlfn.LET(_xlpm.big,IF(H109,DEC2HEX(HEX2DEC(F109),8),DEC2HEX(N109-_xlfn.XLOOKUP(P109,Data!A:A,Data!F:F),8)),_xlfn.CONCAT(MID(_xlpm.big,7,2),MID(_xlpm.big,5,2),MID(_xlpm.big,3,2),MID(_xlpm.big,1,2)))</f>
        <v>FEFFFFFF</v>
      </c>
      <c r="L109" s="2">
        <f t="shared" si="5"/>
        <v>0</v>
      </c>
      <c r="M109" s="2">
        <f t="shared" si="6"/>
        <v>0</v>
      </c>
      <c r="N109" s="2">
        <f t="shared" si="7"/>
        <v>0</v>
      </c>
      <c r="O109" s="2" cm="1">
        <f t="array" ref="O109">_xlfn.IFS(M109&lt;Data!$F$3,0,M109&lt;Data!$F$4,1,TRUE,2)</f>
        <v>0</v>
      </c>
      <c r="P109" s="2" cm="1">
        <f t="array" ref="P109">_xlfn.IFS(H109,3,N109&lt;Data!$F$3,0,N109&lt;Data!$F$4,1,TRUE,2)</f>
        <v>0</v>
      </c>
    </row>
    <row r="110" spans="4:16">
      <c r="D110" s="3"/>
      <c r="E110" s="3"/>
      <c r="F110" s="3"/>
      <c r="G110" s="2" t="str" cm="1">
        <f t="array" ref="G110">_xlfn.CONCAT(IFERROR(I110:K110,""))</f>
        <v>02000000FEFFFFFF</v>
      </c>
      <c r="I110" s="2" t="e">
        <f>_xlfn.LET(_xlpm.big,DEC2HEX(_xlfn.BITLSHIFT(M110-_xlfn.XLOOKUP(O110,Data!A:A,Data!F:F),4)+O110,8),_xlfn.CONCAT(MID(_xlpm.big,7,2),MID(_xlpm.big,5,2),MID(_xlpm.big,3,2),MID(_xlpm.big,1,2)))</f>
        <v>#NUM!</v>
      </c>
      <c r="J110" s="2" t="str">
        <f t="shared" si="4"/>
        <v>02000000</v>
      </c>
      <c r="K110" s="2" t="str">
        <f>_xlfn.LET(_xlpm.big,IF(H110,DEC2HEX(HEX2DEC(F110),8),DEC2HEX(N110-_xlfn.XLOOKUP(P110,Data!A:A,Data!F:F),8)),_xlfn.CONCAT(MID(_xlpm.big,7,2),MID(_xlpm.big,5,2),MID(_xlpm.big,3,2),MID(_xlpm.big,1,2)))</f>
        <v>FEFFFFFF</v>
      </c>
      <c r="L110" s="2">
        <f t="shared" si="5"/>
        <v>0</v>
      </c>
      <c r="M110" s="2">
        <f t="shared" si="6"/>
        <v>0</v>
      </c>
      <c r="N110" s="2">
        <f t="shared" si="7"/>
        <v>0</v>
      </c>
      <c r="O110" s="2" cm="1">
        <f t="array" ref="O110">_xlfn.IFS(M110&lt;Data!$F$3,0,M110&lt;Data!$F$4,1,TRUE,2)</f>
        <v>0</v>
      </c>
      <c r="P110" s="2" cm="1">
        <f t="array" ref="P110">_xlfn.IFS(H110,3,N110&lt;Data!$F$3,0,N110&lt;Data!$F$4,1,TRUE,2)</f>
        <v>0</v>
      </c>
    </row>
    <row r="111" spans="4:16">
      <c r="D111" s="3"/>
      <c r="E111" s="3"/>
      <c r="F111" s="3"/>
      <c r="G111" s="2" t="str" cm="1">
        <f t="array" ref="G111">_xlfn.CONCAT(IFERROR(I111:K111,""))</f>
        <v>02000000FEFFFFFF</v>
      </c>
      <c r="I111" s="2" t="e">
        <f>_xlfn.LET(_xlpm.big,DEC2HEX(_xlfn.BITLSHIFT(M111-_xlfn.XLOOKUP(O111,Data!A:A,Data!F:F),4)+O111,8),_xlfn.CONCAT(MID(_xlpm.big,7,2),MID(_xlpm.big,5,2),MID(_xlpm.big,3,2),MID(_xlpm.big,1,2)))</f>
        <v>#NUM!</v>
      </c>
      <c r="J111" s="2" t="str">
        <f t="shared" si="4"/>
        <v>02000000</v>
      </c>
      <c r="K111" s="2" t="str">
        <f>_xlfn.LET(_xlpm.big,IF(H111,DEC2HEX(HEX2DEC(F111),8),DEC2HEX(N111-_xlfn.XLOOKUP(P111,Data!A:A,Data!F:F),8)),_xlfn.CONCAT(MID(_xlpm.big,7,2),MID(_xlpm.big,5,2),MID(_xlpm.big,3,2),MID(_xlpm.big,1,2)))</f>
        <v>FEFFFFFF</v>
      </c>
      <c r="L111" s="2">
        <f t="shared" si="5"/>
        <v>0</v>
      </c>
      <c r="M111" s="2">
        <f t="shared" si="6"/>
        <v>0</v>
      </c>
      <c r="N111" s="2">
        <f t="shared" si="7"/>
        <v>0</v>
      </c>
      <c r="O111" s="2" cm="1">
        <f t="array" ref="O111">_xlfn.IFS(M111&lt;Data!$F$3,0,M111&lt;Data!$F$4,1,TRUE,2)</f>
        <v>0</v>
      </c>
      <c r="P111" s="2" cm="1">
        <f t="array" ref="P111">_xlfn.IFS(H111,3,N111&lt;Data!$F$3,0,N111&lt;Data!$F$4,1,TRUE,2)</f>
        <v>0</v>
      </c>
    </row>
    <row r="112" spans="4:16">
      <c r="D112" s="3"/>
      <c r="E112" s="3"/>
      <c r="F112" s="3"/>
      <c r="G112" s="2" t="str" cm="1">
        <f t="array" ref="G112">_xlfn.CONCAT(IFERROR(I112:K112,""))</f>
        <v>02000000FEFFFFFF</v>
      </c>
      <c r="I112" s="2" t="e">
        <f>_xlfn.LET(_xlpm.big,DEC2HEX(_xlfn.BITLSHIFT(M112-_xlfn.XLOOKUP(O112,Data!A:A,Data!F:F),4)+O112,8),_xlfn.CONCAT(MID(_xlpm.big,7,2),MID(_xlpm.big,5,2),MID(_xlpm.big,3,2),MID(_xlpm.big,1,2)))</f>
        <v>#NUM!</v>
      </c>
      <c r="J112" s="2" t="str">
        <f t="shared" si="4"/>
        <v>02000000</v>
      </c>
      <c r="K112" s="2" t="str">
        <f>_xlfn.LET(_xlpm.big,IF(H112,DEC2HEX(HEX2DEC(F112),8),DEC2HEX(N112-_xlfn.XLOOKUP(P112,Data!A:A,Data!F:F),8)),_xlfn.CONCAT(MID(_xlpm.big,7,2),MID(_xlpm.big,5,2),MID(_xlpm.big,3,2),MID(_xlpm.big,1,2)))</f>
        <v>FEFFFFFF</v>
      </c>
      <c r="L112" s="2">
        <f t="shared" si="5"/>
        <v>0</v>
      </c>
      <c r="M112" s="2">
        <f t="shared" si="6"/>
        <v>0</v>
      </c>
      <c r="N112" s="2">
        <f t="shared" si="7"/>
        <v>0</v>
      </c>
      <c r="O112" s="2" cm="1">
        <f t="array" ref="O112">_xlfn.IFS(M112&lt;Data!$F$3,0,M112&lt;Data!$F$4,1,TRUE,2)</f>
        <v>0</v>
      </c>
      <c r="P112" s="2" cm="1">
        <f t="array" ref="P112">_xlfn.IFS(H112,3,N112&lt;Data!$F$3,0,N112&lt;Data!$F$4,1,TRUE,2)</f>
        <v>0</v>
      </c>
    </row>
    <row r="113" spans="4:16">
      <c r="G113" s="2" t="str" cm="1">
        <f t="array" ref="G113">_xlfn.CONCAT(IFERROR(I113:K113,""))</f>
        <v>02000000FEFFFFFF</v>
      </c>
      <c r="I113" s="2" t="e">
        <f>_xlfn.LET(_xlpm.big,DEC2HEX(_xlfn.BITLSHIFT(M113-_xlfn.XLOOKUP(O113,Data!A:A,Data!F:F),4)+O113,8),_xlfn.CONCAT(MID(_xlpm.big,7,2),MID(_xlpm.big,5,2),MID(_xlpm.big,3,2),MID(_xlpm.big,1,2)))</f>
        <v>#NUM!</v>
      </c>
      <c r="J113" s="2" t="str">
        <f t="shared" si="4"/>
        <v>02000000</v>
      </c>
      <c r="K113" s="2" t="str">
        <f>_xlfn.LET(_xlpm.big,IF(H113,DEC2HEX(HEX2DEC(F113),8),DEC2HEX(N113-_xlfn.XLOOKUP(P113,Data!A:A,Data!F:F),8)),_xlfn.CONCAT(MID(_xlpm.big,7,2),MID(_xlpm.big,5,2),MID(_xlpm.big,3,2),MID(_xlpm.big,1,2)))</f>
        <v>FEFFFFFF</v>
      </c>
      <c r="L113" s="2">
        <f t="shared" si="5"/>
        <v>0</v>
      </c>
      <c r="M113" s="2">
        <f t="shared" si="6"/>
        <v>0</v>
      </c>
      <c r="N113" s="2">
        <f t="shared" si="7"/>
        <v>0</v>
      </c>
      <c r="O113" s="2" cm="1">
        <f t="array" ref="O113">_xlfn.IFS(M113&lt;Data!$F$3,0,M113&lt;Data!$F$4,1,TRUE,2)</f>
        <v>0</v>
      </c>
      <c r="P113" s="2" cm="1">
        <f t="array" ref="P113">_xlfn.IFS(H113,3,N113&lt;Data!$F$3,0,N113&lt;Data!$F$4,1,TRUE,2)</f>
        <v>0</v>
      </c>
    </row>
    <row r="114" spans="4:16">
      <c r="D114" s="3"/>
      <c r="E114" s="3"/>
      <c r="F114" s="3"/>
      <c r="G114" s="2" t="str" cm="1">
        <f t="array" ref="G114">_xlfn.CONCAT(IFERROR(I114:K114,""))</f>
        <v>02000000FEFFFFFF</v>
      </c>
      <c r="I114" s="2" t="e">
        <f>_xlfn.LET(_xlpm.big,DEC2HEX(_xlfn.BITLSHIFT(M114-_xlfn.XLOOKUP(O114,Data!A:A,Data!F:F),4)+O114,8),_xlfn.CONCAT(MID(_xlpm.big,7,2),MID(_xlpm.big,5,2),MID(_xlpm.big,3,2),MID(_xlpm.big,1,2)))</f>
        <v>#NUM!</v>
      </c>
      <c r="J114" s="2" t="str">
        <f t="shared" si="4"/>
        <v>02000000</v>
      </c>
      <c r="K114" s="2" t="str">
        <f>_xlfn.LET(_xlpm.big,IF(H114,DEC2HEX(HEX2DEC(F114),8),DEC2HEX(N114-_xlfn.XLOOKUP(P114,Data!A:A,Data!F:F),8)),_xlfn.CONCAT(MID(_xlpm.big,7,2),MID(_xlpm.big,5,2),MID(_xlpm.big,3,2),MID(_xlpm.big,1,2)))</f>
        <v>FEFFFFFF</v>
      </c>
      <c r="L114" s="2">
        <f t="shared" si="5"/>
        <v>0</v>
      </c>
      <c r="M114" s="2">
        <f t="shared" si="6"/>
        <v>0</v>
      </c>
      <c r="N114" s="2">
        <f t="shared" si="7"/>
        <v>0</v>
      </c>
      <c r="O114" s="2" cm="1">
        <f t="array" ref="O114">_xlfn.IFS(M114&lt;Data!$F$3,0,M114&lt;Data!$F$4,1,TRUE,2)</f>
        <v>0</v>
      </c>
      <c r="P114" s="2" cm="1">
        <f t="array" ref="P114">_xlfn.IFS(H114,3,N114&lt;Data!$F$3,0,N114&lt;Data!$F$4,1,TRUE,2)</f>
        <v>0</v>
      </c>
    </row>
    <row r="115" spans="4:16">
      <c r="D115" s="3"/>
      <c r="E115" s="3"/>
      <c r="F115" s="3"/>
      <c r="G115" s="2" t="str" cm="1">
        <f t="array" ref="G115">_xlfn.CONCAT(IFERROR(I115:K115,""))</f>
        <v>02000000FEFFFFFF</v>
      </c>
      <c r="I115" s="2" t="e">
        <f>_xlfn.LET(_xlpm.big,DEC2HEX(_xlfn.BITLSHIFT(M115-_xlfn.XLOOKUP(O115,Data!A:A,Data!F:F),4)+O115,8),_xlfn.CONCAT(MID(_xlpm.big,7,2),MID(_xlpm.big,5,2),MID(_xlpm.big,3,2),MID(_xlpm.big,1,2)))</f>
        <v>#NUM!</v>
      </c>
      <c r="J115" s="2" t="str">
        <f t="shared" si="4"/>
        <v>02000000</v>
      </c>
      <c r="K115" s="2" t="str">
        <f>_xlfn.LET(_xlpm.big,IF(H115,DEC2HEX(HEX2DEC(F115),8),DEC2HEX(N115-_xlfn.XLOOKUP(P115,Data!A:A,Data!F:F),8)),_xlfn.CONCAT(MID(_xlpm.big,7,2),MID(_xlpm.big,5,2),MID(_xlpm.big,3,2),MID(_xlpm.big,1,2)))</f>
        <v>FEFFFFFF</v>
      </c>
      <c r="L115" s="2">
        <f t="shared" si="5"/>
        <v>0</v>
      </c>
      <c r="M115" s="2">
        <f t="shared" si="6"/>
        <v>0</v>
      </c>
      <c r="N115" s="2">
        <f t="shared" si="7"/>
        <v>0</v>
      </c>
      <c r="O115" s="2" cm="1">
        <f t="array" ref="O115">_xlfn.IFS(M115&lt;Data!$F$3,0,M115&lt;Data!$F$4,1,TRUE,2)</f>
        <v>0</v>
      </c>
      <c r="P115" s="2" cm="1">
        <f t="array" ref="P115">_xlfn.IFS(H115,3,N115&lt;Data!$F$3,0,N115&lt;Data!$F$4,1,TRUE,2)</f>
        <v>0</v>
      </c>
    </row>
    <row r="116" spans="4:16">
      <c r="D116" s="3"/>
      <c r="E116" s="3"/>
      <c r="F116" s="3"/>
      <c r="G116" s="2" t="str" cm="1">
        <f t="array" ref="G116">_xlfn.CONCAT(IFERROR(I116:K116,""))</f>
        <v>02000000FEFFFFFF</v>
      </c>
      <c r="I116" s="2" t="e">
        <f>_xlfn.LET(_xlpm.big,DEC2HEX(_xlfn.BITLSHIFT(M116-_xlfn.XLOOKUP(O116,Data!A:A,Data!F:F),4)+O116,8),_xlfn.CONCAT(MID(_xlpm.big,7,2),MID(_xlpm.big,5,2),MID(_xlpm.big,3,2),MID(_xlpm.big,1,2)))</f>
        <v>#NUM!</v>
      </c>
      <c r="J116" s="2" t="str">
        <f t="shared" si="4"/>
        <v>02000000</v>
      </c>
      <c r="K116" s="2" t="str">
        <f>_xlfn.LET(_xlpm.big,IF(H116,DEC2HEX(HEX2DEC(F116),8),DEC2HEX(N116-_xlfn.XLOOKUP(P116,Data!A:A,Data!F:F),8)),_xlfn.CONCAT(MID(_xlpm.big,7,2),MID(_xlpm.big,5,2),MID(_xlpm.big,3,2),MID(_xlpm.big,1,2)))</f>
        <v>FEFFFFFF</v>
      </c>
      <c r="L116" s="2">
        <f t="shared" si="5"/>
        <v>0</v>
      </c>
      <c r="M116" s="2">
        <f t="shared" si="6"/>
        <v>0</v>
      </c>
      <c r="N116" s="2">
        <f t="shared" si="7"/>
        <v>0</v>
      </c>
      <c r="O116" s="2" cm="1">
        <f t="array" ref="O116">_xlfn.IFS(M116&lt;Data!$F$3,0,M116&lt;Data!$F$4,1,TRUE,2)</f>
        <v>0</v>
      </c>
      <c r="P116" s="2" cm="1">
        <f t="array" ref="P116">_xlfn.IFS(H116,3,N116&lt;Data!$F$3,0,N116&lt;Data!$F$4,1,TRUE,2)</f>
        <v>0</v>
      </c>
    </row>
    <row r="117" spans="4:16">
      <c r="D117" s="3"/>
      <c r="E117" s="3"/>
      <c r="F117" s="3"/>
      <c r="G117" s="2" t="str" cm="1">
        <f t="array" ref="G117">_xlfn.CONCAT(IFERROR(I117:K117,""))</f>
        <v>02000000FEFFFFFF</v>
      </c>
      <c r="I117" s="2" t="e">
        <f>_xlfn.LET(_xlpm.big,DEC2HEX(_xlfn.BITLSHIFT(M117-_xlfn.XLOOKUP(O117,Data!A:A,Data!F:F),4)+O117,8),_xlfn.CONCAT(MID(_xlpm.big,7,2),MID(_xlpm.big,5,2),MID(_xlpm.big,3,2),MID(_xlpm.big,1,2)))</f>
        <v>#NUM!</v>
      </c>
      <c r="J117" s="2" t="str">
        <f t="shared" si="4"/>
        <v>02000000</v>
      </c>
      <c r="K117" s="2" t="str">
        <f>_xlfn.LET(_xlpm.big,IF(H117,DEC2HEX(HEX2DEC(F117),8),DEC2HEX(N117-_xlfn.XLOOKUP(P117,Data!A:A,Data!F:F),8)),_xlfn.CONCAT(MID(_xlpm.big,7,2),MID(_xlpm.big,5,2),MID(_xlpm.big,3,2),MID(_xlpm.big,1,2)))</f>
        <v>FEFFFFFF</v>
      </c>
      <c r="L117" s="2">
        <f t="shared" si="5"/>
        <v>0</v>
      </c>
      <c r="M117" s="2">
        <f t="shared" si="6"/>
        <v>0</v>
      </c>
      <c r="N117" s="2">
        <f t="shared" si="7"/>
        <v>0</v>
      </c>
      <c r="O117" s="2" cm="1">
        <f t="array" ref="O117">_xlfn.IFS(M117&lt;Data!$F$3,0,M117&lt;Data!$F$4,1,TRUE,2)</f>
        <v>0</v>
      </c>
      <c r="P117" s="2" cm="1">
        <f t="array" ref="P117">_xlfn.IFS(H117,3,N117&lt;Data!$F$3,0,N117&lt;Data!$F$4,1,TRUE,2)</f>
        <v>0</v>
      </c>
    </row>
    <row r="118" spans="4:16">
      <c r="G118" s="2" t="str" cm="1">
        <f t="array" ref="G118">_xlfn.CONCAT(IFERROR(I118:K118,""))</f>
        <v>02000000FEFFFFFF</v>
      </c>
      <c r="I118" s="2" t="e">
        <f>_xlfn.LET(_xlpm.big,DEC2HEX(_xlfn.BITLSHIFT(M118-_xlfn.XLOOKUP(O118,Data!A:A,Data!F:F),4)+O118,8),_xlfn.CONCAT(MID(_xlpm.big,7,2),MID(_xlpm.big,5,2),MID(_xlpm.big,3,2),MID(_xlpm.big,1,2)))</f>
        <v>#NUM!</v>
      </c>
      <c r="J118" s="2" t="str">
        <f t="shared" si="4"/>
        <v>02000000</v>
      </c>
      <c r="K118" s="2" t="str">
        <f>_xlfn.LET(_xlpm.big,IF(H118,DEC2HEX(HEX2DEC(F118),8),DEC2HEX(N118-_xlfn.XLOOKUP(P118,Data!A:A,Data!F:F),8)),_xlfn.CONCAT(MID(_xlpm.big,7,2),MID(_xlpm.big,5,2),MID(_xlpm.big,3,2),MID(_xlpm.big,1,2)))</f>
        <v>FEFFFFFF</v>
      </c>
      <c r="L118" s="2">
        <f t="shared" si="5"/>
        <v>0</v>
      </c>
      <c r="M118" s="2">
        <f t="shared" si="6"/>
        <v>0</v>
      </c>
      <c r="N118" s="2">
        <f t="shared" si="7"/>
        <v>0</v>
      </c>
      <c r="O118" s="2" cm="1">
        <f t="array" ref="O118">_xlfn.IFS(M118&lt;Data!$F$3,0,M118&lt;Data!$F$4,1,TRUE,2)</f>
        <v>0</v>
      </c>
      <c r="P118" s="2" cm="1">
        <f t="array" ref="P118">_xlfn.IFS(H118,3,N118&lt;Data!$F$3,0,N118&lt;Data!$F$4,1,TRUE,2)</f>
        <v>0</v>
      </c>
    </row>
    <row r="119" spans="4:16">
      <c r="D119" s="3"/>
      <c r="E119" s="3"/>
      <c r="F119" s="3"/>
      <c r="G119" s="2" t="str" cm="1">
        <f t="array" ref="G119">_xlfn.CONCAT(IFERROR(I119:K119,""))</f>
        <v>02000000FEFFFFFF</v>
      </c>
      <c r="I119" s="2" t="e">
        <f>_xlfn.LET(_xlpm.big,DEC2HEX(_xlfn.BITLSHIFT(M119-_xlfn.XLOOKUP(O119,Data!A:A,Data!F:F),4)+O119,8),_xlfn.CONCAT(MID(_xlpm.big,7,2),MID(_xlpm.big,5,2),MID(_xlpm.big,3,2),MID(_xlpm.big,1,2)))</f>
        <v>#NUM!</v>
      </c>
      <c r="J119" s="2" t="str">
        <f t="shared" si="4"/>
        <v>02000000</v>
      </c>
      <c r="K119" s="2" t="str">
        <f>_xlfn.LET(_xlpm.big,IF(H119,DEC2HEX(HEX2DEC(F119),8),DEC2HEX(N119-_xlfn.XLOOKUP(P119,Data!A:A,Data!F:F),8)),_xlfn.CONCAT(MID(_xlpm.big,7,2),MID(_xlpm.big,5,2),MID(_xlpm.big,3,2),MID(_xlpm.big,1,2)))</f>
        <v>FEFFFFFF</v>
      </c>
      <c r="L119" s="2">
        <f t="shared" si="5"/>
        <v>0</v>
      </c>
      <c r="M119" s="2">
        <f t="shared" si="6"/>
        <v>0</v>
      </c>
      <c r="N119" s="2">
        <f t="shared" si="7"/>
        <v>0</v>
      </c>
      <c r="O119" s="2" cm="1">
        <f t="array" ref="O119">_xlfn.IFS(M119&lt;Data!$F$3,0,M119&lt;Data!$F$4,1,TRUE,2)</f>
        <v>0</v>
      </c>
      <c r="P119" s="2" cm="1">
        <f t="array" ref="P119">_xlfn.IFS(H119,3,N119&lt;Data!$F$3,0,N119&lt;Data!$F$4,1,TRUE,2)</f>
        <v>0</v>
      </c>
    </row>
    <row r="120" spans="4:16">
      <c r="D120" s="3"/>
      <c r="E120" s="3"/>
      <c r="F120" s="3"/>
      <c r="G120" s="2" t="str" cm="1">
        <f t="array" ref="G120">_xlfn.CONCAT(IFERROR(I120:K120,""))</f>
        <v>02000000FEFFFFFF</v>
      </c>
      <c r="I120" s="2" t="e">
        <f>_xlfn.LET(_xlpm.big,DEC2HEX(_xlfn.BITLSHIFT(M120-_xlfn.XLOOKUP(O120,Data!A:A,Data!F:F),4)+O120,8),_xlfn.CONCAT(MID(_xlpm.big,7,2),MID(_xlpm.big,5,2),MID(_xlpm.big,3,2),MID(_xlpm.big,1,2)))</f>
        <v>#NUM!</v>
      </c>
      <c r="J120" s="2" t="str">
        <f t="shared" si="4"/>
        <v>02000000</v>
      </c>
      <c r="K120" s="2" t="str">
        <f>_xlfn.LET(_xlpm.big,IF(H120,DEC2HEX(HEX2DEC(F120),8),DEC2HEX(N120-_xlfn.XLOOKUP(P120,Data!A:A,Data!F:F),8)),_xlfn.CONCAT(MID(_xlpm.big,7,2),MID(_xlpm.big,5,2),MID(_xlpm.big,3,2),MID(_xlpm.big,1,2)))</f>
        <v>FEFFFFFF</v>
      </c>
      <c r="L120" s="2">
        <f t="shared" si="5"/>
        <v>0</v>
      </c>
      <c r="M120" s="2">
        <f t="shared" si="6"/>
        <v>0</v>
      </c>
      <c r="N120" s="2">
        <f t="shared" si="7"/>
        <v>0</v>
      </c>
      <c r="O120" s="2" cm="1">
        <f t="array" ref="O120">_xlfn.IFS(M120&lt;Data!$F$3,0,M120&lt;Data!$F$4,1,TRUE,2)</f>
        <v>0</v>
      </c>
      <c r="P120" s="2" cm="1">
        <f t="array" ref="P120">_xlfn.IFS(H120,3,N120&lt;Data!$F$3,0,N120&lt;Data!$F$4,1,TRUE,2)</f>
        <v>0</v>
      </c>
    </row>
    <row r="121" spans="4:16">
      <c r="D121" s="3"/>
      <c r="E121" s="3"/>
      <c r="F121" s="3"/>
      <c r="G121" s="2" t="str" cm="1">
        <f t="array" ref="G121">_xlfn.CONCAT(IFERROR(I121:K121,""))</f>
        <v>02000000FEFFFFFF</v>
      </c>
      <c r="I121" s="2" t="e">
        <f>_xlfn.LET(_xlpm.big,DEC2HEX(_xlfn.BITLSHIFT(M121-_xlfn.XLOOKUP(O121,Data!A:A,Data!F:F),4)+O121,8),_xlfn.CONCAT(MID(_xlpm.big,7,2),MID(_xlpm.big,5,2),MID(_xlpm.big,3,2),MID(_xlpm.big,1,2)))</f>
        <v>#NUM!</v>
      </c>
      <c r="J121" s="2" t="str">
        <f t="shared" si="4"/>
        <v>02000000</v>
      </c>
      <c r="K121" s="2" t="str">
        <f>_xlfn.LET(_xlpm.big,IF(H121,DEC2HEX(HEX2DEC(F121),8),DEC2HEX(N121-_xlfn.XLOOKUP(P121,Data!A:A,Data!F:F),8)),_xlfn.CONCAT(MID(_xlpm.big,7,2),MID(_xlpm.big,5,2),MID(_xlpm.big,3,2),MID(_xlpm.big,1,2)))</f>
        <v>FEFFFFFF</v>
      </c>
      <c r="L121" s="2">
        <f t="shared" si="5"/>
        <v>0</v>
      </c>
      <c r="M121" s="2">
        <f t="shared" si="6"/>
        <v>0</v>
      </c>
      <c r="N121" s="2">
        <f t="shared" si="7"/>
        <v>0</v>
      </c>
      <c r="O121" s="2" cm="1">
        <f t="array" ref="O121">_xlfn.IFS(M121&lt;Data!$F$3,0,M121&lt;Data!$F$4,1,TRUE,2)</f>
        <v>0</v>
      </c>
      <c r="P121" s="2" cm="1">
        <f t="array" ref="P121">_xlfn.IFS(H121,3,N121&lt;Data!$F$3,0,N121&lt;Data!$F$4,1,TRUE,2)</f>
        <v>0</v>
      </c>
    </row>
    <row r="122" spans="4:16">
      <c r="D122" s="3"/>
      <c r="E122" s="3"/>
      <c r="F122" s="3"/>
      <c r="G122" s="2" t="str" cm="1">
        <f t="array" ref="G122">_xlfn.CONCAT(IFERROR(I122:K122,""))</f>
        <v>02000000FEFFFFFF</v>
      </c>
      <c r="I122" s="2" t="e">
        <f>_xlfn.LET(_xlpm.big,DEC2HEX(_xlfn.BITLSHIFT(M122-_xlfn.XLOOKUP(O122,Data!A:A,Data!F:F),4)+O122,8),_xlfn.CONCAT(MID(_xlpm.big,7,2),MID(_xlpm.big,5,2),MID(_xlpm.big,3,2),MID(_xlpm.big,1,2)))</f>
        <v>#NUM!</v>
      </c>
      <c r="J122" s="2" t="str">
        <f t="shared" si="4"/>
        <v>02000000</v>
      </c>
      <c r="K122" s="2" t="str">
        <f>_xlfn.LET(_xlpm.big,IF(H122,DEC2HEX(HEX2DEC(F122),8),DEC2HEX(N122-_xlfn.XLOOKUP(P122,Data!A:A,Data!F:F),8)),_xlfn.CONCAT(MID(_xlpm.big,7,2),MID(_xlpm.big,5,2),MID(_xlpm.big,3,2),MID(_xlpm.big,1,2)))</f>
        <v>FEFFFFFF</v>
      </c>
      <c r="L122" s="2">
        <f t="shared" si="5"/>
        <v>0</v>
      </c>
      <c r="M122" s="2">
        <f t="shared" si="6"/>
        <v>0</v>
      </c>
      <c r="N122" s="2">
        <f t="shared" si="7"/>
        <v>0</v>
      </c>
      <c r="O122" s="2" cm="1">
        <f t="array" ref="O122">_xlfn.IFS(M122&lt;Data!$F$3,0,M122&lt;Data!$F$4,1,TRUE,2)</f>
        <v>0</v>
      </c>
      <c r="P122" s="2" cm="1">
        <f t="array" ref="P122">_xlfn.IFS(H122,3,N122&lt;Data!$F$3,0,N122&lt;Data!$F$4,1,TRUE,2)</f>
        <v>0</v>
      </c>
    </row>
    <row r="123" spans="4:16">
      <c r="D123" s="3"/>
      <c r="E123" s="3"/>
      <c r="F123" s="3"/>
      <c r="G123" s="2" t="str" cm="1">
        <f t="array" ref="G123">_xlfn.CONCAT(IFERROR(I123:K123,""))</f>
        <v>02000000FEFFFFFF</v>
      </c>
      <c r="I123" s="2" t="e">
        <f>_xlfn.LET(_xlpm.big,DEC2HEX(_xlfn.BITLSHIFT(M123-_xlfn.XLOOKUP(O123,Data!A:A,Data!F:F),4)+O123,8),_xlfn.CONCAT(MID(_xlpm.big,7,2),MID(_xlpm.big,5,2),MID(_xlpm.big,3,2),MID(_xlpm.big,1,2)))</f>
        <v>#NUM!</v>
      </c>
      <c r="J123" s="2" t="str">
        <f t="shared" si="4"/>
        <v>02000000</v>
      </c>
      <c r="K123" s="2" t="str">
        <f>_xlfn.LET(_xlpm.big,IF(H123,DEC2HEX(HEX2DEC(F123),8),DEC2HEX(N123-_xlfn.XLOOKUP(P123,Data!A:A,Data!F:F),8)),_xlfn.CONCAT(MID(_xlpm.big,7,2),MID(_xlpm.big,5,2),MID(_xlpm.big,3,2),MID(_xlpm.big,1,2)))</f>
        <v>FEFFFFFF</v>
      </c>
      <c r="L123" s="2">
        <f t="shared" si="5"/>
        <v>0</v>
      </c>
      <c r="M123" s="2">
        <f t="shared" si="6"/>
        <v>0</v>
      </c>
      <c r="N123" s="2">
        <f t="shared" si="7"/>
        <v>0</v>
      </c>
      <c r="O123" s="2" cm="1">
        <f t="array" ref="O123">_xlfn.IFS(M123&lt;Data!$F$3,0,M123&lt;Data!$F$4,1,TRUE,2)</f>
        <v>0</v>
      </c>
      <c r="P123" s="2" cm="1">
        <f t="array" ref="P123">_xlfn.IFS(H123,3,N123&lt;Data!$F$3,0,N123&lt;Data!$F$4,1,TRUE,2)</f>
        <v>0</v>
      </c>
    </row>
    <row r="124" spans="4:16">
      <c r="D124" s="3"/>
      <c r="E124" s="3"/>
      <c r="F124" s="3"/>
      <c r="G124" s="2" t="str" cm="1">
        <f t="array" ref="G124">_xlfn.CONCAT(IFERROR(I124:K124,""))</f>
        <v>02000000FEFFFFFF</v>
      </c>
      <c r="I124" s="2" t="e">
        <f>_xlfn.LET(_xlpm.big,DEC2HEX(_xlfn.BITLSHIFT(M124-_xlfn.XLOOKUP(O124,Data!A:A,Data!F:F),4)+O124,8),_xlfn.CONCAT(MID(_xlpm.big,7,2),MID(_xlpm.big,5,2),MID(_xlpm.big,3,2),MID(_xlpm.big,1,2)))</f>
        <v>#NUM!</v>
      </c>
      <c r="J124" s="2" t="str">
        <f t="shared" si="4"/>
        <v>02000000</v>
      </c>
      <c r="K124" s="2" t="str">
        <f>_xlfn.LET(_xlpm.big,IF(H124,DEC2HEX(HEX2DEC(F124),8),DEC2HEX(N124-_xlfn.XLOOKUP(P124,Data!A:A,Data!F:F),8)),_xlfn.CONCAT(MID(_xlpm.big,7,2),MID(_xlpm.big,5,2),MID(_xlpm.big,3,2),MID(_xlpm.big,1,2)))</f>
        <v>FEFFFFFF</v>
      </c>
      <c r="L124" s="2">
        <f t="shared" si="5"/>
        <v>0</v>
      </c>
      <c r="M124" s="2">
        <f t="shared" si="6"/>
        <v>0</v>
      </c>
      <c r="N124" s="2">
        <f t="shared" si="7"/>
        <v>0</v>
      </c>
      <c r="O124" s="2" cm="1">
        <f t="array" ref="O124">_xlfn.IFS(M124&lt;Data!$F$3,0,M124&lt;Data!$F$4,1,TRUE,2)</f>
        <v>0</v>
      </c>
      <c r="P124" s="2" cm="1">
        <f t="array" ref="P124">_xlfn.IFS(H124,3,N124&lt;Data!$F$3,0,N124&lt;Data!$F$4,1,TRUE,2)</f>
        <v>0</v>
      </c>
    </row>
    <row r="125" spans="4:16">
      <c r="E125" s="16"/>
      <c r="F125" s="3"/>
      <c r="G125" s="2" t="str" cm="1">
        <f t="array" ref="G125">_xlfn.CONCAT(IFERROR(I125:K125,""))</f>
        <v>02000000FEFFFFFF</v>
      </c>
      <c r="I125" s="2" t="e">
        <f>_xlfn.LET(_xlpm.big,DEC2HEX(_xlfn.BITLSHIFT(M125-_xlfn.XLOOKUP(O125,Data!A:A,Data!F:F),4)+O125,8),_xlfn.CONCAT(MID(_xlpm.big,7,2),MID(_xlpm.big,5,2),MID(_xlpm.big,3,2),MID(_xlpm.big,1,2)))</f>
        <v>#NUM!</v>
      </c>
      <c r="J125" s="2" t="str">
        <f t="shared" si="4"/>
        <v>02000000</v>
      </c>
      <c r="K125" s="2" t="str">
        <f>_xlfn.LET(_xlpm.big,IF(H125,DEC2HEX(HEX2DEC(F125),8),DEC2HEX(N125-_xlfn.XLOOKUP(P125,Data!A:A,Data!F:F),8)),_xlfn.CONCAT(MID(_xlpm.big,7,2),MID(_xlpm.big,5,2),MID(_xlpm.big,3,2),MID(_xlpm.big,1,2)))</f>
        <v>FEFFFFFF</v>
      </c>
      <c r="L125" s="2">
        <f t="shared" si="5"/>
        <v>0</v>
      </c>
      <c r="M125" s="2">
        <f t="shared" si="6"/>
        <v>0</v>
      </c>
      <c r="N125" s="2">
        <f t="shared" si="7"/>
        <v>0</v>
      </c>
      <c r="O125" s="2" cm="1">
        <f t="array" ref="O125">_xlfn.IFS(M125&lt;Data!$F$3,0,M125&lt;Data!$F$4,1,TRUE,2)</f>
        <v>0</v>
      </c>
      <c r="P125" s="2" cm="1">
        <f t="array" ref="P125">_xlfn.IFS(H125,3,N125&lt;Data!$F$3,0,N125&lt;Data!$F$4,1,TRUE,2)</f>
        <v>0</v>
      </c>
    </row>
    <row r="126" spans="4:16">
      <c r="D126" s="3"/>
      <c r="E126" s="3"/>
      <c r="F126" s="3"/>
      <c r="G126" s="2" t="str" cm="1">
        <f t="array" ref="G126">_xlfn.CONCAT(IFERROR(I126:K126,""))</f>
        <v>02000000FEFFFFFF</v>
      </c>
      <c r="I126" s="2" t="e">
        <f>_xlfn.LET(_xlpm.big,DEC2HEX(_xlfn.BITLSHIFT(M126-_xlfn.XLOOKUP(O126,Data!A:A,Data!F:F),4)+O126,8),_xlfn.CONCAT(MID(_xlpm.big,7,2),MID(_xlpm.big,5,2),MID(_xlpm.big,3,2),MID(_xlpm.big,1,2)))</f>
        <v>#NUM!</v>
      </c>
      <c r="J126" s="2" t="str">
        <f t="shared" si="4"/>
        <v>02000000</v>
      </c>
      <c r="K126" s="2" t="str">
        <f>_xlfn.LET(_xlpm.big,IF(H126,DEC2HEX(HEX2DEC(F126),8),DEC2HEX(N126-_xlfn.XLOOKUP(P126,Data!A:A,Data!F:F),8)),_xlfn.CONCAT(MID(_xlpm.big,7,2),MID(_xlpm.big,5,2),MID(_xlpm.big,3,2),MID(_xlpm.big,1,2)))</f>
        <v>FEFFFFFF</v>
      </c>
      <c r="L126" s="2">
        <f t="shared" si="5"/>
        <v>0</v>
      </c>
      <c r="M126" s="2">
        <f t="shared" si="6"/>
        <v>0</v>
      </c>
      <c r="N126" s="2">
        <f t="shared" si="7"/>
        <v>0</v>
      </c>
      <c r="O126" s="2" cm="1">
        <f t="array" ref="O126">_xlfn.IFS(M126&lt;Data!$F$3,0,M126&lt;Data!$F$4,1,TRUE,2)</f>
        <v>0</v>
      </c>
      <c r="P126" s="2" cm="1">
        <f t="array" ref="P126">_xlfn.IFS(H126,3,N126&lt;Data!$F$3,0,N126&lt;Data!$F$4,1,TRUE,2)</f>
        <v>0</v>
      </c>
    </row>
    <row r="127" spans="4:16">
      <c r="D127" s="3"/>
      <c r="E127" s="3"/>
      <c r="F127" s="3"/>
      <c r="G127" s="2" t="str" cm="1">
        <f t="array" ref="G127">_xlfn.CONCAT(IFERROR(I127:K127,""))</f>
        <v>02000000FEFFFFFF</v>
      </c>
      <c r="I127" s="2" t="e">
        <f>_xlfn.LET(_xlpm.big,DEC2HEX(_xlfn.BITLSHIFT(M127-_xlfn.XLOOKUP(O127,Data!A:A,Data!F:F),4)+O127,8),_xlfn.CONCAT(MID(_xlpm.big,7,2),MID(_xlpm.big,5,2),MID(_xlpm.big,3,2),MID(_xlpm.big,1,2)))</f>
        <v>#NUM!</v>
      </c>
      <c r="J127" s="2" t="str">
        <f t="shared" si="4"/>
        <v>02000000</v>
      </c>
      <c r="K127" s="2" t="str">
        <f>_xlfn.LET(_xlpm.big,IF(H127,DEC2HEX(HEX2DEC(F127),8),DEC2HEX(N127-_xlfn.XLOOKUP(P127,Data!A:A,Data!F:F),8)),_xlfn.CONCAT(MID(_xlpm.big,7,2),MID(_xlpm.big,5,2),MID(_xlpm.big,3,2),MID(_xlpm.big,1,2)))</f>
        <v>FEFFFFFF</v>
      </c>
      <c r="L127" s="2">
        <f t="shared" si="5"/>
        <v>0</v>
      </c>
      <c r="M127" s="2">
        <f t="shared" si="6"/>
        <v>0</v>
      </c>
      <c r="N127" s="2">
        <f t="shared" si="7"/>
        <v>0</v>
      </c>
      <c r="O127" s="2" cm="1">
        <f t="array" ref="O127">_xlfn.IFS(M127&lt;Data!$F$3,0,M127&lt;Data!$F$4,1,TRUE,2)</f>
        <v>0</v>
      </c>
      <c r="P127" s="2" cm="1">
        <f t="array" ref="P127">_xlfn.IFS(H127,3,N127&lt;Data!$F$3,0,N127&lt;Data!$F$4,1,TRUE,2)</f>
        <v>0</v>
      </c>
    </row>
    <row r="128" spans="4:16">
      <c r="D128" s="3"/>
      <c r="E128" s="3"/>
      <c r="F128" s="3"/>
      <c r="G128" s="2" t="str" cm="1">
        <f t="array" ref="G128">_xlfn.CONCAT(IFERROR(I128:K128,""))</f>
        <v>0203000000000000</v>
      </c>
      <c r="H128" s="2" t="b">
        <v>1</v>
      </c>
      <c r="I128" s="2" t="e">
        <f>_xlfn.LET(_xlpm.big,DEC2HEX(_xlfn.BITLSHIFT(M128-_xlfn.XLOOKUP(O128,Data!A:A,Data!F:F),4)+O128,8),_xlfn.CONCAT(MID(_xlpm.big,7,2),MID(_xlpm.big,5,2),MID(_xlpm.big,3,2),MID(_xlpm.big,1,2)))</f>
        <v>#NUM!</v>
      </c>
      <c r="J128" s="2" t="str">
        <f t="shared" si="4"/>
        <v>02030000</v>
      </c>
      <c r="K128" s="2" t="str">
        <f>_xlfn.LET(_xlpm.big,IF(H128,DEC2HEX(HEX2DEC(F128),8),DEC2HEX(N128-_xlfn.XLOOKUP(P128,Data!A:A,Data!F:F),8)),_xlfn.CONCAT(MID(_xlpm.big,7,2),MID(_xlpm.big,5,2),MID(_xlpm.big,3,2),MID(_xlpm.big,1,2)))</f>
        <v>00000000</v>
      </c>
      <c r="L128" s="2">
        <f t="shared" si="5"/>
        <v>0</v>
      </c>
      <c r="M128" s="2">
        <f t="shared" si="6"/>
        <v>0</v>
      </c>
      <c r="N128" s="2">
        <f t="shared" si="7"/>
        <v>0</v>
      </c>
      <c r="O128" s="2" cm="1">
        <f t="array" ref="O128">_xlfn.IFS(M128&lt;Data!$F$3,0,M128&lt;Data!$F$4,1,TRUE,2)</f>
        <v>0</v>
      </c>
      <c r="P128" s="2" cm="1">
        <f t="array" ref="P128">_xlfn.IFS(H128,3,N128&lt;Data!$F$3,0,N128&lt;Data!$F$4,1,TRUE,2)</f>
        <v>3</v>
      </c>
    </row>
    <row r="129" spans="4:16">
      <c r="D129" s="3"/>
      <c r="E129" s="3"/>
      <c r="F129" s="3"/>
      <c r="G129" s="2" t="str" cm="1">
        <f t="array" ref="G129">_xlfn.CONCAT(IFERROR(I129:K129,""))</f>
        <v>02000000FEFFFFFF</v>
      </c>
      <c r="I129" s="2" t="e">
        <f>_xlfn.LET(_xlpm.big,DEC2HEX(_xlfn.BITLSHIFT(M129-_xlfn.XLOOKUP(O129,Data!A:A,Data!F:F),4)+O129,8),_xlfn.CONCAT(MID(_xlpm.big,7,2),MID(_xlpm.big,5,2),MID(_xlpm.big,3,2),MID(_xlpm.big,1,2)))</f>
        <v>#NUM!</v>
      </c>
      <c r="J129" s="2" t="str">
        <f t="shared" si="4"/>
        <v>02000000</v>
      </c>
      <c r="K129" s="2" t="str">
        <f>_xlfn.LET(_xlpm.big,IF(H129,DEC2HEX(HEX2DEC(F129),8),DEC2HEX(N129-_xlfn.XLOOKUP(P129,Data!A:A,Data!F:F),8)),_xlfn.CONCAT(MID(_xlpm.big,7,2),MID(_xlpm.big,5,2),MID(_xlpm.big,3,2),MID(_xlpm.big,1,2)))</f>
        <v>FEFFFFFF</v>
      </c>
      <c r="L129" s="2">
        <f t="shared" si="5"/>
        <v>0</v>
      </c>
      <c r="M129" s="2">
        <f t="shared" si="6"/>
        <v>0</v>
      </c>
      <c r="N129" s="2">
        <f t="shared" si="7"/>
        <v>0</v>
      </c>
      <c r="O129" s="2" cm="1">
        <f t="array" ref="O129">_xlfn.IFS(M129&lt;Data!$F$3,0,M129&lt;Data!$F$4,1,TRUE,2)</f>
        <v>0</v>
      </c>
      <c r="P129" s="2" cm="1">
        <f t="array" ref="P129">_xlfn.IFS(H129,3,N129&lt;Data!$F$3,0,N129&lt;Data!$F$4,1,TRUE,2)</f>
        <v>0</v>
      </c>
    </row>
    <row r="130" spans="4:16">
      <c r="D130" s="3"/>
      <c r="E130" s="3"/>
      <c r="F130" s="3"/>
      <c r="G130" s="2" t="str" cm="1">
        <f t="array" ref="G130">_xlfn.CONCAT(IFERROR(I130:K130,""))</f>
        <v>02000000FEFFFFFF</v>
      </c>
      <c r="I130" s="2" t="e">
        <f>_xlfn.LET(_xlpm.big,DEC2HEX(_xlfn.BITLSHIFT(M130-_xlfn.XLOOKUP(O130,Data!A:A,Data!F:F),4)+O130,8),_xlfn.CONCAT(MID(_xlpm.big,7,2),MID(_xlpm.big,5,2),MID(_xlpm.big,3,2),MID(_xlpm.big,1,2)))</f>
        <v>#NUM!</v>
      </c>
      <c r="J130" s="2" t="str">
        <f t="shared" ref="J130:J193" si="8">_xlfn.CONCAT("02",DEC2HEX(P130,2),"0000")</f>
        <v>02000000</v>
      </c>
      <c r="K130" s="2" t="str">
        <f>_xlfn.LET(_xlpm.big,IF(H130,DEC2HEX(HEX2DEC(F130),8),DEC2HEX(N130-_xlfn.XLOOKUP(P130,Data!A:A,Data!F:F),8)),_xlfn.CONCAT(MID(_xlpm.big,7,2),MID(_xlpm.big,5,2),MID(_xlpm.big,3,2),MID(_xlpm.big,1,2)))</f>
        <v>FEFFFFFF</v>
      </c>
      <c r="L130" s="2">
        <f t="shared" ref="L130:L193" si="9">HEX2DEC(D130)</f>
        <v>0</v>
      </c>
      <c r="M130" s="2">
        <f t="shared" ref="M130:M193" si="10">HEX2DEC(E130)</f>
        <v>0</v>
      </c>
      <c r="N130" s="2">
        <f t="shared" ref="N130:N193" si="11">HEX2DEC(F130)</f>
        <v>0</v>
      </c>
      <c r="O130" s="2" cm="1">
        <f t="array" ref="O130">_xlfn.IFS(M130&lt;Data!$F$3,0,M130&lt;Data!$F$4,1,TRUE,2)</f>
        <v>0</v>
      </c>
      <c r="P130" s="2" cm="1">
        <f t="array" ref="P130">_xlfn.IFS(H130,3,N130&lt;Data!$F$3,0,N130&lt;Data!$F$4,1,TRUE,2)</f>
        <v>0</v>
      </c>
    </row>
    <row r="131" spans="4:16">
      <c r="D131" s="3"/>
      <c r="E131" s="3"/>
      <c r="F131" s="3"/>
      <c r="G131" s="2" t="str" cm="1">
        <f t="array" ref="G131">_xlfn.CONCAT(IFERROR(I131:K131,""))</f>
        <v>02000000FEFFFFFF</v>
      </c>
      <c r="I131" s="2" t="e">
        <f>_xlfn.LET(_xlpm.big,DEC2HEX(_xlfn.BITLSHIFT(M131-_xlfn.XLOOKUP(O131,Data!A:A,Data!F:F),4)+O131,8),_xlfn.CONCAT(MID(_xlpm.big,7,2),MID(_xlpm.big,5,2),MID(_xlpm.big,3,2),MID(_xlpm.big,1,2)))</f>
        <v>#NUM!</v>
      </c>
      <c r="J131" s="2" t="str">
        <f t="shared" si="8"/>
        <v>02000000</v>
      </c>
      <c r="K131" s="2" t="str">
        <f>_xlfn.LET(_xlpm.big,IF(H131,DEC2HEX(HEX2DEC(F131),8),DEC2HEX(N131-_xlfn.XLOOKUP(P131,Data!A:A,Data!F:F),8)),_xlfn.CONCAT(MID(_xlpm.big,7,2),MID(_xlpm.big,5,2),MID(_xlpm.big,3,2),MID(_xlpm.big,1,2)))</f>
        <v>FEFFFFFF</v>
      </c>
      <c r="L131" s="2">
        <f t="shared" si="9"/>
        <v>0</v>
      </c>
      <c r="M131" s="2">
        <f t="shared" si="10"/>
        <v>0</v>
      </c>
      <c r="N131" s="2">
        <f t="shared" si="11"/>
        <v>0</v>
      </c>
      <c r="O131" s="2" cm="1">
        <f t="array" ref="O131">_xlfn.IFS(M131&lt;Data!$F$3,0,M131&lt;Data!$F$4,1,TRUE,2)</f>
        <v>0</v>
      </c>
      <c r="P131" s="2" cm="1">
        <f t="array" ref="P131">_xlfn.IFS(H131,3,N131&lt;Data!$F$3,0,N131&lt;Data!$F$4,1,TRUE,2)</f>
        <v>0</v>
      </c>
    </row>
    <row r="132" spans="4:16">
      <c r="D132" s="3"/>
      <c r="E132" s="3"/>
      <c r="F132" s="3"/>
      <c r="G132" s="2" t="str" cm="1">
        <f t="array" ref="G132">_xlfn.CONCAT(IFERROR(I132:K132,""))</f>
        <v>02000000FEFFFFFF</v>
      </c>
      <c r="I132" s="2" t="e">
        <f>_xlfn.LET(_xlpm.big,DEC2HEX(_xlfn.BITLSHIFT(M132-_xlfn.XLOOKUP(O132,Data!A:A,Data!F:F),4)+O132,8),_xlfn.CONCAT(MID(_xlpm.big,7,2),MID(_xlpm.big,5,2),MID(_xlpm.big,3,2),MID(_xlpm.big,1,2)))</f>
        <v>#NUM!</v>
      </c>
      <c r="J132" s="2" t="str">
        <f t="shared" si="8"/>
        <v>02000000</v>
      </c>
      <c r="K132" s="2" t="str">
        <f>_xlfn.LET(_xlpm.big,IF(H132,DEC2HEX(HEX2DEC(F132),8),DEC2HEX(N132-_xlfn.XLOOKUP(P132,Data!A:A,Data!F:F),8)),_xlfn.CONCAT(MID(_xlpm.big,7,2),MID(_xlpm.big,5,2),MID(_xlpm.big,3,2),MID(_xlpm.big,1,2)))</f>
        <v>FEFFFFFF</v>
      </c>
      <c r="L132" s="2">
        <f t="shared" si="9"/>
        <v>0</v>
      </c>
      <c r="M132" s="2">
        <f t="shared" si="10"/>
        <v>0</v>
      </c>
      <c r="N132" s="2">
        <f t="shared" si="11"/>
        <v>0</v>
      </c>
      <c r="O132" s="2" cm="1">
        <f t="array" ref="O132">_xlfn.IFS(M132&lt;Data!$F$3,0,M132&lt;Data!$F$4,1,TRUE,2)</f>
        <v>0</v>
      </c>
      <c r="P132" s="2" cm="1">
        <f t="array" ref="P132">_xlfn.IFS(H132,3,N132&lt;Data!$F$3,0,N132&lt;Data!$F$4,1,TRUE,2)</f>
        <v>0</v>
      </c>
    </row>
    <row r="133" spans="4:16">
      <c r="D133" s="3"/>
      <c r="E133" s="3"/>
      <c r="F133" s="3"/>
      <c r="G133" s="2" t="str" cm="1">
        <f t="array" ref="G133">_xlfn.CONCAT(IFERROR(I133:K133,""))</f>
        <v>02000000FEFFFFFF</v>
      </c>
      <c r="I133" s="2" t="e">
        <f>_xlfn.LET(_xlpm.big,DEC2HEX(_xlfn.BITLSHIFT(M133-_xlfn.XLOOKUP(O133,Data!A:A,Data!F:F),4)+O133,8),_xlfn.CONCAT(MID(_xlpm.big,7,2),MID(_xlpm.big,5,2),MID(_xlpm.big,3,2),MID(_xlpm.big,1,2)))</f>
        <v>#NUM!</v>
      </c>
      <c r="J133" s="2" t="str">
        <f t="shared" si="8"/>
        <v>02000000</v>
      </c>
      <c r="K133" s="2" t="str">
        <f>_xlfn.LET(_xlpm.big,IF(H133,DEC2HEX(HEX2DEC(F133),8),DEC2HEX(N133-_xlfn.XLOOKUP(P133,Data!A:A,Data!F:F),8)),_xlfn.CONCAT(MID(_xlpm.big,7,2),MID(_xlpm.big,5,2),MID(_xlpm.big,3,2),MID(_xlpm.big,1,2)))</f>
        <v>FEFFFFFF</v>
      </c>
      <c r="L133" s="2">
        <f t="shared" si="9"/>
        <v>0</v>
      </c>
      <c r="M133" s="2">
        <f t="shared" si="10"/>
        <v>0</v>
      </c>
      <c r="N133" s="2">
        <f t="shared" si="11"/>
        <v>0</v>
      </c>
      <c r="O133" s="2" cm="1">
        <f t="array" ref="O133">_xlfn.IFS(M133&lt;Data!$F$3,0,M133&lt;Data!$F$4,1,TRUE,2)</f>
        <v>0</v>
      </c>
      <c r="P133" s="2" cm="1">
        <f t="array" ref="P133">_xlfn.IFS(H133,3,N133&lt;Data!$F$3,0,N133&lt;Data!$F$4,1,TRUE,2)</f>
        <v>0</v>
      </c>
    </row>
    <row r="134" spans="4:16">
      <c r="D134" s="3"/>
      <c r="E134" s="3"/>
      <c r="F134" s="3"/>
      <c r="G134" s="2" t="str" cm="1">
        <f t="array" ref="G134">_xlfn.CONCAT(IFERROR(I134:K134,""))</f>
        <v>02000000FEFFFFFF</v>
      </c>
      <c r="I134" s="2" t="e">
        <f>_xlfn.LET(_xlpm.big,DEC2HEX(_xlfn.BITLSHIFT(M134-_xlfn.XLOOKUP(O134,Data!A:A,Data!F:F),4)+O134,8),_xlfn.CONCAT(MID(_xlpm.big,7,2),MID(_xlpm.big,5,2),MID(_xlpm.big,3,2),MID(_xlpm.big,1,2)))</f>
        <v>#NUM!</v>
      </c>
      <c r="J134" s="2" t="str">
        <f t="shared" si="8"/>
        <v>02000000</v>
      </c>
      <c r="K134" s="2" t="str">
        <f>_xlfn.LET(_xlpm.big,IF(H134,DEC2HEX(HEX2DEC(F134),8),DEC2HEX(N134-_xlfn.XLOOKUP(P134,Data!A:A,Data!F:F),8)),_xlfn.CONCAT(MID(_xlpm.big,7,2),MID(_xlpm.big,5,2),MID(_xlpm.big,3,2),MID(_xlpm.big,1,2)))</f>
        <v>FEFFFFFF</v>
      </c>
      <c r="L134" s="2">
        <f t="shared" si="9"/>
        <v>0</v>
      </c>
      <c r="M134" s="2">
        <f t="shared" si="10"/>
        <v>0</v>
      </c>
      <c r="N134" s="2">
        <f t="shared" si="11"/>
        <v>0</v>
      </c>
      <c r="O134" s="2" cm="1">
        <f t="array" ref="O134">_xlfn.IFS(M134&lt;Data!$F$3,0,M134&lt;Data!$F$4,1,TRUE,2)</f>
        <v>0</v>
      </c>
      <c r="P134" s="2" cm="1">
        <f t="array" ref="P134">_xlfn.IFS(H134,3,N134&lt;Data!$F$3,0,N134&lt;Data!$F$4,1,TRUE,2)</f>
        <v>0</v>
      </c>
    </row>
    <row r="135" spans="4:16">
      <c r="D135" s="3"/>
      <c r="E135" s="3"/>
      <c r="F135" s="3"/>
      <c r="G135" s="2" t="str" cm="1">
        <f t="array" ref="G135">_xlfn.CONCAT(IFERROR(I135:K135,""))</f>
        <v>02000000FEFFFFFF</v>
      </c>
      <c r="I135" s="2" t="e">
        <f>_xlfn.LET(_xlpm.big,DEC2HEX(_xlfn.BITLSHIFT(M135-_xlfn.XLOOKUP(O135,Data!A:A,Data!F:F),4)+O135,8),_xlfn.CONCAT(MID(_xlpm.big,7,2),MID(_xlpm.big,5,2),MID(_xlpm.big,3,2),MID(_xlpm.big,1,2)))</f>
        <v>#NUM!</v>
      </c>
      <c r="J135" s="2" t="str">
        <f t="shared" si="8"/>
        <v>02000000</v>
      </c>
      <c r="K135" s="2" t="str">
        <f>_xlfn.LET(_xlpm.big,IF(H135,DEC2HEX(HEX2DEC(F135),8),DEC2HEX(N135-_xlfn.XLOOKUP(P135,Data!A:A,Data!F:F),8)),_xlfn.CONCAT(MID(_xlpm.big,7,2),MID(_xlpm.big,5,2),MID(_xlpm.big,3,2),MID(_xlpm.big,1,2)))</f>
        <v>FEFFFFFF</v>
      </c>
      <c r="L135" s="2">
        <f t="shared" si="9"/>
        <v>0</v>
      </c>
      <c r="M135" s="2">
        <f t="shared" si="10"/>
        <v>0</v>
      </c>
      <c r="N135" s="2">
        <f t="shared" si="11"/>
        <v>0</v>
      </c>
      <c r="O135" s="2" cm="1">
        <f t="array" ref="O135">_xlfn.IFS(M135&lt;Data!$F$3,0,M135&lt;Data!$F$4,1,TRUE,2)</f>
        <v>0</v>
      </c>
      <c r="P135" s="2" cm="1">
        <f t="array" ref="P135">_xlfn.IFS(H135,3,N135&lt;Data!$F$3,0,N135&lt;Data!$F$4,1,TRUE,2)</f>
        <v>0</v>
      </c>
    </row>
    <row r="136" spans="4:16">
      <c r="D136" s="3"/>
      <c r="E136" s="3"/>
      <c r="F136" s="3"/>
      <c r="G136" s="2" t="str" cm="1">
        <f t="array" ref="G136">_xlfn.CONCAT(IFERROR(I136:K136,""))</f>
        <v>02000000FEFFFFFF</v>
      </c>
      <c r="I136" s="2" t="e">
        <f>_xlfn.LET(_xlpm.big,DEC2HEX(_xlfn.BITLSHIFT(M136-_xlfn.XLOOKUP(O136,Data!A:A,Data!F:F),4)+O136,8),_xlfn.CONCAT(MID(_xlpm.big,7,2),MID(_xlpm.big,5,2),MID(_xlpm.big,3,2),MID(_xlpm.big,1,2)))</f>
        <v>#NUM!</v>
      </c>
      <c r="J136" s="2" t="str">
        <f t="shared" si="8"/>
        <v>02000000</v>
      </c>
      <c r="K136" s="2" t="str">
        <f>_xlfn.LET(_xlpm.big,IF(H136,DEC2HEX(HEX2DEC(F136),8),DEC2HEX(N136-_xlfn.XLOOKUP(P136,Data!A:A,Data!F:F),8)),_xlfn.CONCAT(MID(_xlpm.big,7,2),MID(_xlpm.big,5,2),MID(_xlpm.big,3,2),MID(_xlpm.big,1,2)))</f>
        <v>FEFFFFFF</v>
      </c>
      <c r="L136" s="2">
        <f t="shared" si="9"/>
        <v>0</v>
      </c>
      <c r="M136" s="2">
        <f t="shared" si="10"/>
        <v>0</v>
      </c>
      <c r="N136" s="2">
        <f t="shared" si="11"/>
        <v>0</v>
      </c>
      <c r="O136" s="2" cm="1">
        <f t="array" ref="O136">_xlfn.IFS(M136&lt;Data!$F$3,0,M136&lt;Data!$F$4,1,TRUE,2)</f>
        <v>0</v>
      </c>
      <c r="P136" s="2" cm="1">
        <f t="array" ref="P136">_xlfn.IFS(H136,3,N136&lt;Data!$F$3,0,N136&lt;Data!$F$4,1,TRUE,2)</f>
        <v>0</v>
      </c>
    </row>
    <row r="137" spans="4:16">
      <c r="D137" s="3"/>
      <c r="E137" s="3"/>
      <c r="F137" s="3"/>
      <c r="G137" s="2" t="str" cm="1">
        <f t="array" ref="G137">_xlfn.CONCAT(IFERROR(I137:K137,""))</f>
        <v>02000000FEFFFFFF</v>
      </c>
      <c r="I137" s="2" t="e">
        <f>_xlfn.LET(_xlpm.big,DEC2HEX(_xlfn.BITLSHIFT(M137-_xlfn.XLOOKUP(O137,Data!A:A,Data!F:F),4)+O137,8),_xlfn.CONCAT(MID(_xlpm.big,7,2),MID(_xlpm.big,5,2),MID(_xlpm.big,3,2),MID(_xlpm.big,1,2)))</f>
        <v>#NUM!</v>
      </c>
      <c r="J137" s="2" t="str">
        <f t="shared" si="8"/>
        <v>02000000</v>
      </c>
      <c r="K137" s="2" t="str">
        <f>_xlfn.LET(_xlpm.big,IF(H137,DEC2HEX(HEX2DEC(F137),8),DEC2HEX(N137-_xlfn.XLOOKUP(P137,Data!A:A,Data!F:F),8)),_xlfn.CONCAT(MID(_xlpm.big,7,2),MID(_xlpm.big,5,2),MID(_xlpm.big,3,2),MID(_xlpm.big,1,2)))</f>
        <v>FEFFFFFF</v>
      </c>
      <c r="L137" s="2">
        <f t="shared" si="9"/>
        <v>0</v>
      </c>
      <c r="M137" s="2">
        <f t="shared" si="10"/>
        <v>0</v>
      </c>
      <c r="N137" s="2">
        <f t="shared" si="11"/>
        <v>0</v>
      </c>
      <c r="O137" s="2" cm="1">
        <f t="array" ref="O137">_xlfn.IFS(M137&lt;Data!$F$3,0,M137&lt;Data!$F$4,1,TRUE,2)</f>
        <v>0</v>
      </c>
      <c r="P137" s="2" cm="1">
        <f t="array" ref="P137">_xlfn.IFS(H137,3,N137&lt;Data!$F$3,0,N137&lt;Data!$F$4,1,TRUE,2)</f>
        <v>0</v>
      </c>
    </row>
    <row r="138" spans="4:16">
      <c r="D138" s="3"/>
      <c r="E138" s="3"/>
      <c r="F138" s="3"/>
      <c r="G138" s="2" t="str" cm="1">
        <f t="array" ref="G138">_xlfn.CONCAT(IFERROR(I138:K138,""))</f>
        <v>02000000FEFFFFFF</v>
      </c>
      <c r="I138" s="2" t="e">
        <f>_xlfn.LET(_xlpm.big,DEC2HEX(_xlfn.BITLSHIFT(M138-_xlfn.XLOOKUP(O138,Data!A:A,Data!F:F),4)+O138,8),_xlfn.CONCAT(MID(_xlpm.big,7,2),MID(_xlpm.big,5,2),MID(_xlpm.big,3,2),MID(_xlpm.big,1,2)))</f>
        <v>#NUM!</v>
      </c>
      <c r="J138" s="2" t="str">
        <f t="shared" si="8"/>
        <v>02000000</v>
      </c>
      <c r="K138" s="2" t="str">
        <f>_xlfn.LET(_xlpm.big,IF(H138,DEC2HEX(HEX2DEC(F138),8),DEC2HEX(N138-_xlfn.XLOOKUP(P138,Data!A:A,Data!F:F),8)),_xlfn.CONCAT(MID(_xlpm.big,7,2),MID(_xlpm.big,5,2),MID(_xlpm.big,3,2),MID(_xlpm.big,1,2)))</f>
        <v>FEFFFFFF</v>
      </c>
      <c r="L138" s="2">
        <f t="shared" si="9"/>
        <v>0</v>
      </c>
      <c r="M138" s="2">
        <f t="shared" si="10"/>
        <v>0</v>
      </c>
      <c r="N138" s="2">
        <f t="shared" si="11"/>
        <v>0</v>
      </c>
      <c r="O138" s="2" cm="1">
        <f t="array" ref="O138">_xlfn.IFS(M138&lt;Data!$F$3,0,M138&lt;Data!$F$4,1,TRUE,2)</f>
        <v>0</v>
      </c>
      <c r="P138" s="2" cm="1">
        <f t="array" ref="P138">_xlfn.IFS(H138,3,N138&lt;Data!$F$3,0,N138&lt;Data!$F$4,1,TRUE,2)</f>
        <v>0</v>
      </c>
    </row>
    <row r="139" spans="4:16">
      <c r="D139" s="3"/>
      <c r="E139" s="3"/>
      <c r="F139" s="3"/>
      <c r="G139" s="2" t="str" cm="1">
        <f t="array" ref="G139">_xlfn.CONCAT(IFERROR(I139:K139,""))</f>
        <v>02000000FEFFFFFF</v>
      </c>
      <c r="I139" s="2" t="e">
        <f>_xlfn.LET(_xlpm.big,DEC2HEX(_xlfn.BITLSHIFT(M139-_xlfn.XLOOKUP(O139,Data!A:A,Data!F:F),4)+O139,8),_xlfn.CONCAT(MID(_xlpm.big,7,2),MID(_xlpm.big,5,2),MID(_xlpm.big,3,2),MID(_xlpm.big,1,2)))</f>
        <v>#NUM!</v>
      </c>
      <c r="J139" s="2" t="str">
        <f t="shared" si="8"/>
        <v>02000000</v>
      </c>
      <c r="K139" s="2" t="str">
        <f>_xlfn.LET(_xlpm.big,IF(H139,DEC2HEX(HEX2DEC(F139),8),DEC2HEX(N139-_xlfn.XLOOKUP(P139,Data!A:A,Data!F:F),8)),_xlfn.CONCAT(MID(_xlpm.big,7,2),MID(_xlpm.big,5,2),MID(_xlpm.big,3,2),MID(_xlpm.big,1,2)))</f>
        <v>FEFFFFFF</v>
      </c>
      <c r="L139" s="2">
        <f t="shared" si="9"/>
        <v>0</v>
      </c>
      <c r="M139" s="2">
        <f t="shared" si="10"/>
        <v>0</v>
      </c>
      <c r="N139" s="2">
        <f t="shared" si="11"/>
        <v>0</v>
      </c>
      <c r="O139" s="2" cm="1">
        <f t="array" ref="O139">_xlfn.IFS(M139&lt;Data!$F$3,0,M139&lt;Data!$F$4,1,TRUE,2)</f>
        <v>0</v>
      </c>
      <c r="P139" s="2" cm="1">
        <f t="array" ref="P139">_xlfn.IFS(H139,3,N139&lt;Data!$F$3,0,N139&lt;Data!$F$4,1,TRUE,2)</f>
        <v>0</v>
      </c>
    </row>
    <row r="140" spans="4:16">
      <c r="D140" s="3"/>
      <c r="E140" s="3"/>
      <c r="F140" s="3"/>
      <c r="G140" s="2" t="str" cm="1">
        <f t="array" ref="G140">_xlfn.CONCAT(IFERROR(I140:K140,""))</f>
        <v>02000000FEFFFFFF</v>
      </c>
      <c r="I140" s="2" t="e">
        <f>_xlfn.LET(_xlpm.big,DEC2HEX(_xlfn.BITLSHIFT(M140-_xlfn.XLOOKUP(O140,Data!A:A,Data!F:F),4)+O140,8),_xlfn.CONCAT(MID(_xlpm.big,7,2),MID(_xlpm.big,5,2),MID(_xlpm.big,3,2),MID(_xlpm.big,1,2)))</f>
        <v>#NUM!</v>
      </c>
      <c r="J140" s="2" t="str">
        <f t="shared" si="8"/>
        <v>02000000</v>
      </c>
      <c r="K140" s="2" t="str">
        <f>_xlfn.LET(_xlpm.big,IF(H140,DEC2HEX(HEX2DEC(F140),8),DEC2HEX(N140-_xlfn.XLOOKUP(P140,Data!A:A,Data!F:F),8)),_xlfn.CONCAT(MID(_xlpm.big,7,2),MID(_xlpm.big,5,2),MID(_xlpm.big,3,2),MID(_xlpm.big,1,2)))</f>
        <v>FEFFFFFF</v>
      </c>
      <c r="L140" s="2">
        <f t="shared" si="9"/>
        <v>0</v>
      </c>
      <c r="M140" s="2">
        <f t="shared" si="10"/>
        <v>0</v>
      </c>
      <c r="N140" s="2">
        <f t="shared" si="11"/>
        <v>0</v>
      </c>
      <c r="O140" s="2" cm="1">
        <f t="array" ref="O140">_xlfn.IFS(M140&lt;Data!$F$3,0,M140&lt;Data!$F$4,1,TRUE,2)</f>
        <v>0</v>
      </c>
      <c r="P140" s="2" cm="1">
        <f t="array" ref="P140">_xlfn.IFS(H140,3,N140&lt;Data!$F$3,0,N140&lt;Data!$F$4,1,TRUE,2)</f>
        <v>0</v>
      </c>
    </row>
    <row r="141" spans="4:16">
      <c r="D141" s="3"/>
      <c r="E141" s="3"/>
      <c r="F141" s="3"/>
      <c r="G141" s="2" t="str" cm="1">
        <f t="array" ref="G141">_xlfn.CONCAT(IFERROR(I141:K141,""))</f>
        <v>02000000FEFFFFFF</v>
      </c>
      <c r="I141" s="2" t="e">
        <f>_xlfn.LET(_xlpm.big,DEC2HEX(_xlfn.BITLSHIFT(M141-_xlfn.XLOOKUP(O141,Data!A:A,Data!F:F),4)+O141,8),_xlfn.CONCAT(MID(_xlpm.big,7,2),MID(_xlpm.big,5,2),MID(_xlpm.big,3,2),MID(_xlpm.big,1,2)))</f>
        <v>#NUM!</v>
      </c>
      <c r="J141" s="2" t="str">
        <f t="shared" si="8"/>
        <v>02000000</v>
      </c>
      <c r="K141" s="2" t="str">
        <f>_xlfn.LET(_xlpm.big,IF(H141,DEC2HEX(HEX2DEC(F141),8),DEC2HEX(N141-_xlfn.XLOOKUP(P141,Data!A:A,Data!F:F),8)),_xlfn.CONCAT(MID(_xlpm.big,7,2),MID(_xlpm.big,5,2),MID(_xlpm.big,3,2),MID(_xlpm.big,1,2)))</f>
        <v>FEFFFFFF</v>
      </c>
      <c r="L141" s="2">
        <f t="shared" si="9"/>
        <v>0</v>
      </c>
      <c r="M141" s="2">
        <f t="shared" si="10"/>
        <v>0</v>
      </c>
      <c r="N141" s="2">
        <f t="shared" si="11"/>
        <v>0</v>
      </c>
      <c r="O141" s="2" cm="1">
        <f t="array" ref="O141">_xlfn.IFS(M141&lt;Data!$F$3,0,M141&lt;Data!$F$4,1,TRUE,2)</f>
        <v>0</v>
      </c>
      <c r="P141" s="2" cm="1">
        <f t="array" ref="P141">_xlfn.IFS(H141,3,N141&lt;Data!$F$3,0,N141&lt;Data!$F$4,1,TRUE,2)</f>
        <v>0</v>
      </c>
    </row>
    <row r="142" spans="4:16">
      <c r="E142" s="16"/>
      <c r="G142" s="2" t="str" cm="1">
        <f t="array" ref="G142">_xlfn.CONCAT(IFERROR(I142:K142,""))</f>
        <v>02000000FEFFFFFF</v>
      </c>
      <c r="I142" s="2" t="e">
        <f>_xlfn.LET(_xlpm.big,DEC2HEX(_xlfn.BITLSHIFT(M142-_xlfn.XLOOKUP(O142,Data!A:A,Data!F:F),4)+O142,8),_xlfn.CONCAT(MID(_xlpm.big,7,2),MID(_xlpm.big,5,2),MID(_xlpm.big,3,2),MID(_xlpm.big,1,2)))</f>
        <v>#NUM!</v>
      </c>
      <c r="J142" s="2" t="str">
        <f t="shared" si="8"/>
        <v>02000000</v>
      </c>
      <c r="K142" s="2" t="str">
        <f>_xlfn.LET(_xlpm.big,IF(H142,DEC2HEX(HEX2DEC(F142),8),DEC2HEX(N142-_xlfn.XLOOKUP(P142,Data!A:A,Data!F:F),8)),_xlfn.CONCAT(MID(_xlpm.big,7,2),MID(_xlpm.big,5,2),MID(_xlpm.big,3,2),MID(_xlpm.big,1,2)))</f>
        <v>FEFFFFFF</v>
      </c>
      <c r="L142" s="2">
        <f t="shared" si="9"/>
        <v>0</v>
      </c>
      <c r="M142" s="2">
        <f t="shared" si="10"/>
        <v>0</v>
      </c>
      <c r="N142" s="2">
        <f t="shared" si="11"/>
        <v>0</v>
      </c>
      <c r="O142" s="2" cm="1">
        <f t="array" ref="O142">_xlfn.IFS(M142&lt;Data!$F$3,0,M142&lt;Data!$F$4,1,TRUE,2)</f>
        <v>0</v>
      </c>
      <c r="P142" s="2" cm="1">
        <f t="array" ref="P142">_xlfn.IFS(H142,3,N142&lt;Data!$F$3,0,N142&lt;Data!$F$4,1,TRUE,2)</f>
        <v>0</v>
      </c>
    </row>
    <row r="143" spans="4:16">
      <c r="D143" s="3"/>
      <c r="E143" s="3"/>
      <c r="F143" s="3"/>
      <c r="G143" s="2" t="str" cm="1">
        <f t="array" ref="G143">_xlfn.CONCAT(IFERROR(I143:K143,""))</f>
        <v>02000000FEFFFFFF</v>
      </c>
      <c r="I143" s="2" t="e">
        <f>_xlfn.LET(_xlpm.big,DEC2HEX(_xlfn.BITLSHIFT(M143-_xlfn.XLOOKUP(O143,Data!A:A,Data!F:F),4)+O143,8),_xlfn.CONCAT(MID(_xlpm.big,7,2),MID(_xlpm.big,5,2),MID(_xlpm.big,3,2),MID(_xlpm.big,1,2)))</f>
        <v>#NUM!</v>
      </c>
      <c r="J143" s="2" t="str">
        <f t="shared" si="8"/>
        <v>02000000</v>
      </c>
      <c r="K143" s="2" t="str">
        <f>_xlfn.LET(_xlpm.big,IF(H143,DEC2HEX(HEX2DEC(F143),8),DEC2HEX(N143-_xlfn.XLOOKUP(P143,Data!A:A,Data!F:F),8)),_xlfn.CONCAT(MID(_xlpm.big,7,2),MID(_xlpm.big,5,2),MID(_xlpm.big,3,2),MID(_xlpm.big,1,2)))</f>
        <v>FEFFFFFF</v>
      </c>
      <c r="L143" s="2">
        <f t="shared" si="9"/>
        <v>0</v>
      </c>
      <c r="M143" s="2">
        <f t="shared" si="10"/>
        <v>0</v>
      </c>
      <c r="N143" s="2">
        <f t="shared" si="11"/>
        <v>0</v>
      </c>
      <c r="O143" s="2" cm="1">
        <f t="array" ref="O143">_xlfn.IFS(M143&lt;Data!$F$3,0,M143&lt;Data!$F$4,1,TRUE,2)</f>
        <v>0</v>
      </c>
      <c r="P143" s="2" cm="1">
        <f t="array" ref="P143">_xlfn.IFS(H143,3,N143&lt;Data!$F$3,0,N143&lt;Data!$F$4,1,TRUE,2)</f>
        <v>0</v>
      </c>
    </row>
    <row r="144" spans="4:16">
      <c r="D144" s="3"/>
      <c r="E144" s="3"/>
      <c r="F144" s="3"/>
      <c r="G144" s="2" t="str" cm="1">
        <f t="array" ref="G144">_xlfn.CONCAT(IFERROR(I144:K144,""))</f>
        <v>02000000FEFFFFFF</v>
      </c>
      <c r="I144" s="2" t="e">
        <f>_xlfn.LET(_xlpm.big,DEC2HEX(_xlfn.BITLSHIFT(M144-_xlfn.XLOOKUP(O144,Data!A:A,Data!F:F),4)+O144,8),_xlfn.CONCAT(MID(_xlpm.big,7,2),MID(_xlpm.big,5,2),MID(_xlpm.big,3,2),MID(_xlpm.big,1,2)))</f>
        <v>#NUM!</v>
      </c>
      <c r="J144" s="2" t="str">
        <f t="shared" si="8"/>
        <v>02000000</v>
      </c>
      <c r="K144" s="2" t="str">
        <f>_xlfn.LET(_xlpm.big,IF(H144,DEC2HEX(HEX2DEC(F144),8),DEC2HEX(N144-_xlfn.XLOOKUP(P144,Data!A:A,Data!F:F),8)),_xlfn.CONCAT(MID(_xlpm.big,7,2),MID(_xlpm.big,5,2),MID(_xlpm.big,3,2),MID(_xlpm.big,1,2)))</f>
        <v>FEFFFFFF</v>
      </c>
      <c r="L144" s="2">
        <f t="shared" si="9"/>
        <v>0</v>
      </c>
      <c r="M144" s="2">
        <f t="shared" si="10"/>
        <v>0</v>
      </c>
      <c r="N144" s="2">
        <f t="shared" si="11"/>
        <v>0</v>
      </c>
      <c r="O144" s="2" cm="1">
        <f t="array" ref="O144">_xlfn.IFS(M144&lt;Data!$F$3,0,M144&lt;Data!$F$4,1,TRUE,2)</f>
        <v>0</v>
      </c>
      <c r="P144" s="2" cm="1">
        <f t="array" ref="P144">_xlfn.IFS(H144,3,N144&lt;Data!$F$3,0,N144&lt;Data!$F$4,1,TRUE,2)</f>
        <v>0</v>
      </c>
    </row>
    <row r="145" spans="4:16">
      <c r="D145" s="3"/>
      <c r="E145" s="3"/>
      <c r="F145" s="3"/>
      <c r="G145" s="2" t="str" cm="1">
        <f t="array" ref="G145">_xlfn.CONCAT(IFERROR(I145:K145,""))</f>
        <v>02000000FEFFFFFF</v>
      </c>
      <c r="I145" s="2" t="e">
        <f>_xlfn.LET(_xlpm.big,DEC2HEX(_xlfn.BITLSHIFT(M145-_xlfn.XLOOKUP(O145,Data!A:A,Data!F:F),4)+O145,8),_xlfn.CONCAT(MID(_xlpm.big,7,2),MID(_xlpm.big,5,2),MID(_xlpm.big,3,2),MID(_xlpm.big,1,2)))</f>
        <v>#NUM!</v>
      </c>
      <c r="J145" s="2" t="str">
        <f t="shared" si="8"/>
        <v>02000000</v>
      </c>
      <c r="K145" s="2" t="str">
        <f>_xlfn.LET(_xlpm.big,IF(H145,DEC2HEX(HEX2DEC(F145),8),DEC2HEX(N145-_xlfn.XLOOKUP(P145,Data!A:A,Data!F:F),8)),_xlfn.CONCAT(MID(_xlpm.big,7,2),MID(_xlpm.big,5,2),MID(_xlpm.big,3,2),MID(_xlpm.big,1,2)))</f>
        <v>FEFFFFFF</v>
      </c>
      <c r="L145" s="2">
        <f t="shared" si="9"/>
        <v>0</v>
      </c>
      <c r="M145" s="2">
        <f t="shared" si="10"/>
        <v>0</v>
      </c>
      <c r="N145" s="2">
        <f t="shared" si="11"/>
        <v>0</v>
      </c>
      <c r="O145" s="2" cm="1">
        <f t="array" ref="O145">_xlfn.IFS(M145&lt;Data!$F$3,0,M145&lt;Data!$F$4,1,TRUE,2)</f>
        <v>0</v>
      </c>
      <c r="P145" s="2" cm="1">
        <f t="array" ref="P145">_xlfn.IFS(H145,3,N145&lt;Data!$F$3,0,N145&lt;Data!$F$4,1,TRUE,2)</f>
        <v>0</v>
      </c>
    </row>
    <row r="146" spans="4:16">
      <c r="D146" s="3"/>
      <c r="E146" s="3"/>
      <c r="F146" s="3"/>
      <c r="G146" s="2" t="str" cm="1">
        <f t="array" ref="G146">_xlfn.CONCAT(IFERROR(I146:K146,""))</f>
        <v>02000000FEFFFFFF</v>
      </c>
      <c r="I146" s="2" t="e">
        <f>_xlfn.LET(_xlpm.big,DEC2HEX(_xlfn.BITLSHIFT(M146-_xlfn.XLOOKUP(O146,Data!A:A,Data!F:F),4)+O146,8),_xlfn.CONCAT(MID(_xlpm.big,7,2),MID(_xlpm.big,5,2),MID(_xlpm.big,3,2),MID(_xlpm.big,1,2)))</f>
        <v>#NUM!</v>
      </c>
      <c r="J146" s="2" t="str">
        <f t="shared" si="8"/>
        <v>02000000</v>
      </c>
      <c r="K146" s="2" t="str">
        <f>_xlfn.LET(_xlpm.big,IF(H146,DEC2HEX(HEX2DEC(F146),8),DEC2HEX(N146-_xlfn.XLOOKUP(P146,Data!A:A,Data!F:F),8)),_xlfn.CONCAT(MID(_xlpm.big,7,2),MID(_xlpm.big,5,2),MID(_xlpm.big,3,2),MID(_xlpm.big,1,2)))</f>
        <v>FEFFFFFF</v>
      </c>
      <c r="L146" s="2">
        <f t="shared" si="9"/>
        <v>0</v>
      </c>
      <c r="M146" s="2">
        <f t="shared" si="10"/>
        <v>0</v>
      </c>
      <c r="N146" s="2">
        <f t="shared" si="11"/>
        <v>0</v>
      </c>
      <c r="O146" s="2" cm="1">
        <f t="array" ref="O146">_xlfn.IFS(M146&lt;Data!$F$3,0,M146&lt;Data!$F$4,1,TRUE,2)</f>
        <v>0</v>
      </c>
      <c r="P146" s="2" cm="1">
        <f t="array" ref="P146">_xlfn.IFS(H146,3,N146&lt;Data!$F$3,0,N146&lt;Data!$F$4,1,TRUE,2)</f>
        <v>0</v>
      </c>
    </row>
    <row r="147" spans="4:16">
      <c r="D147" s="3"/>
      <c r="E147" s="3"/>
      <c r="F147" s="3"/>
      <c r="G147" s="2" t="str" cm="1">
        <f t="array" ref="G147">_xlfn.CONCAT(IFERROR(I147:K147,""))</f>
        <v>02000000FEFFFFFF</v>
      </c>
      <c r="I147" s="2" t="e">
        <f>_xlfn.LET(_xlpm.big,DEC2HEX(_xlfn.BITLSHIFT(M147-_xlfn.XLOOKUP(O147,Data!A:A,Data!F:F),4)+O147,8),_xlfn.CONCAT(MID(_xlpm.big,7,2),MID(_xlpm.big,5,2),MID(_xlpm.big,3,2),MID(_xlpm.big,1,2)))</f>
        <v>#NUM!</v>
      </c>
      <c r="J147" s="2" t="str">
        <f t="shared" si="8"/>
        <v>02000000</v>
      </c>
      <c r="K147" s="2" t="str">
        <f>_xlfn.LET(_xlpm.big,IF(H147,DEC2HEX(HEX2DEC(F147),8),DEC2HEX(N147-_xlfn.XLOOKUP(P147,Data!A:A,Data!F:F),8)),_xlfn.CONCAT(MID(_xlpm.big,7,2),MID(_xlpm.big,5,2),MID(_xlpm.big,3,2),MID(_xlpm.big,1,2)))</f>
        <v>FEFFFFFF</v>
      </c>
      <c r="L147" s="2">
        <f t="shared" si="9"/>
        <v>0</v>
      </c>
      <c r="M147" s="2">
        <f t="shared" si="10"/>
        <v>0</v>
      </c>
      <c r="N147" s="2">
        <f t="shared" si="11"/>
        <v>0</v>
      </c>
      <c r="O147" s="2" cm="1">
        <f t="array" ref="O147">_xlfn.IFS(M147&lt;Data!$F$3,0,M147&lt;Data!$F$4,1,TRUE,2)</f>
        <v>0</v>
      </c>
      <c r="P147" s="2" cm="1">
        <f t="array" ref="P147">_xlfn.IFS(H147,3,N147&lt;Data!$F$3,0,N147&lt;Data!$F$4,1,TRUE,2)</f>
        <v>0</v>
      </c>
    </row>
    <row r="148" spans="4:16">
      <c r="D148" s="3"/>
      <c r="E148" s="3"/>
      <c r="F148" s="3"/>
      <c r="G148" s="2" t="str" cm="1">
        <f t="array" ref="G148">_xlfn.CONCAT(IFERROR(I148:K148,""))</f>
        <v>02000000FEFFFFFF</v>
      </c>
      <c r="I148" s="2" t="e">
        <f>_xlfn.LET(_xlpm.big,DEC2HEX(_xlfn.BITLSHIFT(M148-_xlfn.XLOOKUP(O148,Data!A:A,Data!F:F),4)+O148,8),_xlfn.CONCAT(MID(_xlpm.big,7,2),MID(_xlpm.big,5,2),MID(_xlpm.big,3,2),MID(_xlpm.big,1,2)))</f>
        <v>#NUM!</v>
      </c>
      <c r="J148" s="2" t="str">
        <f t="shared" si="8"/>
        <v>02000000</v>
      </c>
      <c r="K148" s="2" t="str">
        <f>_xlfn.LET(_xlpm.big,IF(H148,DEC2HEX(HEX2DEC(F148),8),DEC2HEX(N148-_xlfn.XLOOKUP(P148,Data!A:A,Data!F:F),8)),_xlfn.CONCAT(MID(_xlpm.big,7,2),MID(_xlpm.big,5,2),MID(_xlpm.big,3,2),MID(_xlpm.big,1,2)))</f>
        <v>FEFFFFFF</v>
      </c>
      <c r="L148" s="2">
        <f t="shared" si="9"/>
        <v>0</v>
      </c>
      <c r="M148" s="2">
        <f t="shared" si="10"/>
        <v>0</v>
      </c>
      <c r="N148" s="2">
        <f t="shared" si="11"/>
        <v>0</v>
      </c>
      <c r="O148" s="2" cm="1">
        <f t="array" ref="O148">_xlfn.IFS(M148&lt;Data!$F$3,0,M148&lt;Data!$F$4,1,TRUE,2)</f>
        <v>0</v>
      </c>
      <c r="P148" s="2" cm="1">
        <f t="array" ref="P148">_xlfn.IFS(H148,3,N148&lt;Data!$F$3,0,N148&lt;Data!$F$4,1,TRUE,2)</f>
        <v>0</v>
      </c>
    </row>
    <row r="149" spans="4:16">
      <c r="D149" s="3"/>
      <c r="E149" s="3"/>
      <c r="F149" s="3"/>
      <c r="G149" s="2" t="str" cm="1">
        <f t="array" ref="G149">_xlfn.CONCAT(IFERROR(I149:K149,""))</f>
        <v>02000000FEFFFFFF</v>
      </c>
      <c r="I149" s="2" t="e">
        <f>_xlfn.LET(_xlpm.big,DEC2HEX(_xlfn.BITLSHIFT(M149-_xlfn.XLOOKUP(O149,Data!A:A,Data!F:F),4)+O149,8),_xlfn.CONCAT(MID(_xlpm.big,7,2),MID(_xlpm.big,5,2),MID(_xlpm.big,3,2),MID(_xlpm.big,1,2)))</f>
        <v>#NUM!</v>
      </c>
      <c r="J149" s="2" t="str">
        <f t="shared" si="8"/>
        <v>02000000</v>
      </c>
      <c r="K149" s="2" t="str">
        <f>_xlfn.LET(_xlpm.big,IF(H149,DEC2HEX(HEX2DEC(F149),8),DEC2HEX(N149-_xlfn.XLOOKUP(P149,Data!A:A,Data!F:F),8)),_xlfn.CONCAT(MID(_xlpm.big,7,2),MID(_xlpm.big,5,2),MID(_xlpm.big,3,2),MID(_xlpm.big,1,2)))</f>
        <v>FEFFFFFF</v>
      </c>
      <c r="L149" s="2">
        <f t="shared" si="9"/>
        <v>0</v>
      </c>
      <c r="M149" s="2">
        <f t="shared" si="10"/>
        <v>0</v>
      </c>
      <c r="N149" s="2">
        <f t="shared" si="11"/>
        <v>0</v>
      </c>
      <c r="O149" s="2" cm="1">
        <f t="array" ref="O149">_xlfn.IFS(M149&lt;Data!$F$3,0,M149&lt;Data!$F$4,1,TRUE,2)</f>
        <v>0</v>
      </c>
      <c r="P149" s="2" cm="1">
        <f t="array" ref="P149">_xlfn.IFS(H149,3,N149&lt;Data!$F$3,0,N149&lt;Data!$F$4,1,TRUE,2)</f>
        <v>0</v>
      </c>
    </row>
    <row r="150" spans="4:16">
      <c r="D150" s="3"/>
      <c r="E150" s="3"/>
      <c r="F150" s="3"/>
      <c r="G150" s="2" t="str" cm="1">
        <f t="array" ref="G150">_xlfn.CONCAT(IFERROR(I150:K150,""))</f>
        <v>02000000FEFFFFFF</v>
      </c>
      <c r="I150" s="2" t="e">
        <f>_xlfn.LET(_xlpm.big,DEC2HEX(_xlfn.BITLSHIFT(M150-_xlfn.XLOOKUP(O150,Data!A:A,Data!F:F),4)+O150,8),_xlfn.CONCAT(MID(_xlpm.big,7,2),MID(_xlpm.big,5,2),MID(_xlpm.big,3,2),MID(_xlpm.big,1,2)))</f>
        <v>#NUM!</v>
      </c>
      <c r="J150" s="2" t="str">
        <f t="shared" si="8"/>
        <v>02000000</v>
      </c>
      <c r="K150" s="2" t="str">
        <f>_xlfn.LET(_xlpm.big,IF(H150,DEC2HEX(HEX2DEC(F150),8),DEC2HEX(N150-_xlfn.XLOOKUP(P150,Data!A:A,Data!F:F),8)),_xlfn.CONCAT(MID(_xlpm.big,7,2),MID(_xlpm.big,5,2),MID(_xlpm.big,3,2),MID(_xlpm.big,1,2)))</f>
        <v>FEFFFFFF</v>
      </c>
      <c r="L150" s="2">
        <f t="shared" si="9"/>
        <v>0</v>
      </c>
      <c r="M150" s="2">
        <f t="shared" si="10"/>
        <v>0</v>
      </c>
      <c r="N150" s="2">
        <f t="shared" si="11"/>
        <v>0</v>
      </c>
      <c r="O150" s="2" cm="1">
        <f t="array" ref="O150">_xlfn.IFS(M150&lt;Data!$F$3,0,M150&lt;Data!$F$4,1,TRUE,2)</f>
        <v>0</v>
      </c>
      <c r="P150" s="2" cm="1">
        <f t="array" ref="P150">_xlfn.IFS(H150,3,N150&lt;Data!$F$3,0,N150&lt;Data!$F$4,1,TRUE,2)</f>
        <v>0</v>
      </c>
    </row>
    <row r="151" spans="4:16">
      <c r="D151" s="3"/>
      <c r="E151" s="3"/>
      <c r="F151" s="3"/>
      <c r="G151" s="2" t="str" cm="1">
        <f t="array" ref="G151">_xlfn.CONCAT(IFERROR(I151:K151,""))</f>
        <v>02000000FEFFFFFF</v>
      </c>
      <c r="I151" s="2" t="e">
        <f>_xlfn.LET(_xlpm.big,DEC2HEX(_xlfn.BITLSHIFT(M151-_xlfn.XLOOKUP(O151,Data!A:A,Data!F:F),4)+O151,8),_xlfn.CONCAT(MID(_xlpm.big,7,2),MID(_xlpm.big,5,2),MID(_xlpm.big,3,2),MID(_xlpm.big,1,2)))</f>
        <v>#NUM!</v>
      </c>
      <c r="J151" s="2" t="str">
        <f t="shared" si="8"/>
        <v>02000000</v>
      </c>
      <c r="K151" s="2" t="str">
        <f>_xlfn.LET(_xlpm.big,IF(H151,DEC2HEX(HEX2DEC(F151),8),DEC2HEX(N151-_xlfn.XLOOKUP(P151,Data!A:A,Data!F:F),8)),_xlfn.CONCAT(MID(_xlpm.big,7,2),MID(_xlpm.big,5,2),MID(_xlpm.big,3,2),MID(_xlpm.big,1,2)))</f>
        <v>FEFFFFFF</v>
      </c>
      <c r="L151" s="2">
        <f t="shared" si="9"/>
        <v>0</v>
      </c>
      <c r="M151" s="2">
        <f t="shared" si="10"/>
        <v>0</v>
      </c>
      <c r="N151" s="2">
        <f t="shared" si="11"/>
        <v>0</v>
      </c>
      <c r="O151" s="2" cm="1">
        <f t="array" ref="O151">_xlfn.IFS(M151&lt;Data!$F$3,0,M151&lt;Data!$F$4,1,TRUE,2)</f>
        <v>0</v>
      </c>
      <c r="P151" s="2" cm="1">
        <f t="array" ref="P151">_xlfn.IFS(H151,3,N151&lt;Data!$F$3,0,N151&lt;Data!$F$4,1,TRUE,2)</f>
        <v>0</v>
      </c>
    </row>
    <row r="152" spans="4:16">
      <c r="D152" s="3"/>
      <c r="E152" s="3"/>
      <c r="F152" s="3"/>
      <c r="G152" s="2" t="str" cm="1">
        <f t="array" ref="G152">_xlfn.CONCAT(IFERROR(I152:K152,""))</f>
        <v>02000000FEFFFFFF</v>
      </c>
      <c r="I152" s="2" t="e">
        <f>_xlfn.LET(_xlpm.big,DEC2HEX(_xlfn.BITLSHIFT(M152-_xlfn.XLOOKUP(O152,Data!A:A,Data!F:F),4)+O152,8),_xlfn.CONCAT(MID(_xlpm.big,7,2),MID(_xlpm.big,5,2),MID(_xlpm.big,3,2),MID(_xlpm.big,1,2)))</f>
        <v>#NUM!</v>
      </c>
      <c r="J152" s="2" t="str">
        <f t="shared" si="8"/>
        <v>02000000</v>
      </c>
      <c r="K152" s="2" t="str">
        <f>_xlfn.LET(_xlpm.big,IF(H152,DEC2HEX(HEX2DEC(F152),8),DEC2HEX(N152-_xlfn.XLOOKUP(P152,Data!A:A,Data!F:F),8)),_xlfn.CONCAT(MID(_xlpm.big,7,2),MID(_xlpm.big,5,2),MID(_xlpm.big,3,2),MID(_xlpm.big,1,2)))</f>
        <v>FEFFFFFF</v>
      </c>
      <c r="L152" s="2">
        <f t="shared" si="9"/>
        <v>0</v>
      </c>
      <c r="M152" s="2">
        <f t="shared" si="10"/>
        <v>0</v>
      </c>
      <c r="N152" s="2">
        <f t="shared" si="11"/>
        <v>0</v>
      </c>
      <c r="O152" s="2" cm="1">
        <f t="array" ref="O152">_xlfn.IFS(M152&lt;Data!$F$3,0,M152&lt;Data!$F$4,1,TRUE,2)</f>
        <v>0</v>
      </c>
      <c r="P152" s="2" cm="1">
        <f t="array" ref="P152">_xlfn.IFS(H152,3,N152&lt;Data!$F$3,0,N152&lt;Data!$F$4,1,TRUE,2)</f>
        <v>0</v>
      </c>
    </row>
    <row r="153" spans="4:16">
      <c r="E153" s="16"/>
      <c r="G153" s="2" t="str" cm="1">
        <f t="array" ref="G153">_xlfn.CONCAT(IFERROR(I153:K153,""))</f>
        <v>02000000FEFFFFFF</v>
      </c>
      <c r="I153" s="2" t="e">
        <f>_xlfn.LET(_xlpm.big,DEC2HEX(_xlfn.BITLSHIFT(M153-_xlfn.XLOOKUP(O153,Data!A:A,Data!F:F),4)+O153,8),_xlfn.CONCAT(MID(_xlpm.big,7,2),MID(_xlpm.big,5,2),MID(_xlpm.big,3,2),MID(_xlpm.big,1,2)))</f>
        <v>#NUM!</v>
      </c>
      <c r="J153" s="2" t="str">
        <f t="shared" si="8"/>
        <v>02000000</v>
      </c>
      <c r="K153" s="2" t="str">
        <f>_xlfn.LET(_xlpm.big,IF(H153,DEC2HEX(HEX2DEC(F153),8),DEC2HEX(N153-_xlfn.XLOOKUP(P153,Data!A:A,Data!F:F),8)),_xlfn.CONCAT(MID(_xlpm.big,7,2),MID(_xlpm.big,5,2),MID(_xlpm.big,3,2),MID(_xlpm.big,1,2)))</f>
        <v>FEFFFFFF</v>
      </c>
      <c r="L153" s="2">
        <f t="shared" si="9"/>
        <v>0</v>
      </c>
      <c r="M153" s="2">
        <f t="shared" si="10"/>
        <v>0</v>
      </c>
      <c r="N153" s="2">
        <f t="shared" si="11"/>
        <v>0</v>
      </c>
      <c r="O153" s="2" cm="1">
        <f t="array" ref="O153">_xlfn.IFS(M153&lt;Data!$F$3,0,M153&lt;Data!$F$4,1,TRUE,2)</f>
        <v>0</v>
      </c>
      <c r="P153" s="2" cm="1">
        <f t="array" ref="P153">_xlfn.IFS(H153,3,N153&lt;Data!$F$3,0,N153&lt;Data!$F$4,1,TRUE,2)</f>
        <v>0</v>
      </c>
    </row>
    <row r="154" spans="4:16">
      <c r="D154" s="3"/>
      <c r="E154" s="3"/>
      <c r="F154" s="3"/>
      <c r="G154" s="2" t="str" cm="1">
        <f t="array" ref="G154">_xlfn.CONCAT(IFERROR(I154:K154,""))</f>
        <v>02000000FEFFFFFF</v>
      </c>
      <c r="I154" s="2" t="e">
        <f>_xlfn.LET(_xlpm.big,DEC2HEX(_xlfn.BITLSHIFT(M154-_xlfn.XLOOKUP(O154,Data!A:A,Data!F:F),4)+O154,8),_xlfn.CONCAT(MID(_xlpm.big,7,2),MID(_xlpm.big,5,2),MID(_xlpm.big,3,2),MID(_xlpm.big,1,2)))</f>
        <v>#NUM!</v>
      </c>
      <c r="J154" s="2" t="str">
        <f t="shared" si="8"/>
        <v>02000000</v>
      </c>
      <c r="K154" s="2" t="str">
        <f>_xlfn.LET(_xlpm.big,IF(H154,DEC2HEX(HEX2DEC(F154),8),DEC2HEX(N154-_xlfn.XLOOKUP(P154,Data!A:A,Data!F:F),8)),_xlfn.CONCAT(MID(_xlpm.big,7,2),MID(_xlpm.big,5,2),MID(_xlpm.big,3,2),MID(_xlpm.big,1,2)))</f>
        <v>FEFFFFFF</v>
      </c>
      <c r="L154" s="2">
        <f t="shared" si="9"/>
        <v>0</v>
      </c>
      <c r="M154" s="2">
        <f t="shared" si="10"/>
        <v>0</v>
      </c>
      <c r="N154" s="2">
        <f t="shared" si="11"/>
        <v>0</v>
      </c>
      <c r="O154" s="2" cm="1">
        <f t="array" ref="O154">_xlfn.IFS(M154&lt;Data!$F$3,0,M154&lt;Data!$F$4,1,TRUE,2)</f>
        <v>0</v>
      </c>
      <c r="P154" s="2" cm="1">
        <f t="array" ref="P154">_xlfn.IFS(H154,3,N154&lt;Data!$F$3,0,N154&lt;Data!$F$4,1,TRUE,2)</f>
        <v>0</v>
      </c>
    </row>
    <row r="155" spans="4:16">
      <c r="D155" s="3"/>
      <c r="E155" s="3"/>
      <c r="F155" s="3"/>
      <c r="G155" s="2" t="str" cm="1">
        <f t="array" ref="G155">_xlfn.CONCAT(IFERROR(I155:K155,""))</f>
        <v>02000000FEFFFFFF</v>
      </c>
      <c r="I155" s="2" t="e">
        <f>_xlfn.LET(_xlpm.big,DEC2HEX(_xlfn.BITLSHIFT(M155-_xlfn.XLOOKUP(O155,Data!A:A,Data!F:F),4)+O155,8),_xlfn.CONCAT(MID(_xlpm.big,7,2),MID(_xlpm.big,5,2),MID(_xlpm.big,3,2),MID(_xlpm.big,1,2)))</f>
        <v>#NUM!</v>
      </c>
      <c r="J155" s="2" t="str">
        <f t="shared" si="8"/>
        <v>02000000</v>
      </c>
      <c r="K155" s="2" t="str">
        <f>_xlfn.LET(_xlpm.big,IF(H155,DEC2HEX(HEX2DEC(F155),8),DEC2HEX(N155-_xlfn.XLOOKUP(P155,Data!A:A,Data!F:F),8)),_xlfn.CONCAT(MID(_xlpm.big,7,2),MID(_xlpm.big,5,2),MID(_xlpm.big,3,2),MID(_xlpm.big,1,2)))</f>
        <v>FEFFFFFF</v>
      </c>
      <c r="L155" s="2">
        <f t="shared" si="9"/>
        <v>0</v>
      </c>
      <c r="M155" s="2">
        <f t="shared" si="10"/>
        <v>0</v>
      </c>
      <c r="N155" s="2">
        <f t="shared" si="11"/>
        <v>0</v>
      </c>
      <c r="O155" s="2" cm="1">
        <f t="array" ref="O155">_xlfn.IFS(M155&lt;Data!$F$3,0,M155&lt;Data!$F$4,1,TRUE,2)</f>
        <v>0</v>
      </c>
      <c r="P155" s="2" cm="1">
        <f t="array" ref="P155">_xlfn.IFS(H155,3,N155&lt;Data!$F$3,0,N155&lt;Data!$F$4,1,TRUE,2)</f>
        <v>0</v>
      </c>
    </row>
    <row r="156" spans="4:16">
      <c r="D156" s="3"/>
      <c r="E156" s="3"/>
      <c r="F156" s="3"/>
      <c r="G156" s="2" t="str" cm="1">
        <f t="array" ref="G156">_xlfn.CONCAT(IFERROR(I156:K156,""))</f>
        <v>02000000FEFFFFFF</v>
      </c>
      <c r="I156" s="2" t="e">
        <f>_xlfn.LET(_xlpm.big,DEC2HEX(_xlfn.BITLSHIFT(M156-_xlfn.XLOOKUP(O156,Data!A:A,Data!F:F),4)+O156,8),_xlfn.CONCAT(MID(_xlpm.big,7,2),MID(_xlpm.big,5,2),MID(_xlpm.big,3,2),MID(_xlpm.big,1,2)))</f>
        <v>#NUM!</v>
      </c>
      <c r="J156" s="2" t="str">
        <f t="shared" si="8"/>
        <v>02000000</v>
      </c>
      <c r="K156" s="2" t="str">
        <f>_xlfn.LET(_xlpm.big,IF(H156,DEC2HEX(HEX2DEC(F156),8),DEC2HEX(N156-_xlfn.XLOOKUP(P156,Data!A:A,Data!F:F),8)),_xlfn.CONCAT(MID(_xlpm.big,7,2),MID(_xlpm.big,5,2),MID(_xlpm.big,3,2),MID(_xlpm.big,1,2)))</f>
        <v>FEFFFFFF</v>
      </c>
      <c r="L156" s="2">
        <f t="shared" si="9"/>
        <v>0</v>
      </c>
      <c r="M156" s="2">
        <f t="shared" si="10"/>
        <v>0</v>
      </c>
      <c r="N156" s="2">
        <f t="shared" si="11"/>
        <v>0</v>
      </c>
      <c r="O156" s="2" cm="1">
        <f t="array" ref="O156">_xlfn.IFS(M156&lt;Data!$F$3,0,M156&lt;Data!$F$4,1,TRUE,2)</f>
        <v>0</v>
      </c>
      <c r="P156" s="2" cm="1">
        <f t="array" ref="P156">_xlfn.IFS(H156,3,N156&lt;Data!$F$3,0,N156&lt;Data!$F$4,1,TRUE,2)</f>
        <v>0</v>
      </c>
    </row>
    <row r="157" spans="4:16">
      <c r="D157" s="3"/>
      <c r="E157" s="3"/>
      <c r="F157" s="3"/>
      <c r="G157" s="2" t="str" cm="1">
        <f t="array" ref="G157">_xlfn.CONCAT(IFERROR(I157:K157,""))</f>
        <v>02000000FEFFFFFF</v>
      </c>
      <c r="I157" s="2" t="e">
        <f>_xlfn.LET(_xlpm.big,DEC2HEX(_xlfn.BITLSHIFT(M157-_xlfn.XLOOKUP(O157,Data!A:A,Data!F:F),4)+O157,8),_xlfn.CONCAT(MID(_xlpm.big,7,2),MID(_xlpm.big,5,2),MID(_xlpm.big,3,2),MID(_xlpm.big,1,2)))</f>
        <v>#NUM!</v>
      </c>
      <c r="J157" s="2" t="str">
        <f t="shared" si="8"/>
        <v>02000000</v>
      </c>
      <c r="K157" s="2" t="str">
        <f>_xlfn.LET(_xlpm.big,IF(H157,DEC2HEX(HEX2DEC(F157),8),DEC2HEX(N157-_xlfn.XLOOKUP(P157,Data!A:A,Data!F:F),8)),_xlfn.CONCAT(MID(_xlpm.big,7,2),MID(_xlpm.big,5,2),MID(_xlpm.big,3,2),MID(_xlpm.big,1,2)))</f>
        <v>FEFFFFFF</v>
      </c>
      <c r="L157" s="2">
        <f t="shared" si="9"/>
        <v>0</v>
      </c>
      <c r="M157" s="2">
        <f t="shared" si="10"/>
        <v>0</v>
      </c>
      <c r="N157" s="2">
        <f t="shared" si="11"/>
        <v>0</v>
      </c>
      <c r="O157" s="2" cm="1">
        <f t="array" ref="O157">_xlfn.IFS(M157&lt;Data!$F$3,0,M157&lt;Data!$F$4,1,TRUE,2)</f>
        <v>0</v>
      </c>
      <c r="P157" s="2" cm="1">
        <f t="array" ref="P157">_xlfn.IFS(H157,3,N157&lt;Data!$F$3,0,N157&lt;Data!$F$4,1,TRUE,2)</f>
        <v>0</v>
      </c>
    </row>
    <row r="158" spans="4:16">
      <c r="D158" s="3"/>
      <c r="E158" s="3"/>
      <c r="F158" s="3"/>
      <c r="G158" s="2" t="str" cm="1">
        <f t="array" ref="G158">_xlfn.CONCAT(IFERROR(I158:K158,""))</f>
        <v>02000000FEFFFFFF</v>
      </c>
      <c r="I158" s="2" t="e">
        <f>_xlfn.LET(_xlpm.big,DEC2HEX(_xlfn.BITLSHIFT(M158-_xlfn.XLOOKUP(O158,Data!A:A,Data!F:F),4)+O158,8),_xlfn.CONCAT(MID(_xlpm.big,7,2),MID(_xlpm.big,5,2),MID(_xlpm.big,3,2),MID(_xlpm.big,1,2)))</f>
        <v>#NUM!</v>
      </c>
      <c r="J158" s="2" t="str">
        <f t="shared" si="8"/>
        <v>02000000</v>
      </c>
      <c r="K158" s="2" t="str">
        <f>_xlfn.LET(_xlpm.big,IF(H158,DEC2HEX(HEX2DEC(F158),8),DEC2HEX(N158-_xlfn.XLOOKUP(P158,Data!A:A,Data!F:F),8)),_xlfn.CONCAT(MID(_xlpm.big,7,2),MID(_xlpm.big,5,2),MID(_xlpm.big,3,2),MID(_xlpm.big,1,2)))</f>
        <v>FEFFFFFF</v>
      </c>
      <c r="L158" s="2">
        <f t="shared" si="9"/>
        <v>0</v>
      </c>
      <c r="M158" s="2">
        <f t="shared" si="10"/>
        <v>0</v>
      </c>
      <c r="N158" s="2">
        <f t="shared" si="11"/>
        <v>0</v>
      </c>
      <c r="O158" s="2" cm="1">
        <f t="array" ref="O158">_xlfn.IFS(M158&lt;Data!$F$3,0,M158&lt;Data!$F$4,1,TRUE,2)</f>
        <v>0</v>
      </c>
      <c r="P158" s="2" cm="1">
        <f t="array" ref="P158">_xlfn.IFS(H158,3,N158&lt;Data!$F$3,0,N158&lt;Data!$F$4,1,TRUE,2)</f>
        <v>0</v>
      </c>
    </row>
    <row r="159" spans="4:16">
      <c r="D159" s="3"/>
      <c r="E159" s="3"/>
      <c r="F159" s="3"/>
      <c r="G159" s="2" t="str" cm="1">
        <f t="array" ref="G159">_xlfn.CONCAT(IFERROR(I159:K159,""))</f>
        <v>02000000FEFFFFFF</v>
      </c>
      <c r="I159" s="2" t="e">
        <f>_xlfn.LET(_xlpm.big,DEC2HEX(_xlfn.BITLSHIFT(M159-_xlfn.XLOOKUP(O159,Data!A:A,Data!F:F),4)+O159,8),_xlfn.CONCAT(MID(_xlpm.big,7,2),MID(_xlpm.big,5,2),MID(_xlpm.big,3,2),MID(_xlpm.big,1,2)))</f>
        <v>#NUM!</v>
      </c>
      <c r="J159" s="2" t="str">
        <f t="shared" si="8"/>
        <v>02000000</v>
      </c>
      <c r="K159" s="2" t="str">
        <f>_xlfn.LET(_xlpm.big,IF(H159,DEC2HEX(HEX2DEC(F159),8),DEC2HEX(N159-_xlfn.XLOOKUP(P159,Data!A:A,Data!F:F),8)),_xlfn.CONCAT(MID(_xlpm.big,7,2),MID(_xlpm.big,5,2),MID(_xlpm.big,3,2),MID(_xlpm.big,1,2)))</f>
        <v>FEFFFFFF</v>
      </c>
      <c r="L159" s="2">
        <f t="shared" si="9"/>
        <v>0</v>
      </c>
      <c r="M159" s="2">
        <f t="shared" si="10"/>
        <v>0</v>
      </c>
      <c r="N159" s="2">
        <f t="shared" si="11"/>
        <v>0</v>
      </c>
      <c r="O159" s="2" cm="1">
        <f t="array" ref="O159">_xlfn.IFS(M159&lt;Data!$F$3,0,M159&lt;Data!$F$4,1,TRUE,2)</f>
        <v>0</v>
      </c>
      <c r="P159" s="2" cm="1">
        <f t="array" ref="P159">_xlfn.IFS(H159,3,N159&lt;Data!$F$3,0,N159&lt;Data!$F$4,1,TRUE,2)</f>
        <v>0</v>
      </c>
    </row>
    <row r="160" spans="4:16">
      <c r="D160" s="3"/>
      <c r="E160" s="3"/>
      <c r="F160" s="3"/>
      <c r="G160" s="2" t="str" cm="1">
        <f t="array" ref="G160">_xlfn.CONCAT(IFERROR(I160:K160,""))</f>
        <v>02000000FEFFFFFF</v>
      </c>
      <c r="I160" s="2" t="e">
        <f>_xlfn.LET(_xlpm.big,DEC2HEX(_xlfn.BITLSHIFT(M160-_xlfn.XLOOKUP(O160,Data!A:A,Data!F:F),4)+O160,8),_xlfn.CONCAT(MID(_xlpm.big,7,2),MID(_xlpm.big,5,2),MID(_xlpm.big,3,2),MID(_xlpm.big,1,2)))</f>
        <v>#NUM!</v>
      </c>
      <c r="J160" s="2" t="str">
        <f t="shared" si="8"/>
        <v>02000000</v>
      </c>
      <c r="K160" s="2" t="str">
        <f>_xlfn.LET(_xlpm.big,IF(H160,DEC2HEX(HEX2DEC(F160),8),DEC2HEX(N160-_xlfn.XLOOKUP(P160,Data!A:A,Data!F:F),8)),_xlfn.CONCAT(MID(_xlpm.big,7,2),MID(_xlpm.big,5,2),MID(_xlpm.big,3,2),MID(_xlpm.big,1,2)))</f>
        <v>FEFFFFFF</v>
      </c>
      <c r="L160" s="2">
        <f t="shared" si="9"/>
        <v>0</v>
      </c>
      <c r="M160" s="2">
        <f t="shared" si="10"/>
        <v>0</v>
      </c>
      <c r="N160" s="2">
        <f t="shared" si="11"/>
        <v>0</v>
      </c>
      <c r="O160" s="2" cm="1">
        <f t="array" ref="O160">_xlfn.IFS(M160&lt;Data!$F$3,0,M160&lt;Data!$F$4,1,TRUE,2)</f>
        <v>0</v>
      </c>
      <c r="P160" s="2" cm="1">
        <f t="array" ref="P160">_xlfn.IFS(H160,3,N160&lt;Data!$F$3,0,N160&lt;Data!$F$4,1,TRUE,2)</f>
        <v>0</v>
      </c>
    </row>
    <row r="161" spans="4:16">
      <c r="D161" s="3"/>
      <c r="E161" s="3"/>
      <c r="F161" s="3"/>
      <c r="G161" s="2" t="str" cm="1">
        <f t="array" ref="G161">_xlfn.CONCAT(IFERROR(I161:K161,""))</f>
        <v>02000000FEFFFFFF</v>
      </c>
      <c r="I161" s="2" t="e">
        <f>_xlfn.LET(_xlpm.big,DEC2HEX(_xlfn.BITLSHIFT(M161-_xlfn.XLOOKUP(O161,Data!A:A,Data!F:F),4)+O161,8),_xlfn.CONCAT(MID(_xlpm.big,7,2),MID(_xlpm.big,5,2),MID(_xlpm.big,3,2),MID(_xlpm.big,1,2)))</f>
        <v>#NUM!</v>
      </c>
      <c r="J161" s="2" t="str">
        <f t="shared" si="8"/>
        <v>02000000</v>
      </c>
      <c r="K161" s="2" t="str">
        <f>_xlfn.LET(_xlpm.big,IF(H161,DEC2HEX(HEX2DEC(F161),8),DEC2HEX(N161-_xlfn.XLOOKUP(P161,Data!A:A,Data!F:F),8)),_xlfn.CONCAT(MID(_xlpm.big,7,2),MID(_xlpm.big,5,2),MID(_xlpm.big,3,2),MID(_xlpm.big,1,2)))</f>
        <v>FEFFFFFF</v>
      </c>
      <c r="L161" s="2">
        <f t="shared" si="9"/>
        <v>0</v>
      </c>
      <c r="M161" s="2">
        <f t="shared" si="10"/>
        <v>0</v>
      </c>
      <c r="N161" s="2">
        <f t="shared" si="11"/>
        <v>0</v>
      </c>
      <c r="O161" s="2" cm="1">
        <f t="array" ref="O161">_xlfn.IFS(M161&lt;Data!$F$3,0,M161&lt;Data!$F$4,1,TRUE,2)</f>
        <v>0</v>
      </c>
      <c r="P161" s="2" cm="1">
        <f t="array" ref="P161">_xlfn.IFS(H161,3,N161&lt;Data!$F$3,0,N161&lt;Data!$F$4,1,TRUE,2)</f>
        <v>0</v>
      </c>
    </row>
    <row r="162" spans="4:16">
      <c r="G162" s="2" t="str" cm="1">
        <f t="array" ref="G162">_xlfn.CONCAT(IFERROR(I162:K162,""))</f>
        <v>02000000FEFFFFFF</v>
      </c>
      <c r="I162" s="2" t="e">
        <f>_xlfn.LET(_xlpm.big,DEC2HEX(_xlfn.BITLSHIFT(M162-_xlfn.XLOOKUP(O162,Data!A:A,Data!F:F),4)+O162,8),_xlfn.CONCAT(MID(_xlpm.big,7,2),MID(_xlpm.big,5,2),MID(_xlpm.big,3,2),MID(_xlpm.big,1,2)))</f>
        <v>#NUM!</v>
      </c>
      <c r="J162" s="2" t="str">
        <f t="shared" si="8"/>
        <v>02000000</v>
      </c>
      <c r="K162" s="2" t="str">
        <f>_xlfn.LET(_xlpm.big,IF(H162,DEC2HEX(HEX2DEC(F162),8),DEC2HEX(N162-_xlfn.XLOOKUP(P162,Data!A:A,Data!F:F),8)),_xlfn.CONCAT(MID(_xlpm.big,7,2),MID(_xlpm.big,5,2),MID(_xlpm.big,3,2),MID(_xlpm.big,1,2)))</f>
        <v>FEFFFFFF</v>
      </c>
      <c r="L162" s="2">
        <f t="shared" si="9"/>
        <v>0</v>
      </c>
      <c r="M162" s="2">
        <f t="shared" si="10"/>
        <v>0</v>
      </c>
      <c r="N162" s="2">
        <f t="shared" si="11"/>
        <v>0</v>
      </c>
      <c r="O162" s="2" cm="1">
        <f t="array" ref="O162">_xlfn.IFS(M162&lt;Data!$F$3,0,M162&lt;Data!$F$4,1,TRUE,2)</f>
        <v>0</v>
      </c>
      <c r="P162" s="2" cm="1">
        <f t="array" ref="P162">_xlfn.IFS(H162,3,N162&lt;Data!$F$3,0,N162&lt;Data!$F$4,1,TRUE,2)</f>
        <v>0</v>
      </c>
    </row>
    <row r="163" spans="4:16">
      <c r="D163" s="3"/>
      <c r="E163" s="3"/>
      <c r="F163" s="3"/>
      <c r="G163" s="2" t="str" cm="1">
        <f t="array" ref="G163">_xlfn.CONCAT(IFERROR(I163:K163,""))</f>
        <v>02000000FEFFFFFF</v>
      </c>
      <c r="I163" s="2" t="e">
        <f>_xlfn.LET(_xlpm.big,DEC2HEX(_xlfn.BITLSHIFT(M163-_xlfn.XLOOKUP(O163,Data!A:A,Data!F:F),4)+O163,8),_xlfn.CONCAT(MID(_xlpm.big,7,2),MID(_xlpm.big,5,2),MID(_xlpm.big,3,2),MID(_xlpm.big,1,2)))</f>
        <v>#NUM!</v>
      </c>
      <c r="J163" s="2" t="str">
        <f t="shared" si="8"/>
        <v>02000000</v>
      </c>
      <c r="K163" s="2" t="str">
        <f>_xlfn.LET(_xlpm.big,IF(H163,DEC2HEX(HEX2DEC(F163),8),DEC2HEX(N163-_xlfn.XLOOKUP(P163,Data!A:A,Data!F:F),8)),_xlfn.CONCAT(MID(_xlpm.big,7,2),MID(_xlpm.big,5,2),MID(_xlpm.big,3,2),MID(_xlpm.big,1,2)))</f>
        <v>FEFFFFFF</v>
      </c>
      <c r="L163" s="2">
        <f t="shared" si="9"/>
        <v>0</v>
      </c>
      <c r="M163" s="2">
        <f t="shared" si="10"/>
        <v>0</v>
      </c>
      <c r="N163" s="2">
        <f t="shared" si="11"/>
        <v>0</v>
      </c>
      <c r="O163" s="2" cm="1">
        <f t="array" ref="O163">_xlfn.IFS(M163&lt;Data!$F$3,0,M163&lt;Data!$F$4,1,TRUE,2)</f>
        <v>0</v>
      </c>
      <c r="P163" s="2" cm="1">
        <f t="array" ref="P163">_xlfn.IFS(H163,3,N163&lt;Data!$F$3,0,N163&lt;Data!$F$4,1,TRUE,2)</f>
        <v>0</v>
      </c>
    </row>
    <row r="164" spans="4:16">
      <c r="D164" s="3"/>
      <c r="E164" s="3"/>
      <c r="F164" s="3"/>
      <c r="G164" s="2" t="str" cm="1">
        <f t="array" ref="G164">_xlfn.CONCAT(IFERROR(I164:K164,""))</f>
        <v>02000000FEFFFFFF</v>
      </c>
      <c r="I164" s="2" t="e">
        <f>_xlfn.LET(_xlpm.big,DEC2HEX(_xlfn.BITLSHIFT(M164-_xlfn.XLOOKUP(O164,Data!A:A,Data!F:F),4)+O164,8),_xlfn.CONCAT(MID(_xlpm.big,7,2),MID(_xlpm.big,5,2),MID(_xlpm.big,3,2),MID(_xlpm.big,1,2)))</f>
        <v>#NUM!</v>
      </c>
      <c r="J164" s="2" t="str">
        <f t="shared" si="8"/>
        <v>02000000</v>
      </c>
      <c r="K164" s="2" t="str">
        <f>_xlfn.LET(_xlpm.big,IF(H164,DEC2HEX(HEX2DEC(F164),8),DEC2HEX(N164-_xlfn.XLOOKUP(P164,Data!A:A,Data!F:F),8)),_xlfn.CONCAT(MID(_xlpm.big,7,2),MID(_xlpm.big,5,2),MID(_xlpm.big,3,2),MID(_xlpm.big,1,2)))</f>
        <v>FEFFFFFF</v>
      </c>
      <c r="L164" s="2">
        <f t="shared" si="9"/>
        <v>0</v>
      </c>
      <c r="M164" s="2">
        <f t="shared" si="10"/>
        <v>0</v>
      </c>
      <c r="N164" s="2">
        <f t="shared" si="11"/>
        <v>0</v>
      </c>
      <c r="O164" s="2" cm="1">
        <f t="array" ref="O164">_xlfn.IFS(M164&lt;Data!$F$3,0,M164&lt;Data!$F$4,1,TRUE,2)</f>
        <v>0</v>
      </c>
      <c r="P164" s="2" cm="1">
        <f t="array" ref="P164">_xlfn.IFS(H164,3,N164&lt;Data!$F$3,0,N164&lt;Data!$F$4,1,TRUE,2)</f>
        <v>0</v>
      </c>
    </row>
    <row r="165" spans="4:16">
      <c r="D165" s="3"/>
      <c r="E165" s="3"/>
      <c r="F165" s="3"/>
      <c r="G165" s="2" t="str" cm="1">
        <f t="array" ref="G165">_xlfn.CONCAT(IFERROR(I165:K165,""))</f>
        <v>02000000FEFFFFFF</v>
      </c>
      <c r="I165" s="2" t="e">
        <f>_xlfn.LET(_xlpm.big,DEC2HEX(_xlfn.BITLSHIFT(M165-_xlfn.XLOOKUP(O165,Data!A:A,Data!F:F),4)+O165,8),_xlfn.CONCAT(MID(_xlpm.big,7,2),MID(_xlpm.big,5,2),MID(_xlpm.big,3,2),MID(_xlpm.big,1,2)))</f>
        <v>#NUM!</v>
      </c>
      <c r="J165" s="2" t="str">
        <f t="shared" si="8"/>
        <v>02000000</v>
      </c>
      <c r="K165" s="2" t="str">
        <f>_xlfn.LET(_xlpm.big,IF(H165,DEC2HEX(HEX2DEC(F165),8),DEC2HEX(N165-_xlfn.XLOOKUP(P165,Data!A:A,Data!F:F),8)),_xlfn.CONCAT(MID(_xlpm.big,7,2),MID(_xlpm.big,5,2),MID(_xlpm.big,3,2),MID(_xlpm.big,1,2)))</f>
        <v>FEFFFFFF</v>
      </c>
      <c r="L165" s="2">
        <f t="shared" si="9"/>
        <v>0</v>
      </c>
      <c r="M165" s="2">
        <f t="shared" si="10"/>
        <v>0</v>
      </c>
      <c r="N165" s="2">
        <f t="shared" si="11"/>
        <v>0</v>
      </c>
      <c r="O165" s="2" cm="1">
        <f t="array" ref="O165">_xlfn.IFS(M165&lt;Data!$F$3,0,M165&lt;Data!$F$4,1,TRUE,2)</f>
        <v>0</v>
      </c>
      <c r="P165" s="2" cm="1">
        <f t="array" ref="P165">_xlfn.IFS(H165,3,N165&lt;Data!$F$3,0,N165&lt;Data!$F$4,1,TRUE,2)</f>
        <v>0</v>
      </c>
    </row>
    <row r="166" spans="4:16">
      <c r="D166" s="3"/>
      <c r="E166" s="3"/>
      <c r="F166" s="3"/>
      <c r="G166" s="2" t="str" cm="1">
        <f t="array" ref="G166">_xlfn.CONCAT(IFERROR(I166:K166,""))</f>
        <v>02000000FEFFFFFF</v>
      </c>
      <c r="I166" s="2" t="e">
        <f>_xlfn.LET(_xlpm.big,DEC2HEX(_xlfn.BITLSHIFT(M166-_xlfn.XLOOKUP(O166,Data!A:A,Data!F:F),4)+O166,8),_xlfn.CONCAT(MID(_xlpm.big,7,2),MID(_xlpm.big,5,2),MID(_xlpm.big,3,2),MID(_xlpm.big,1,2)))</f>
        <v>#NUM!</v>
      </c>
      <c r="J166" s="2" t="str">
        <f t="shared" si="8"/>
        <v>02000000</v>
      </c>
      <c r="K166" s="2" t="str">
        <f>_xlfn.LET(_xlpm.big,IF(H166,DEC2HEX(HEX2DEC(F166),8),DEC2HEX(N166-_xlfn.XLOOKUP(P166,Data!A:A,Data!F:F),8)),_xlfn.CONCAT(MID(_xlpm.big,7,2),MID(_xlpm.big,5,2),MID(_xlpm.big,3,2),MID(_xlpm.big,1,2)))</f>
        <v>FEFFFFFF</v>
      </c>
      <c r="L166" s="2">
        <f t="shared" si="9"/>
        <v>0</v>
      </c>
      <c r="M166" s="2">
        <f t="shared" si="10"/>
        <v>0</v>
      </c>
      <c r="N166" s="2">
        <f t="shared" si="11"/>
        <v>0</v>
      </c>
      <c r="O166" s="2" cm="1">
        <f t="array" ref="O166">_xlfn.IFS(M166&lt;Data!$F$3,0,M166&lt;Data!$F$4,1,TRUE,2)</f>
        <v>0</v>
      </c>
      <c r="P166" s="2" cm="1">
        <f t="array" ref="P166">_xlfn.IFS(H166,3,N166&lt;Data!$F$3,0,N166&lt;Data!$F$4,1,TRUE,2)</f>
        <v>0</v>
      </c>
    </row>
    <row r="167" spans="4:16">
      <c r="D167" s="3"/>
      <c r="E167" s="3"/>
      <c r="F167" s="3"/>
      <c r="G167" s="2" t="str" cm="1">
        <f t="array" ref="G167">_xlfn.CONCAT(IFERROR(I167:K167,""))</f>
        <v>02000000FEFFFFFF</v>
      </c>
      <c r="I167" s="2" t="e">
        <f>_xlfn.LET(_xlpm.big,DEC2HEX(_xlfn.BITLSHIFT(M167-_xlfn.XLOOKUP(O167,Data!A:A,Data!F:F),4)+O167,8),_xlfn.CONCAT(MID(_xlpm.big,7,2),MID(_xlpm.big,5,2),MID(_xlpm.big,3,2),MID(_xlpm.big,1,2)))</f>
        <v>#NUM!</v>
      </c>
      <c r="J167" s="2" t="str">
        <f t="shared" si="8"/>
        <v>02000000</v>
      </c>
      <c r="K167" s="2" t="str">
        <f>_xlfn.LET(_xlpm.big,IF(H167,DEC2HEX(HEX2DEC(F167),8),DEC2HEX(N167-_xlfn.XLOOKUP(P167,Data!A:A,Data!F:F),8)),_xlfn.CONCAT(MID(_xlpm.big,7,2),MID(_xlpm.big,5,2),MID(_xlpm.big,3,2),MID(_xlpm.big,1,2)))</f>
        <v>FEFFFFFF</v>
      </c>
      <c r="L167" s="2">
        <f t="shared" si="9"/>
        <v>0</v>
      </c>
      <c r="M167" s="2">
        <f t="shared" si="10"/>
        <v>0</v>
      </c>
      <c r="N167" s="2">
        <f t="shared" si="11"/>
        <v>0</v>
      </c>
      <c r="O167" s="2" cm="1">
        <f t="array" ref="O167">_xlfn.IFS(M167&lt;Data!$F$3,0,M167&lt;Data!$F$4,1,TRUE,2)</f>
        <v>0</v>
      </c>
      <c r="P167" s="2" cm="1">
        <f t="array" ref="P167">_xlfn.IFS(H167,3,N167&lt;Data!$F$3,0,N167&lt;Data!$F$4,1,TRUE,2)</f>
        <v>0</v>
      </c>
    </row>
    <row r="168" spans="4:16">
      <c r="D168" s="3"/>
      <c r="E168" s="3"/>
      <c r="F168" s="3"/>
      <c r="G168" s="2" t="str" cm="1">
        <f t="array" ref="G168">_xlfn.CONCAT(IFERROR(I168:K168,""))</f>
        <v>02000000FEFFFFFF</v>
      </c>
      <c r="I168" s="2" t="e">
        <f>_xlfn.LET(_xlpm.big,DEC2HEX(_xlfn.BITLSHIFT(M168-_xlfn.XLOOKUP(O168,Data!A:A,Data!F:F),4)+O168,8),_xlfn.CONCAT(MID(_xlpm.big,7,2),MID(_xlpm.big,5,2),MID(_xlpm.big,3,2),MID(_xlpm.big,1,2)))</f>
        <v>#NUM!</v>
      </c>
      <c r="J168" s="2" t="str">
        <f t="shared" si="8"/>
        <v>02000000</v>
      </c>
      <c r="K168" s="2" t="str">
        <f>_xlfn.LET(_xlpm.big,IF(H168,DEC2HEX(HEX2DEC(F168),8),DEC2HEX(N168-_xlfn.XLOOKUP(P168,Data!A:A,Data!F:F),8)),_xlfn.CONCAT(MID(_xlpm.big,7,2),MID(_xlpm.big,5,2),MID(_xlpm.big,3,2),MID(_xlpm.big,1,2)))</f>
        <v>FEFFFFFF</v>
      </c>
      <c r="L168" s="2">
        <f t="shared" si="9"/>
        <v>0</v>
      </c>
      <c r="M168" s="2">
        <f t="shared" si="10"/>
        <v>0</v>
      </c>
      <c r="N168" s="2">
        <f t="shared" si="11"/>
        <v>0</v>
      </c>
      <c r="O168" s="2" cm="1">
        <f t="array" ref="O168">_xlfn.IFS(M168&lt;Data!$F$3,0,M168&lt;Data!$F$4,1,TRUE,2)</f>
        <v>0</v>
      </c>
      <c r="P168" s="2" cm="1">
        <f t="array" ref="P168">_xlfn.IFS(H168,3,N168&lt;Data!$F$3,0,N168&lt;Data!$F$4,1,TRUE,2)</f>
        <v>0</v>
      </c>
    </row>
    <row r="169" spans="4:16">
      <c r="D169" s="3"/>
      <c r="E169" s="3"/>
      <c r="F169" s="3"/>
      <c r="G169" s="2" t="str" cm="1">
        <f t="array" ref="G169">_xlfn.CONCAT(IFERROR(I169:K169,""))</f>
        <v>02000000FEFFFFFF</v>
      </c>
      <c r="I169" s="2" t="e">
        <f>_xlfn.LET(_xlpm.big,DEC2HEX(_xlfn.BITLSHIFT(M169-_xlfn.XLOOKUP(O169,Data!A:A,Data!F:F),4)+O169,8),_xlfn.CONCAT(MID(_xlpm.big,7,2),MID(_xlpm.big,5,2),MID(_xlpm.big,3,2),MID(_xlpm.big,1,2)))</f>
        <v>#NUM!</v>
      </c>
      <c r="J169" s="2" t="str">
        <f t="shared" si="8"/>
        <v>02000000</v>
      </c>
      <c r="K169" s="2" t="str">
        <f>_xlfn.LET(_xlpm.big,IF(H169,DEC2HEX(HEX2DEC(F169),8),DEC2HEX(N169-_xlfn.XLOOKUP(P169,Data!A:A,Data!F:F),8)),_xlfn.CONCAT(MID(_xlpm.big,7,2),MID(_xlpm.big,5,2),MID(_xlpm.big,3,2),MID(_xlpm.big,1,2)))</f>
        <v>FEFFFFFF</v>
      </c>
      <c r="L169" s="2">
        <f t="shared" si="9"/>
        <v>0</v>
      </c>
      <c r="M169" s="2">
        <f t="shared" si="10"/>
        <v>0</v>
      </c>
      <c r="N169" s="2">
        <f t="shared" si="11"/>
        <v>0</v>
      </c>
      <c r="O169" s="2" cm="1">
        <f t="array" ref="O169">_xlfn.IFS(M169&lt;Data!$F$3,0,M169&lt;Data!$F$4,1,TRUE,2)</f>
        <v>0</v>
      </c>
      <c r="P169" s="2" cm="1">
        <f t="array" ref="P169">_xlfn.IFS(H169,3,N169&lt;Data!$F$3,0,N169&lt;Data!$F$4,1,TRUE,2)</f>
        <v>0</v>
      </c>
    </row>
    <row r="170" spans="4:16">
      <c r="D170" s="3"/>
      <c r="E170" s="3"/>
      <c r="F170" s="3"/>
      <c r="G170" s="2" t="str" cm="1">
        <f t="array" ref="G170">_xlfn.CONCAT(IFERROR(I170:K170,""))</f>
        <v>02000000FEFFFFFF</v>
      </c>
      <c r="I170" s="2" t="e">
        <f>_xlfn.LET(_xlpm.big,DEC2HEX(_xlfn.BITLSHIFT(M170-_xlfn.XLOOKUP(O170,Data!A:A,Data!F:F),4)+O170,8),_xlfn.CONCAT(MID(_xlpm.big,7,2),MID(_xlpm.big,5,2),MID(_xlpm.big,3,2),MID(_xlpm.big,1,2)))</f>
        <v>#NUM!</v>
      </c>
      <c r="J170" s="2" t="str">
        <f t="shared" si="8"/>
        <v>02000000</v>
      </c>
      <c r="K170" s="2" t="str">
        <f>_xlfn.LET(_xlpm.big,IF(H170,DEC2HEX(HEX2DEC(F170),8),DEC2HEX(N170-_xlfn.XLOOKUP(P170,Data!A:A,Data!F:F),8)),_xlfn.CONCAT(MID(_xlpm.big,7,2),MID(_xlpm.big,5,2),MID(_xlpm.big,3,2),MID(_xlpm.big,1,2)))</f>
        <v>FEFFFFFF</v>
      </c>
      <c r="L170" s="2">
        <f t="shared" si="9"/>
        <v>0</v>
      </c>
      <c r="M170" s="2">
        <f t="shared" si="10"/>
        <v>0</v>
      </c>
      <c r="N170" s="2">
        <f t="shared" si="11"/>
        <v>0</v>
      </c>
      <c r="O170" s="2" cm="1">
        <f t="array" ref="O170">_xlfn.IFS(M170&lt;Data!$F$3,0,M170&lt;Data!$F$4,1,TRUE,2)</f>
        <v>0</v>
      </c>
      <c r="P170" s="2" cm="1">
        <f t="array" ref="P170">_xlfn.IFS(H170,3,N170&lt;Data!$F$3,0,N170&lt;Data!$F$4,1,TRUE,2)</f>
        <v>0</v>
      </c>
    </row>
    <row r="171" spans="4:16">
      <c r="D171" s="3"/>
      <c r="E171" s="3"/>
      <c r="F171" s="3"/>
      <c r="G171" s="2" t="str" cm="1">
        <f t="array" ref="G171">_xlfn.CONCAT(IFERROR(I171:K171,""))</f>
        <v>02000000FEFFFFFF</v>
      </c>
      <c r="I171" s="2" t="e">
        <f>_xlfn.LET(_xlpm.big,DEC2HEX(_xlfn.BITLSHIFT(M171-_xlfn.XLOOKUP(O171,Data!A:A,Data!F:F),4)+O171,8),_xlfn.CONCAT(MID(_xlpm.big,7,2),MID(_xlpm.big,5,2),MID(_xlpm.big,3,2),MID(_xlpm.big,1,2)))</f>
        <v>#NUM!</v>
      </c>
      <c r="J171" s="2" t="str">
        <f t="shared" si="8"/>
        <v>02000000</v>
      </c>
      <c r="K171" s="2" t="str">
        <f>_xlfn.LET(_xlpm.big,IF(H171,DEC2HEX(HEX2DEC(F171),8),DEC2HEX(N171-_xlfn.XLOOKUP(P171,Data!A:A,Data!F:F),8)),_xlfn.CONCAT(MID(_xlpm.big,7,2),MID(_xlpm.big,5,2),MID(_xlpm.big,3,2),MID(_xlpm.big,1,2)))</f>
        <v>FEFFFFFF</v>
      </c>
      <c r="L171" s="2">
        <f t="shared" si="9"/>
        <v>0</v>
      </c>
      <c r="M171" s="2">
        <f t="shared" si="10"/>
        <v>0</v>
      </c>
      <c r="N171" s="2">
        <f t="shared" si="11"/>
        <v>0</v>
      </c>
      <c r="O171" s="2" cm="1">
        <f t="array" ref="O171">_xlfn.IFS(M171&lt;Data!$F$3,0,M171&lt;Data!$F$4,1,TRUE,2)</f>
        <v>0</v>
      </c>
      <c r="P171" s="2" cm="1">
        <f t="array" ref="P171">_xlfn.IFS(H171,3,N171&lt;Data!$F$3,0,N171&lt;Data!$F$4,1,TRUE,2)</f>
        <v>0</v>
      </c>
    </row>
    <row r="172" spans="4:16">
      <c r="D172" s="3"/>
      <c r="E172" s="3"/>
      <c r="F172" s="3"/>
      <c r="G172" s="2" t="str" cm="1">
        <f t="array" ref="G172">_xlfn.CONCAT(IFERROR(I172:K172,""))</f>
        <v>02000000FEFFFFFF</v>
      </c>
      <c r="I172" s="2" t="e">
        <f>_xlfn.LET(_xlpm.big,DEC2HEX(_xlfn.BITLSHIFT(M172-_xlfn.XLOOKUP(O172,Data!A:A,Data!F:F),4)+O172,8),_xlfn.CONCAT(MID(_xlpm.big,7,2),MID(_xlpm.big,5,2),MID(_xlpm.big,3,2),MID(_xlpm.big,1,2)))</f>
        <v>#NUM!</v>
      </c>
      <c r="J172" s="2" t="str">
        <f t="shared" si="8"/>
        <v>02000000</v>
      </c>
      <c r="K172" s="2" t="str">
        <f>_xlfn.LET(_xlpm.big,IF(H172,DEC2HEX(HEX2DEC(F172),8),DEC2HEX(N172-_xlfn.XLOOKUP(P172,Data!A:A,Data!F:F),8)),_xlfn.CONCAT(MID(_xlpm.big,7,2),MID(_xlpm.big,5,2),MID(_xlpm.big,3,2),MID(_xlpm.big,1,2)))</f>
        <v>FEFFFFFF</v>
      </c>
      <c r="L172" s="2">
        <f t="shared" si="9"/>
        <v>0</v>
      </c>
      <c r="M172" s="2">
        <f t="shared" si="10"/>
        <v>0</v>
      </c>
      <c r="N172" s="2">
        <f t="shared" si="11"/>
        <v>0</v>
      </c>
      <c r="O172" s="2" cm="1">
        <f t="array" ref="O172">_xlfn.IFS(M172&lt;Data!$F$3,0,M172&lt;Data!$F$4,1,TRUE,2)</f>
        <v>0</v>
      </c>
      <c r="P172" s="2" cm="1">
        <f t="array" ref="P172">_xlfn.IFS(H172,3,N172&lt;Data!$F$3,0,N172&lt;Data!$F$4,1,TRUE,2)</f>
        <v>0</v>
      </c>
    </row>
    <row r="173" spans="4:16">
      <c r="D173" s="3"/>
      <c r="E173" s="3"/>
      <c r="F173" s="3"/>
      <c r="G173" s="2" t="str" cm="1">
        <f t="array" ref="G173">_xlfn.CONCAT(IFERROR(I173:K173,""))</f>
        <v>02000000FEFFFFFF</v>
      </c>
      <c r="I173" s="2" t="e">
        <f>_xlfn.LET(_xlpm.big,DEC2HEX(_xlfn.BITLSHIFT(M173-_xlfn.XLOOKUP(O173,Data!A:A,Data!F:F),4)+O173,8),_xlfn.CONCAT(MID(_xlpm.big,7,2),MID(_xlpm.big,5,2),MID(_xlpm.big,3,2),MID(_xlpm.big,1,2)))</f>
        <v>#NUM!</v>
      </c>
      <c r="J173" s="2" t="str">
        <f t="shared" si="8"/>
        <v>02000000</v>
      </c>
      <c r="K173" s="2" t="str">
        <f>_xlfn.LET(_xlpm.big,IF(H173,DEC2HEX(HEX2DEC(F173),8),DEC2HEX(N173-_xlfn.XLOOKUP(P173,Data!A:A,Data!F:F),8)),_xlfn.CONCAT(MID(_xlpm.big,7,2),MID(_xlpm.big,5,2),MID(_xlpm.big,3,2),MID(_xlpm.big,1,2)))</f>
        <v>FEFFFFFF</v>
      </c>
      <c r="L173" s="2">
        <f t="shared" si="9"/>
        <v>0</v>
      </c>
      <c r="M173" s="2">
        <f t="shared" si="10"/>
        <v>0</v>
      </c>
      <c r="N173" s="2">
        <f t="shared" si="11"/>
        <v>0</v>
      </c>
      <c r="O173" s="2" cm="1">
        <f t="array" ref="O173">_xlfn.IFS(M173&lt;Data!$F$3,0,M173&lt;Data!$F$4,1,TRUE,2)</f>
        <v>0</v>
      </c>
      <c r="P173" s="2" cm="1">
        <f t="array" ref="P173">_xlfn.IFS(H173,3,N173&lt;Data!$F$3,0,N173&lt;Data!$F$4,1,TRUE,2)</f>
        <v>0</v>
      </c>
    </row>
    <row r="174" spans="4:16">
      <c r="D174" s="3"/>
      <c r="E174" s="3"/>
      <c r="F174" s="3"/>
      <c r="G174" s="2" t="str" cm="1">
        <f t="array" ref="G174">_xlfn.CONCAT(IFERROR(I174:K174,""))</f>
        <v>02000000FEFFFFFF</v>
      </c>
      <c r="I174" s="2" t="e">
        <f>_xlfn.LET(_xlpm.big,DEC2HEX(_xlfn.BITLSHIFT(M174-_xlfn.XLOOKUP(O174,Data!A:A,Data!F:F),4)+O174,8),_xlfn.CONCAT(MID(_xlpm.big,7,2),MID(_xlpm.big,5,2),MID(_xlpm.big,3,2),MID(_xlpm.big,1,2)))</f>
        <v>#NUM!</v>
      </c>
      <c r="J174" s="2" t="str">
        <f t="shared" si="8"/>
        <v>02000000</v>
      </c>
      <c r="K174" s="2" t="str">
        <f>_xlfn.LET(_xlpm.big,IF(H174,DEC2HEX(HEX2DEC(F174),8),DEC2HEX(N174-_xlfn.XLOOKUP(P174,Data!A:A,Data!F:F),8)),_xlfn.CONCAT(MID(_xlpm.big,7,2),MID(_xlpm.big,5,2),MID(_xlpm.big,3,2),MID(_xlpm.big,1,2)))</f>
        <v>FEFFFFFF</v>
      </c>
      <c r="L174" s="2">
        <f t="shared" si="9"/>
        <v>0</v>
      </c>
      <c r="M174" s="2">
        <f t="shared" si="10"/>
        <v>0</v>
      </c>
      <c r="N174" s="2">
        <f t="shared" si="11"/>
        <v>0</v>
      </c>
      <c r="O174" s="2" cm="1">
        <f t="array" ref="O174">_xlfn.IFS(M174&lt;Data!$F$3,0,M174&lt;Data!$F$4,1,TRUE,2)</f>
        <v>0</v>
      </c>
      <c r="P174" s="2" cm="1">
        <f t="array" ref="P174">_xlfn.IFS(H174,3,N174&lt;Data!$F$3,0,N174&lt;Data!$F$4,1,TRUE,2)</f>
        <v>0</v>
      </c>
    </row>
    <row r="175" spans="4:16">
      <c r="D175" s="3"/>
      <c r="E175" s="3"/>
      <c r="F175" s="3"/>
      <c r="G175" s="2" t="str" cm="1">
        <f t="array" ref="G175">_xlfn.CONCAT(IFERROR(I175:K175,""))</f>
        <v>02000000FEFFFFFF</v>
      </c>
      <c r="I175" s="2" t="e">
        <f>_xlfn.LET(_xlpm.big,DEC2HEX(_xlfn.BITLSHIFT(M175-_xlfn.XLOOKUP(O175,Data!A:A,Data!F:F),4)+O175,8),_xlfn.CONCAT(MID(_xlpm.big,7,2),MID(_xlpm.big,5,2),MID(_xlpm.big,3,2),MID(_xlpm.big,1,2)))</f>
        <v>#NUM!</v>
      </c>
      <c r="J175" s="2" t="str">
        <f t="shared" si="8"/>
        <v>02000000</v>
      </c>
      <c r="K175" s="2" t="str">
        <f>_xlfn.LET(_xlpm.big,IF(H175,DEC2HEX(HEX2DEC(F175),8),DEC2HEX(N175-_xlfn.XLOOKUP(P175,Data!A:A,Data!F:F),8)),_xlfn.CONCAT(MID(_xlpm.big,7,2),MID(_xlpm.big,5,2),MID(_xlpm.big,3,2),MID(_xlpm.big,1,2)))</f>
        <v>FEFFFFFF</v>
      </c>
      <c r="L175" s="2">
        <f t="shared" si="9"/>
        <v>0</v>
      </c>
      <c r="M175" s="2">
        <f t="shared" si="10"/>
        <v>0</v>
      </c>
      <c r="N175" s="2">
        <f t="shared" si="11"/>
        <v>0</v>
      </c>
      <c r="O175" s="2" cm="1">
        <f t="array" ref="O175">_xlfn.IFS(M175&lt;Data!$F$3,0,M175&lt;Data!$F$4,1,TRUE,2)</f>
        <v>0</v>
      </c>
      <c r="P175" s="2" cm="1">
        <f t="array" ref="P175">_xlfn.IFS(H175,3,N175&lt;Data!$F$3,0,N175&lt;Data!$F$4,1,TRUE,2)</f>
        <v>0</v>
      </c>
    </row>
    <row r="176" spans="4:16">
      <c r="D176" s="3"/>
      <c r="E176" s="3"/>
      <c r="F176" s="3"/>
      <c r="G176" s="2" t="str" cm="1">
        <f t="array" ref="G176">_xlfn.CONCAT(IFERROR(I176:K176,""))</f>
        <v>02000000FEFFFFFF</v>
      </c>
      <c r="I176" s="2" t="e">
        <f>_xlfn.LET(_xlpm.big,DEC2HEX(_xlfn.BITLSHIFT(M176-_xlfn.XLOOKUP(O176,Data!A:A,Data!F:F),4)+O176,8),_xlfn.CONCAT(MID(_xlpm.big,7,2),MID(_xlpm.big,5,2),MID(_xlpm.big,3,2),MID(_xlpm.big,1,2)))</f>
        <v>#NUM!</v>
      </c>
      <c r="J176" s="2" t="str">
        <f t="shared" si="8"/>
        <v>02000000</v>
      </c>
      <c r="K176" s="2" t="str">
        <f>_xlfn.LET(_xlpm.big,IF(H176,DEC2HEX(HEX2DEC(F176),8),DEC2HEX(N176-_xlfn.XLOOKUP(P176,Data!A:A,Data!F:F),8)),_xlfn.CONCAT(MID(_xlpm.big,7,2),MID(_xlpm.big,5,2),MID(_xlpm.big,3,2),MID(_xlpm.big,1,2)))</f>
        <v>FEFFFFFF</v>
      </c>
      <c r="L176" s="2">
        <f t="shared" si="9"/>
        <v>0</v>
      </c>
      <c r="M176" s="2">
        <f t="shared" si="10"/>
        <v>0</v>
      </c>
      <c r="N176" s="2">
        <f t="shared" si="11"/>
        <v>0</v>
      </c>
      <c r="O176" s="2" cm="1">
        <f t="array" ref="O176">_xlfn.IFS(M176&lt;Data!$F$3,0,M176&lt;Data!$F$4,1,TRUE,2)</f>
        <v>0</v>
      </c>
      <c r="P176" s="2" cm="1">
        <f t="array" ref="P176">_xlfn.IFS(H176,3,N176&lt;Data!$F$3,0,N176&lt;Data!$F$4,1,TRUE,2)</f>
        <v>0</v>
      </c>
    </row>
    <row r="177" spans="4:16">
      <c r="D177" s="3"/>
      <c r="E177" s="3"/>
      <c r="F177" s="3"/>
      <c r="G177" s="2" t="str" cm="1">
        <f t="array" ref="G177">_xlfn.CONCAT(IFERROR(I177:K177,""))</f>
        <v>02000000FEFFFFFF</v>
      </c>
      <c r="I177" s="2" t="e">
        <f>_xlfn.LET(_xlpm.big,DEC2HEX(_xlfn.BITLSHIFT(M177-_xlfn.XLOOKUP(O177,Data!A:A,Data!F:F),4)+O177,8),_xlfn.CONCAT(MID(_xlpm.big,7,2),MID(_xlpm.big,5,2),MID(_xlpm.big,3,2),MID(_xlpm.big,1,2)))</f>
        <v>#NUM!</v>
      </c>
      <c r="J177" s="2" t="str">
        <f t="shared" si="8"/>
        <v>02000000</v>
      </c>
      <c r="K177" s="2" t="str">
        <f>_xlfn.LET(_xlpm.big,IF(H177,DEC2HEX(HEX2DEC(F177),8),DEC2HEX(N177-_xlfn.XLOOKUP(P177,Data!A:A,Data!F:F),8)),_xlfn.CONCAT(MID(_xlpm.big,7,2),MID(_xlpm.big,5,2),MID(_xlpm.big,3,2),MID(_xlpm.big,1,2)))</f>
        <v>FEFFFFFF</v>
      </c>
      <c r="L177" s="2">
        <f t="shared" si="9"/>
        <v>0</v>
      </c>
      <c r="M177" s="2">
        <f t="shared" si="10"/>
        <v>0</v>
      </c>
      <c r="N177" s="2">
        <f t="shared" si="11"/>
        <v>0</v>
      </c>
      <c r="O177" s="2" cm="1">
        <f t="array" ref="O177">_xlfn.IFS(M177&lt;Data!$F$3,0,M177&lt;Data!$F$4,1,TRUE,2)</f>
        <v>0</v>
      </c>
      <c r="P177" s="2" cm="1">
        <f t="array" ref="P177">_xlfn.IFS(H177,3,N177&lt;Data!$F$3,0,N177&lt;Data!$F$4,1,TRUE,2)</f>
        <v>0</v>
      </c>
    </row>
    <row r="178" spans="4:16">
      <c r="D178" s="3"/>
      <c r="E178" s="3"/>
      <c r="F178" s="3"/>
      <c r="G178" s="2" t="str" cm="1">
        <f t="array" ref="G178">_xlfn.CONCAT(IFERROR(I178:K178,""))</f>
        <v>02000000FEFFFFFF</v>
      </c>
      <c r="I178" s="2" t="e">
        <f>_xlfn.LET(_xlpm.big,DEC2HEX(_xlfn.BITLSHIFT(M178-_xlfn.XLOOKUP(O178,Data!A:A,Data!F:F),4)+O178,8),_xlfn.CONCAT(MID(_xlpm.big,7,2),MID(_xlpm.big,5,2),MID(_xlpm.big,3,2),MID(_xlpm.big,1,2)))</f>
        <v>#NUM!</v>
      </c>
      <c r="J178" s="2" t="str">
        <f t="shared" si="8"/>
        <v>02000000</v>
      </c>
      <c r="K178" s="2" t="str">
        <f>_xlfn.LET(_xlpm.big,IF(H178,DEC2HEX(HEX2DEC(F178),8),DEC2HEX(N178-_xlfn.XLOOKUP(P178,Data!A:A,Data!F:F),8)),_xlfn.CONCAT(MID(_xlpm.big,7,2),MID(_xlpm.big,5,2),MID(_xlpm.big,3,2),MID(_xlpm.big,1,2)))</f>
        <v>FEFFFFFF</v>
      </c>
      <c r="L178" s="2">
        <f t="shared" si="9"/>
        <v>0</v>
      </c>
      <c r="M178" s="2">
        <f t="shared" si="10"/>
        <v>0</v>
      </c>
      <c r="N178" s="2">
        <f t="shared" si="11"/>
        <v>0</v>
      </c>
      <c r="O178" s="2" cm="1">
        <f t="array" ref="O178">_xlfn.IFS(M178&lt;Data!$F$3,0,M178&lt;Data!$F$4,1,TRUE,2)</f>
        <v>0</v>
      </c>
      <c r="P178" s="2" cm="1">
        <f t="array" ref="P178">_xlfn.IFS(H178,3,N178&lt;Data!$F$3,0,N178&lt;Data!$F$4,1,TRUE,2)</f>
        <v>0</v>
      </c>
    </row>
    <row r="179" spans="4:16">
      <c r="D179" s="3"/>
      <c r="E179" s="3"/>
      <c r="F179" s="3"/>
      <c r="G179" s="2" t="str" cm="1">
        <f t="array" ref="G179">_xlfn.CONCAT(IFERROR(I179:K179,""))</f>
        <v>02000000FEFFFFFF</v>
      </c>
      <c r="I179" s="2" t="e">
        <f>_xlfn.LET(_xlpm.big,DEC2HEX(_xlfn.BITLSHIFT(M179-_xlfn.XLOOKUP(O179,Data!A:A,Data!F:F),4)+O179,8),_xlfn.CONCAT(MID(_xlpm.big,7,2),MID(_xlpm.big,5,2),MID(_xlpm.big,3,2),MID(_xlpm.big,1,2)))</f>
        <v>#NUM!</v>
      </c>
      <c r="J179" s="2" t="str">
        <f t="shared" si="8"/>
        <v>02000000</v>
      </c>
      <c r="K179" s="2" t="str">
        <f>_xlfn.LET(_xlpm.big,IF(H179,DEC2HEX(HEX2DEC(F179),8),DEC2HEX(N179-_xlfn.XLOOKUP(P179,Data!A:A,Data!F:F),8)),_xlfn.CONCAT(MID(_xlpm.big,7,2),MID(_xlpm.big,5,2),MID(_xlpm.big,3,2),MID(_xlpm.big,1,2)))</f>
        <v>FEFFFFFF</v>
      </c>
      <c r="L179" s="2">
        <f t="shared" si="9"/>
        <v>0</v>
      </c>
      <c r="M179" s="2">
        <f t="shared" si="10"/>
        <v>0</v>
      </c>
      <c r="N179" s="2">
        <f t="shared" si="11"/>
        <v>0</v>
      </c>
      <c r="O179" s="2" cm="1">
        <f t="array" ref="O179">_xlfn.IFS(M179&lt;Data!$F$3,0,M179&lt;Data!$F$4,1,TRUE,2)</f>
        <v>0</v>
      </c>
      <c r="P179" s="2" cm="1">
        <f t="array" ref="P179">_xlfn.IFS(H179,3,N179&lt;Data!$F$3,0,N179&lt;Data!$F$4,1,TRUE,2)</f>
        <v>0</v>
      </c>
    </row>
    <row r="180" spans="4:16">
      <c r="G180" s="2" t="str" cm="1">
        <f t="array" ref="G180">_xlfn.CONCAT(IFERROR(I180:K180,""))</f>
        <v>02000000FEFFFFFF</v>
      </c>
      <c r="I180" s="2" t="e">
        <f>_xlfn.LET(_xlpm.big,DEC2HEX(_xlfn.BITLSHIFT(M180-_xlfn.XLOOKUP(O180,Data!A:A,Data!F:F),4)+O180,8),_xlfn.CONCAT(MID(_xlpm.big,7,2),MID(_xlpm.big,5,2),MID(_xlpm.big,3,2),MID(_xlpm.big,1,2)))</f>
        <v>#NUM!</v>
      </c>
      <c r="J180" s="2" t="str">
        <f t="shared" si="8"/>
        <v>02000000</v>
      </c>
      <c r="K180" s="2" t="str">
        <f>_xlfn.LET(_xlpm.big,IF(H180,DEC2HEX(HEX2DEC(F180),8),DEC2HEX(N180-_xlfn.XLOOKUP(P180,Data!A:A,Data!F:F),8)),_xlfn.CONCAT(MID(_xlpm.big,7,2),MID(_xlpm.big,5,2),MID(_xlpm.big,3,2),MID(_xlpm.big,1,2)))</f>
        <v>FEFFFFFF</v>
      </c>
      <c r="L180" s="2">
        <f t="shared" si="9"/>
        <v>0</v>
      </c>
      <c r="M180" s="2">
        <f t="shared" si="10"/>
        <v>0</v>
      </c>
      <c r="N180" s="2">
        <f t="shared" si="11"/>
        <v>0</v>
      </c>
      <c r="O180" s="2" cm="1">
        <f t="array" ref="O180">_xlfn.IFS(M180&lt;Data!$F$3,0,M180&lt;Data!$F$4,1,TRUE,2)</f>
        <v>0</v>
      </c>
      <c r="P180" s="2" cm="1">
        <f t="array" ref="P180">_xlfn.IFS(H180,3,N180&lt;Data!$F$3,0,N180&lt;Data!$F$4,1,TRUE,2)</f>
        <v>0</v>
      </c>
    </row>
    <row r="181" spans="4:16">
      <c r="G181" s="2" t="str" cm="1">
        <f t="array" ref="G181">_xlfn.CONCAT(IFERROR(I181:K181,""))</f>
        <v>02000000FEFFFFFF</v>
      </c>
      <c r="I181" s="2" t="e">
        <f>_xlfn.LET(_xlpm.big,DEC2HEX(_xlfn.BITLSHIFT(M181-_xlfn.XLOOKUP(O181,Data!A:A,Data!F:F),4)+O181,8),_xlfn.CONCAT(MID(_xlpm.big,7,2),MID(_xlpm.big,5,2),MID(_xlpm.big,3,2),MID(_xlpm.big,1,2)))</f>
        <v>#NUM!</v>
      </c>
      <c r="J181" s="2" t="str">
        <f t="shared" si="8"/>
        <v>02000000</v>
      </c>
      <c r="K181" s="2" t="str">
        <f>_xlfn.LET(_xlpm.big,IF(H181,DEC2HEX(HEX2DEC(F181),8),DEC2HEX(N181-_xlfn.XLOOKUP(P181,Data!A:A,Data!F:F),8)),_xlfn.CONCAT(MID(_xlpm.big,7,2),MID(_xlpm.big,5,2),MID(_xlpm.big,3,2),MID(_xlpm.big,1,2)))</f>
        <v>FEFFFFFF</v>
      </c>
      <c r="L181" s="2">
        <f t="shared" si="9"/>
        <v>0</v>
      </c>
      <c r="M181" s="2">
        <f t="shared" si="10"/>
        <v>0</v>
      </c>
      <c r="N181" s="2">
        <f t="shared" si="11"/>
        <v>0</v>
      </c>
      <c r="O181" s="2" cm="1">
        <f t="array" ref="O181">_xlfn.IFS(M181&lt;Data!$F$3,0,M181&lt;Data!$F$4,1,TRUE,2)</f>
        <v>0</v>
      </c>
      <c r="P181" s="2" cm="1">
        <f t="array" ref="P181">_xlfn.IFS(H181,3,N181&lt;Data!$F$3,0,N181&lt;Data!$F$4,1,TRUE,2)</f>
        <v>0</v>
      </c>
    </row>
    <row r="182" spans="4:16">
      <c r="D182" s="3"/>
      <c r="E182" s="3"/>
      <c r="F182" s="3"/>
      <c r="G182" s="2" t="str" cm="1">
        <f t="array" ref="G182">_xlfn.CONCAT(IFERROR(I182:K182,""))</f>
        <v>02000000FEFFFFFF</v>
      </c>
      <c r="I182" s="2" t="e">
        <f>_xlfn.LET(_xlpm.big,DEC2HEX(_xlfn.BITLSHIFT(M182-_xlfn.XLOOKUP(O182,Data!A:A,Data!F:F),4)+O182,8),_xlfn.CONCAT(MID(_xlpm.big,7,2),MID(_xlpm.big,5,2),MID(_xlpm.big,3,2),MID(_xlpm.big,1,2)))</f>
        <v>#NUM!</v>
      </c>
      <c r="J182" s="2" t="str">
        <f t="shared" si="8"/>
        <v>02000000</v>
      </c>
      <c r="K182" s="2" t="str">
        <f>_xlfn.LET(_xlpm.big,IF(H182,DEC2HEX(HEX2DEC(F182),8),DEC2HEX(N182-_xlfn.XLOOKUP(P182,Data!A:A,Data!F:F),8)),_xlfn.CONCAT(MID(_xlpm.big,7,2),MID(_xlpm.big,5,2),MID(_xlpm.big,3,2),MID(_xlpm.big,1,2)))</f>
        <v>FEFFFFFF</v>
      </c>
      <c r="L182" s="2">
        <f t="shared" si="9"/>
        <v>0</v>
      </c>
      <c r="M182" s="2">
        <f t="shared" si="10"/>
        <v>0</v>
      </c>
      <c r="N182" s="2">
        <f t="shared" si="11"/>
        <v>0</v>
      </c>
      <c r="O182" s="2" cm="1">
        <f t="array" ref="O182">_xlfn.IFS(M182&lt;Data!$F$3,0,M182&lt;Data!$F$4,1,TRUE,2)</f>
        <v>0</v>
      </c>
      <c r="P182" s="2" cm="1">
        <f t="array" ref="P182">_xlfn.IFS(H182,3,N182&lt;Data!$F$3,0,N182&lt;Data!$F$4,1,TRUE,2)</f>
        <v>0</v>
      </c>
    </row>
    <row r="183" spans="4:16">
      <c r="D183" s="3"/>
      <c r="E183" s="3"/>
      <c r="F183" s="3"/>
      <c r="G183" s="2" t="str" cm="1">
        <f t="array" ref="G183">_xlfn.CONCAT(IFERROR(I183:K183,""))</f>
        <v>02000000FEFFFFFF</v>
      </c>
      <c r="I183" s="2" t="e">
        <f>_xlfn.LET(_xlpm.big,DEC2HEX(_xlfn.BITLSHIFT(M183-_xlfn.XLOOKUP(O183,Data!A:A,Data!F:F),4)+O183,8),_xlfn.CONCAT(MID(_xlpm.big,7,2),MID(_xlpm.big,5,2),MID(_xlpm.big,3,2),MID(_xlpm.big,1,2)))</f>
        <v>#NUM!</v>
      </c>
      <c r="J183" s="2" t="str">
        <f t="shared" si="8"/>
        <v>02000000</v>
      </c>
      <c r="K183" s="2" t="str">
        <f>_xlfn.LET(_xlpm.big,IF(H183,DEC2HEX(HEX2DEC(F183),8),DEC2HEX(N183-_xlfn.XLOOKUP(P183,Data!A:A,Data!F:F),8)),_xlfn.CONCAT(MID(_xlpm.big,7,2),MID(_xlpm.big,5,2),MID(_xlpm.big,3,2),MID(_xlpm.big,1,2)))</f>
        <v>FEFFFFFF</v>
      </c>
      <c r="L183" s="2">
        <f t="shared" si="9"/>
        <v>0</v>
      </c>
      <c r="M183" s="2">
        <f t="shared" si="10"/>
        <v>0</v>
      </c>
      <c r="N183" s="2">
        <f t="shared" si="11"/>
        <v>0</v>
      </c>
      <c r="O183" s="2" cm="1">
        <f t="array" ref="O183">_xlfn.IFS(M183&lt;Data!$F$3,0,M183&lt;Data!$F$4,1,TRUE,2)</f>
        <v>0</v>
      </c>
      <c r="P183" s="2" cm="1">
        <f t="array" ref="P183">_xlfn.IFS(H183,3,N183&lt;Data!$F$3,0,N183&lt;Data!$F$4,1,TRUE,2)</f>
        <v>0</v>
      </c>
    </row>
    <row r="184" spans="4:16">
      <c r="D184" s="3"/>
      <c r="E184" s="3"/>
      <c r="F184" s="3"/>
      <c r="G184" s="2" t="str" cm="1">
        <f t="array" ref="G184">_xlfn.CONCAT(IFERROR(I184:K184,""))</f>
        <v>02000000FEFFFFFF</v>
      </c>
      <c r="I184" s="2" t="e">
        <f>_xlfn.LET(_xlpm.big,DEC2HEX(_xlfn.BITLSHIFT(M184-_xlfn.XLOOKUP(O184,Data!A:A,Data!F:F),4)+O184,8),_xlfn.CONCAT(MID(_xlpm.big,7,2),MID(_xlpm.big,5,2),MID(_xlpm.big,3,2),MID(_xlpm.big,1,2)))</f>
        <v>#NUM!</v>
      </c>
      <c r="J184" s="2" t="str">
        <f t="shared" si="8"/>
        <v>02000000</v>
      </c>
      <c r="K184" s="2" t="str">
        <f>_xlfn.LET(_xlpm.big,IF(H184,DEC2HEX(HEX2DEC(F184),8),DEC2HEX(N184-_xlfn.XLOOKUP(P184,Data!A:A,Data!F:F),8)),_xlfn.CONCAT(MID(_xlpm.big,7,2),MID(_xlpm.big,5,2),MID(_xlpm.big,3,2),MID(_xlpm.big,1,2)))</f>
        <v>FEFFFFFF</v>
      </c>
      <c r="L184" s="2">
        <f t="shared" si="9"/>
        <v>0</v>
      </c>
      <c r="M184" s="2">
        <f t="shared" si="10"/>
        <v>0</v>
      </c>
      <c r="N184" s="2">
        <f t="shared" si="11"/>
        <v>0</v>
      </c>
      <c r="O184" s="2" cm="1">
        <f t="array" ref="O184">_xlfn.IFS(M184&lt;Data!$F$3,0,M184&lt;Data!$F$4,1,TRUE,2)</f>
        <v>0</v>
      </c>
      <c r="P184" s="2" cm="1">
        <f t="array" ref="P184">_xlfn.IFS(H184,3,N184&lt;Data!$F$3,0,N184&lt;Data!$F$4,1,TRUE,2)</f>
        <v>0</v>
      </c>
    </row>
    <row r="185" spans="4:16">
      <c r="D185" s="3"/>
      <c r="E185" s="3"/>
      <c r="F185" s="3"/>
      <c r="G185" s="2" t="str" cm="1">
        <f t="array" ref="G185">_xlfn.CONCAT(IFERROR(I185:K185,""))</f>
        <v>02000000FEFFFFFF</v>
      </c>
      <c r="I185" s="2" t="e">
        <f>_xlfn.LET(_xlpm.big,DEC2HEX(_xlfn.BITLSHIFT(M185-_xlfn.XLOOKUP(O185,Data!A:A,Data!F:F),4)+O185,8),_xlfn.CONCAT(MID(_xlpm.big,7,2),MID(_xlpm.big,5,2),MID(_xlpm.big,3,2),MID(_xlpm.big,1,2)))</f>
        <v>#NUM!</v>
      </c>
      <c r="J185" s="2" t="str">
        <f t="shared" si="8"/>
        <v>02000000</v>
      </c>
      <c r="K185" s="2" t="str">
        <f>_xlfn.LET(_xlpm.big,IF(H185,DEC2HEX(HEX2DEC(F185),8),DEC2HEX(N185-_xlfn.XLOOKUP(P185,Data!A:A,Data!F:F),8)),_xlfn.CONCAT(MID(_xlpm.big,7,2),MID(_xlpm.big,5,2),MID(_xlpm.big,3,2),MID(_xlpm.big,1,2)))</f>
        <v>FEFFFFFF</v>
      </c>
      <c r="L185" s="2">
        <f t="shared" si="9"/>
        <v>0</v>
      </c>
      <c r="M185" s="2">
        <f t="shared" si="10"/>
        <v>0</v>
      </c>
      <c r="N185" s="2">
        <f t="shared" si="11"/>
        <v>0</v>
      </c>
      <c r="O185" s="2" cm="1">
        <f t="array" ref="O185">_xlfn.IFS(M185&lt;Data!$F$3,0,M185&lt;Data!$F$4,1,TRUE,2)</f>
        <v>0</v>
      </c>
      <c r="P185" s="2" cm="1">
        <f t="array" ref="P185">_xlfn.IFS(H185,3,N185&lt;Data!$F$3,0,N185&lt;Data!$F$4,1,TRUE,2)</f>
        <v>0</v>
      </c>
    </row>
    <row r="186" spans="4:16">
      <c r="D186" s="3"/>
      <c r="E186" s="3"/>
      <c r="F186" s="3"/>
      <c r="G186" s="2" t="str" cm="1">
        <f t="array" ref="G186">_xlfn.CONCAT(IFERROR(I186:K186,""))</f>
        <v>02000000FEFFFFFF</v>
      </c>
      <c r="I186" s="2" t="e">
        <f>_xlfn.LET(_xlpm.big,DEC2HEX(_xlfn.BITLSHIFT(M186-_xlfn.XLOOKUP(O186,Data!A:A,Data!F:F),4)+O186,8),_xlfn.CONCAT(MID(_xlpm.big,7,2),MID(_xlpm.big,5,2),MID(_xlpm.big,3,2),MID(_xlpm.big,1,2)))</f>
        <v>#NUM!</v>
      </c>
      <c r="J186" s="2" t="str">
        <f t="shared" si="8"/>
        <v>02000000</v>
      </c>
      <c r="K186" s="2" t="str">
        <f>_xlfn.LET(_xlpm.big,IF(H186,DEC2HEX(HEX2DEC(F186),8),DEC2HEX(N186-_xlfn.XLOOKUP(P186,Data!A:A,Data!F:F),8)),_xlfn.CONCAT(MID(_xlpm.big,7,2),MID(_xlpm.big,5,2),MID(_xlpm.big,3,2),MID(_xlpm.big,1,2)))</f>
        <v>FEFFFFFF</v>
      </c>
      <c r="L186" s="2">
        <f t="shared" si="9"/>
        <v>0</v>
      </c>
      <c r="M186" s="2">
        <f t="shared" si="10"/>
        <v>0</v>
      </c>
      <c r="N186" s="2">
        <f t="shared" si="11"/>
        <v>0</v>
      </c>
      <c r="O186" s="2" cm="1">
        <f t="array" ref="O186">_xlfn.IFS(M186&lt;Data!$F$3,0,M186&lt;Data!$F$4,1,TRUE,2)</f>
        <v>0</v>
      </c>
      <c r="P186" s="2" cm="1">
        <f t="array" ref="P186">_xlfn.IFS(H186,3,N186&lt;Data!$F$3,0,N186&lt;Data!$F$4,1,TRUE,2)</f>
        <v>0</v>
      </c>
    </row>
    <row r="187" spans="4:16">
      <c r="D187" s="3"/>
      <c r="E187" s="3"/>
      <c r="F187" s="3"/>
      <c r="G187" s="2" t="str" cm="1">
        <f t="array" ref="G187">_xlfn.CONCAT(IFERROR(I187:K187,""))</f>
        <v>02000000FEFFFFFF</v>
      </c>
      <c r="I187" s="2" t="e">
        <f>_xlfn.LET(_xlpm.big,DEC2HEX(_xlfn.BITLSHIFT(M187-_xlfn.XLOOKUP(O187,Data!A:A,Data!F:F),4)+O187,8),_xlfn.CONCAT(MID(_xlpm.big,7,2),MID(_xlpm.big,5,2),MID(_xlpm.big,3,2),MID(_xlpm.big,1,2)))</f>
        <v>#NUM!</v>
      </c>
      <c r="J187" s="2" t="str">
        <f t="shared" si="8"/>
        <v>02000000</v>
      </c>
      <c r="K187" s="2" t="str">
        <f>_xlfn.LET(_xlpm.big,IF(H187,DEC2HEX(HEX2DEC(F187),8),DEC2HEX(N187-_xlfn.XLOOKUP(P187,Data!A:A,Data!F:F),8)),_xlfn.CONCAT(MID(_xlpm.big,7,2),MID(_xlpm.big,5,2),MID(_xlpm.big,3,2),MID(_xlpm.big,1,2)))</f>
        <v>FEFFFFFF</v>
      </c>
      <c r="L187" s="2">
        <f t="shared" si="9"/>
        <v>0</v>
      </c>
      <c r="M187" s="2">
        <f t="shared" si="10"/>
        <v>0</v>
      </c>
      <c r="N187" s="2">
        <f t="shared" si="11"/>
        <v>0</v>
      </c>
      <c r="O187" s="2" cm="1">
        <f t="array" ref="O187">_xlfn.IFS(M187&lt;Data!$F$3,0,M187&lt;Data!$F$4,1,TRUE,2)</f>
        <v>0</v>
      </c>
      <c r="P187" s="2" cm="1">
        <f t="array" ref="P187">_xlfn.IFS(H187,3,N187&lt;Data!$F$3,0,N187&lt;Data!$F$4,1,TRUE,2)</f>
        <v>0</v>
      </c>
    </row>
    <row r="188" spans="4:16">
      <c r="G188" s="2" t="str" cm="1">
        <f t="array" ref="G188">_xlfn.CONCAT(IFERROR(I188:K188,""))</f>
        <v>02000000FEFFFFFF</v>
      </c>
      <c r="I188" s="2" t="e">
        <f>_xlfn.LET(_xlpm.big,DEC2HEX(_xlfn.BITLSHIFT(M188-_xlfn.XLOOKUP(O188,Data!A:A,Data!F:F),4)+O188,8),_xlfn.CONCAT(MID(_xlpm.big,7,2),MID(_xlpm.big,5,2),MID(_xlpm.big,3,2),MID(_xlpm.big,1,2)))</f>
        <v>#NUM!</v>
      </c>
      <c r="J188" s="2" t="str">
        <f t="shared" si="8"/>
        <v>02000000</v>
      </c>
      <c r="K188" s="2" t="str">
        <f>_xlfn.LET(_xlpm.big,IF(H188,DEC2HEX(HEX2DEC(F188),8),DEC2HEX(N188-_xlfn.XLOOKUP(P188,Data!A:A,Data!F:F),8)),_xlfn.CONCAT(MID(_xlpm.big,7,2),MID(_xlpm.big,5,2),MID(_xlpm.big,3,2),MID(_xlpm.big,1,2)))</f>
        <v>FEFFFFFF</v>
      </c>
      <c r="L188" s="2">
        <f t="shared" si="9"/>
        <v>0</v>
      </c>
      <c r="M188" s="2">
        <f t="shared" si="10"/>
        <v>0</v>
      </c>
      <c r="N188" s="2">
        <f t="shared" si="11"/>
        <v>0</v>
      </c>
      <c r="O188" s="2" cm="1">
        <f t="array" ref="O188">_xlfn.IFS(M188&lt;Data!$F$3,0,M188&lt;Data!$F$4,1,TRUE,2)</f>
        <v>0</v>
      </c>
      <c r="P188" s="2" cm="1">
        <f t="array" ref="P188">_xlfn.IFS(H188,3,N188&lt;Data!$F$3,0,N188&lt;Data!$F$4,1,TRUE,2)</f>
        <v>0</v>
      </c>
    </row>
    <row r="189" spans="4:16">
      <c r="D189" s="3"/>
      <c r="E189" s="3"/>
      <c r="F189" s="3"/>
      <c r="G189" s="2" t="str" cm="1">
        <f t="array" ref="G189">_xlfn.CONCAT(IFERROR(I189:K189,""))</f>
        <v>02000000FEFFFFFF</v>
      </c>
      <c r="I189" s="2" t="e">
        <f>_xlfn.LET(_xlpm.big,DEC2HEX(_xlfn.BITLSHIFT(M189-_xlfn.XLOOKUP(O189,Data!A:A,Data!F:F),4)+O189,8),_xlfn.CONCAT(MID(_xlpm.big,7,2),MID(_xlpm.big,5,2),MID(_xlpm.big,3,2),MID(_xlpm.big,1,2)))</f>
        <v>#NUM!</v>
      </c>
      <c r="J189" s="2" t="str">
        <f t="shared" si="8"/>
        <v>02000000</v>
      </c>
      <c r="K189" s="2" t="str">
        <f>_xlfn.LET(_xlpm.big,IF(H189,DEC2HEX(HEX2DEC(F189),8),DEC2HEX(N189-_xlfn.XLOOKUP(P189,Data!A:A,Data!F:F),8)),_xlfn.CONCAT(MID(_xlpm.big,7,2),MID(_xlpm.big,5,2),MID(_xlpm.big,3,2),MID(_xlpm.big,1,2)))</f>
        <v>FEFFFFFF</v>
      </c>
      <c r="L189" s="2">
        <f t="shared" si="9"/>
        <v>0</v>
      </c>
      <c r="M189" s="2">
        <f t="shared" si="10"/>
        <v>0</v>
      </c>
      <c r="N189" s="2">
        <f t="shared" si="11"/>
        <v>0</v>
      </c>
      <c r="O189" s="2" cm="1">
        <f t="array" ref="O189">_xlfn.IFS(M189&lt;Data!$F$3,0,M189&lt;Data!$F$4,1,TRUE,2)</f>
        <v>0</v>
      </c>
      <c r="P189" s="2" cm="1">
        <f t="array" ref="P189">_xlfn.IFS(H189,3,N189&lt;Data!$F$3,0,N189&lt;Data!$F$4,1,TRUE,2)</f>
        <v>0</v>
      </c>
    </row>
    <row r="190" spans="4:16">
      <c r="D190" s="3"/>
      <c r="E190" s="3"/>
      <c r="F190" s="3"/>
      <c r="G190" s="2" t="str" cm="1">
        <f t="array" ref="G190">_xlfn.CONCAT(IFERROR(I190:K190,""))</f>
        <v>02000000FEFFFFFF</v>
      </c>
      <c r="I190" s="2" t="e">
        <f>_xlfn.LET(_xlpm.big,DEC2HEX(_xlfn.BITLSHIFT(M190-_xlfn.XLOOKUP(O190,Data!A:A,Data!F:F),4)+O190,8),_xlfn.CONCAT(MID(_xlpm.big,7,2),MID(_xlpm.big,5,2),MID(_xlpm.big,3,2),MID(_xlpm.big,1,2)))</f>
        <v>#NUM!</v>
      </c>
      <c r="J190" s="2" t="str">
        <f t="shared" si="8"/>
        <v>02000000</v>
      </c>
      <c r="K190" s="2" t="str">
        <f>_xlfn.LET(_xlpm.big,IF(H190,DEC2HEX(HEX2DEC(F190),8),DEC2HEX(N190-_xlfn.XLOOKUP(P190,Data!A:A,Data!F:F),8)),_xlfn.CONCAT(MID(_xlpm.big,7,2),MID(_xlpm.big,5,2),MID(_xlpm.big,3,2),MID(_xlpm.big,1,2)))</f>
        <v>FEFFFFFF</v>
      </c>
      <c r="L190" s="2">
        <f t="shared" si="9"/>
        <v>0</v>
      </c>
      <c r="M190" s="2">
        <f t="shared" si="10"/>
        <v>0</v>
      </c>
      <c r="N190" s="2">
        <f t="shared" si="11"/>
        <v>0</v>
      </c>
      <c r="O190" s="2" cm="1">
        <f t="array" ref="O190">_xlfn.IFS(M190&lt;Data!$F$3,0,M190&lt;Data!$F$4,1,TRUE,2)</f>
        <v>0</v>
      </c>
      <c r="P190" s="2" cm="1">
        <f t="array" ref="P190">_xlfn.IFS(H190,3,N190&lt;Data!$F$3,0,N190&lt;Data!$F$4,1,TRUE,2)</f>
        <v>0</v>
      </c>
    </row>
    <row r="191" spans="4:16">
      <c r="D191" s="3"/>
      <c r="E191" s="3"/>
      <c r="F191" s="3"/>
      <c r="G191" s="2" t="str" cm="1">
        <f t="array" ref="G191">_xlfn.CONCAT(IFERROR(I191:K191,""))</f>
        <v>02000000FEFFFFFF</v>
      </c>
      <c r="I191" s="2" t="e">
        <f>_xlfn.LET(_xlpm.big,DEC2HEX(_xlfn.BITLSHIFT(M191-_xlfn.XLOOKUP(O191,Data!A:A,Data!F:F),4)+O191,8),_xlfn.CONCAT(MID(_xlpm.big,7,2),MID(_xlpm.big,5,2),MID(_xlpm.big,3,2),MID(_xlpm.big,1,2)))</f>
        <v>#NUM!</v>
      </c>
      <c r="J191" s="2" t="str">
        <f t="shared" si="8"/>
        <v>02000000</v>
      </c>
      <c r="K191" s="2" t="str">
        <f>_xlfn.LET(_xlpm.big,IF(H191,DEC2HEX(HEX2DEC(F191),8),DEC2HEX(N191-_xlfn.XLOOKUP(P191,Data!A:A,Data!F:F),8)),_xlfn.CONCAT(MID(_xlpm.big,7,2),MID(_xlpm.big,5,2),MID(_xlpm.big,3,2),MID(_xlpm.big,1,2)))</f>
        <v>FEFFFFFF</v>
      </c>
      <c r="L191" s="2">
        <f t="shared" si="9"/>
        <v>0</v>
      </c>
      <c r="M191" s="2">
        <f t="shared" si="10"/>
        <v>0</v>
      </c>
      <c r="N191" s="2">
        <f t="shared" si="11"/>
        <v>0</v>
      </c>
      <c r="O191" s="2" cm="1">
        <f t="array" ref="O191">_xlfn.IFS(M191&lt;Data!$F$3,0,M191&lt;Data!$F$4,1,TRUE,2)</f>
        <v>0</v>
      </c>
      <c r="P191" s="2" cm="1">
        <f t="array" ref="P191">_xlfn.IFS(H191,3,N191&lt;Data!$F$3,0,N191&lt;Data!$F$4,1,TRUE,2)</f>
        <v>0</v>
      </c>
    </row>
    <row r="192" spans="4:16">
      <c r="D192" s="3"/>
      <c r="E192" s="3"/>
      <c r="F192" s="3"/>
      <c r="G192" s="2" t="str" cm="1">
        <f t="array" ref="G192">_xlfn.CONCAT(IFERROR(I192:K192,""))</f>
        <v>02000000FEFFFFFF</v>
      </c>
      <c r="I192" s="2" t="e">
        <f>_xlfn.LET(_xlpm.big,DEC2HEX(_xlfn.BITLSHIFT(M192-_xlfn.XLOOKUP(O192,Data!A:A,Data!F:F),4)+O192,8),_xlfn.CONCAT(MID(_xlpm.big,7,2),MID(_xlpm.big,5,2),MID(_xlpm.big,3,2),MID(_xlpm.big,1,2)))</f>
        <v>#NUM!</v>
      </c>
      <c r="J192" s="2" t="str">
        <f t="shared" si="8"/>
        <v>02000000</v>
      </c>
      <c r="K192" s="2" t="str">
        <f>_xlfn.LET(_xlpm.big,IF(H192,DEC2HEX(HEX2DEC(F192),8),DEC2HEX(N192-_xlfn.XLOOKUP(P192,Data!A:A,Data!F:F),8)),_xlfn.CONCAT(MID(_xlpm.big,7,2),MID(_xlpm.big,5,2),MID(_xlpm.big,3,2),MID(_xlpm.big,1,2)))</f>
        <v>FEFFFFFF</v>
      </c>
      <c r="L192" s="2">
        <f t="shared" si="9"/>
        <v>0</v>
      </c>
      <c r="M192" s="2">
        <f t="shared" si="10"/>
        <v>0</v>
      </c>
      <c r="N192" s="2">
        <f t="shared" si="11"/>
        <v>0</v>
      </c>
      <c r="O192" s="2" cm="1">
        <f t="array" ref="O192">_xlfn.IFS(M192&lt;Data!$F$3,0,M192&lt;Data!$F$4,1,TRUE,2)</f>
        <v>0</v>
      </c>
      <c r="P192" s="2" cm="1">
        <f t="array" ref="P192">_xlfn.IFS(H192,3,N192&lt;Data!$F$3,0,N192&lt;Data!$F$4,1,TRUE,2)</f>
        <v>0</v>
      </c>
    </row>
    <row r="193" spans="4:16">
      <c r="D193" s="3"/>
      <c r="E193" s="3"/>
      <c r="F193" s="3"/>
      <c r="G193" s="2" t="str" cm="1">
        <f t="array" ref="G193">_xlfn.CONCAT(IFERROR(I193:K193,""))</f>
        <v>02000000FEFFFFFF</v>
      </c>
      <c r="I193" s="2" t="e">
        <f>_xlfn.LET(_xlpm.big,DEC2HEX(_xlfn.BITLSHIFT(M193-_xlfn.XLOOKUP(O193,Data!A:A,Data!F:F),4)+O193,8),_xlfn.CONCAT(MID(_xlpm.big,7,2),MID(_xlpm.big,5,2),MID(_xlpm.big,3,2),MID(_xlpm.big,1,2)))</f>
        <v>#NUM!</v>
      </c>
      <c r="J193" s="2" t="str">
        <f t="shared" si="8"/>
        <v>02000000</v>
      </c>
      <c r="K193" s="2" t="str">
        <f>_xlfn.LET(_xlpm.big,IF(H193,DEC2HEX(HEX2DEC(F193),8),DEC2HEX(N193-_xlfn.XLOOKUP(P193,Data!A:A,Data!F:F),8)),_xlfn.CONCAT(MID(_xlpm.big,7,2),MID(_xlpm.big,5,2),MID(_xlpm.big,3,2),MID(_xlpm.big,1,2)))</f>
        <v>FEFFFFFF</v>
      </c>
      <c r="L193" s="2">
        <f t="shared" si="9"/>
        <v>0</v>
      </c>
      <c r="M193" s="2">
        <f t="shared" si="10"/>
        <v>0</v>
      </c>
      <c r="N193" s="2">
        <f t="shared" si="11"/>
        <v>0</v>
      </c>
      <c r="O193" s="2" cm="1">
        <f t="array" ref="O193">_xlfn.IFS(M193&lt;Data!$F$3,0,M193&lt;Data!$F$4,1,TRUE,2)</f>
        <v>0</v>
      </c>
      <c r="P193" s="2" cm="1">
        <f t="array" ref="P193">_xlfn.IFS(H193,3,N193&lt;Data!$F$3,0,N193&lt;Data!$F$4,1,TRUE,2)</f>
        <v>0</v>
      </c>
    </row>
    <row r="194" spans="4:16">
      <c r="D194" s="3"/>
      <c r="E194" s="3"/>
      <c r="F194" s="3"/>
      <c r="G194" s="2" t="str" cm="1">
        <f t="array" ref="G194">_xlfn.CONCAT(IFERROR(I194:K194,""))</f>
        <v>02000000FEFFFFFF</v>
      </c>
      <c r="I194" s="2" t="e">
        <f>_xlfn.LET(_xlpm.big,DEC2HEX(_xlfn.BITLSHIFT(M194-_xlfn.XLOOKUP(O194,Data!A:A,Data!F:F),4)+O194,8),_xlfn.CONCAT(MID(_xlpm.big,7,2),MID(_xlpm.big,5,2),MID(_xlpm.big,3,2),MID(_xlpm.big,1,2)))</f>
        <v>#NUM!</v>
      </c>
      <c r="J194" s="2" t="str">
        <f t="shared" ref="J194:J257" si="12">_xlfn.CONCAT("02",DEC2HEX(P194,2),"0000")</f>
        <v>02000000</v>
      </c>
      <c r="K194" s="2" t="str">
        <f>_xlfn.LET(_xlpm.big,IF(H194,DEC2HEX(HEX2DEC(F194),8),DEC2HEX(N194-_xlfn.XLOOKUP(P194,Data!A:A,Data!F:F),8)),_xlfn.CONCAT(MID(_xlpm.big,7,2),MID(_xlpm.big,5,2),MID(_xlpm.big,3,2),MID(_xlpm.big,1,2)))</f>
        <v>FEFFFFFF</v>
      </c>
      <c r="L194" s="2">
        <f t="shared" ref="L194:L257" si="13">HEX2DEC(D194)</f>
        <v>0</v>
      </c>
      <c r="M194" s="2">
        <f t="shared" ref="M194:M257" si="14">HEX2DEC(E194)</f>
        <v>0</v>
      </c>
      <c r="N194" s="2">
        <f t="shared" ref="N194:N257" si="15">HEX2DEC(F194)</f>
        <v>0</v>
      </c>
      <c r="O194" s="2" cm="1">
        <f t="array" ref="O194">_xlfn.IFS(M194&lt;Data!$F$3,0,M194&lt;Data!$F$4,1,TRUE,2)</f>
        <v>0</v>
      </c>
      <c r="P194" s="2" cm="1">
        <f t="array" ref="P194">_xlfn.IFS(H194,3,N194&lt;Data!$F$3,0,N194&lt;Data!$F$4,1,TRUE,2)</f>
        <v>0</v>
      </c>
    </row>
    <row r="195" spans="4:16">
      <c r="D195" s="3"/>
      <c r="E195" s="3"/>
      <c r="F195" s="3"/>
      <c r="G195" s="2" t="str" cm="1">
        <f t="array" ref="G195">_xlfn.CONCAT(IFERROR(I195:K195,""))</f>
        <v>02000000FEFFFFFF</v>
      </c>
      <c r="I195" s="2" t="e">
        <f>_xlfn.LET(_xlpm.big,DEC2HEX(_xlfn.BITLSHIFT(M195-_xlfn.XLOOKUP(O195,Data!A:A,Data!F:F),4)+O195,8),_xlfn.CONCAT(MID(_xlpm.big,7,2),MID(_xlpm.big,5,2),MID(_xlpm.big,3,2),MID(_xlpm.big,1,2)))</f>
        <v>#NUM!</v>
      </c>
      <c r="J195" s="2" t="str">
        <f t="shared" si="12"/>
        <v>02000000</v>
      </c>
      <c r="K195" s="2" t="str">
        <f>_xlfn.LET(_xlpm.big,IF(H195,DEC2HEX(HEX2DEC(F195),8),DEC2HEX(N195-_xlfn.XLOOKUP(P195,Data!A:A,Data!F:F),8)),_xlfn.CONCAT(MID(_xlpm.big,7,2),MID(_xlpm.big,5,2),MID(_xlpm.big,3,2),MID(_xlpm.big,1,2)))</f>
        <v>FEFFFFFF</v>
      </c>
      <c r="L195" s="2">
        <f t="shared" si="13"/>
        <v>0</v>
      </c>
      <c r="M195" s="2">
        <f t="shared" si="14"/>
        <v>0</v>
      </c>
      <c r="N195" s="2">
        <f t="shared" si="15"/>
        <v>0</v>
      </c>
      <c r="O195" s="2" cm="1">
        <f t="array" ref="O195">_xlfn.IFS(M195&lt;Data!$F$3,0,M195&lt;Data!$F$4,1,TRUE,2)</f>
        <v>0</v>
      </c>
      <c r="P195" s="2" cm="1">
        <f t="array" ref="P195">_xlfn.IFS(H195,3,N195&lt;Data!$F$3,0,N195&lt;Data!$F$4,1,TRUE,2)</f>
        <v>0</v>
      </c>
    </row>
    <row r="196" spans="4:16">
      <c r="D196" s="3"/>
      <c r="E196" s="3"/>
      <c r="F196" s="3"/>
      <c r="G196" s="2" t="str" cm="1">
        <f t="array" ref="G196">_xlfn.CONCAT(IFERROR(I196:K196,""))</f>
        <v>02000000FEFFFFFF</v>
      </c>
      <c r="I196" s="2" t="e">
        <f>_xlfn.LET(_xlpm.big,DEC2HEX(_xlfn.BITLSHIFT(M196-_xlfn.XLOOKUP(O196,Data!A:A,Data!F:F),4)+O196,8),_xlfn.CONCAT(MID(_xlpm.big,7,2),MID(_xlpm.big,5,2),MID(_xlpm.big,3,2),MID(_xlpm.big,1,2)))</f>
        <v>#NUM!</v>
      </c>
      <c r="J196" s="2" t="str">
        <f t="shared" si="12"/>
        <v>02000000</v>
      </c>
      <c r="K196" s="2" t="str">
        <f>_xlfn.LET(_xlpm.big,IF(H196,DEC2HEX(HEX2DEC(F196),8),DEC2HEX(N196-_xlfn.XLOOKUP(P196,Data!A:A,Data!F:F),8)),_xlfn.CONCAT(MID(_xlpm.big,7,2),MID(_xlpm.big,5,2),MID(_xlpm.big,3,2),MID(_xlpm.big,1,2)))</f>
        <v>FEFFFFFF</v>
      </c>
      <c r="L196" s="2">
        <f t="shared" si="13"/>
        <v>0</v>
      </c>
      <c r="M196" s="2">
        <f t="shared" si="14"/>
        <v>0</v>
      </c>
      <c r="N196" s="2">
        <f t="shared" si="15"/>
        <v>0</v>
      </c>
      <c r="O196" s="2" cm="1">
        <f t="array" ref="O196">_xlfn.IFS(M196&lt;Data!$F$3,0,M196&lt;Data!$F$4,1,TRUE,2)</f>
        <v>0</v>
      </c>
      <c r="P196" s="2" cm="1">
        <f t="array" ref="P196">_xlfn.IFS(H196,3,N196&lt;Data!$F$3,0,N196&lt;Data!$F$4,1,TRUE,2)</f>
        <v>0</v>
      </c>
    </row>
    <row r="197" spans="4:16">
      <c r="D197" s="3"/>
      <c r="E197" s="3"/>
      <c r="F197" s="3"/>
      <c r="G197" s="2" t="str" cm="1">
        <f t="array" ref="G197">_xlfn.CONCAT(IFERROR(I197:K197,""))</f>
        <v>02000000FEFFFFFF</v>
      </c>
      <c r="I197" s="2" t="e">
        <f>_xlfn.LET(_xlpm.big,DEC2HEX(_xlfn.BITLSHIFT(M197-_xlfn.XLOOKUP(O197,Data!A:A,Data!F:F),4)+O197,8),_xlfn.CONCAT(MID(_xlpm.big,7,2),MID(_xlpm.big,5,2),MID(_xlpm.big,3,2),MID(_xlpm.big,1,2)))</f>
        <v>#NUM!</v>
      </c>
      <c r="J197" s="2" t="str">
        <f t="shared" si="12"/>
        <v>02000000</v>
      </c>
      <c r="K197" s="2" t="str">
        <f>_xlfn.LET(_xlpm.big,IF(H197,DEC2HEX(HEX2DEC(F197),8),DEC2HEX(N197-_xlfn.XLOOKUP(P197,Data!A:A,Data!F:F),8)),_xlfn.CONCAT(MID(_xlpm.big,7,2),MID(_xlpm.big,5,2),MID(_xlpm.big,3,2),MID(_xlpm.big,1,2)))</f>
        <v>FEFFFFFF</v>
      </c>
      <c r="L197" s="2">
        <f t="shared" si="13"/>
        <v>0</v>
      </c>
      <c r="M197" s="2">
        <f t="shared" si="14"/>
        <v>0</v>
      </c>
      <c r="N197" s="2">
        <f t="shared" si="15"/>
        <v>0</v>
      </c>
      <c r="O197" s="2" cm="1">
        <f t="array" ref="O197">_xlfn.IFS(M197&lt;Data!$F$3,0,M197&lt;Data!$F$4,1,TRUE,2)</f>
        <v>0</v>
      </c>
      <c r="P197" s="2" cm="1">
        <f t="array" ref="P197">_xlfn.IFS(H197,3,N197&lt;Data!$F$3,0,N197&lt;Data!$F$4,1,TRUE,2)</f>
        <v>0</v>
      </c>
    </row>
    <row r="198" spans="4:16">
      <c r="D198" s="3"/>
      <c r="E198" s="3"/>
      <c r="F198" s="3"/>
      <c r="G198" s="2" t="str" cm="1">
        <f t="array" ref="G198">_xlfn.CONCAT(IFERROR(I198:K198,""))</f>
        <v>02000000FEFFFFFF</v>
      </c>
      <c r="I198" s="2" t="e">
        <f>_xlfn.LET(_xlpm.big,DEC2HEX(_xlfn.BITLSHIFT(M198-_xlfn.XLOOKUP(O198,Data!A:A,Data!F:F),4)+O198,8),_xlfn.CONCAT(MID(_xlpm.big,7,2),MID(_xlpm.big,5,2),MID(_xlpm.big,3,2),MID(_xlpm.big,1,2)))</f>
        <v>#NUM!</v>
      </c>
      <c r="J198" s="2" t="str">
        <f t="shared" si="12"/>
        <v>02000000</v>
      </c>
      <c r="K198" s="2" t="str">
        <f>_xlfn.LET(_xlpm.big,IF(H198,DEC2HEX(HEX2DEC(F198),8),DEC2HEX(N198-_xlfn.XLOOKUP(P198,Data!A:A,Data!F:F),8)),_xlfn.CONCAT(MID(_xlpm.big,7,2),MID(_xlpm.big,5,2),MID(_xlpm.big,3,2),MID(_xlpm.big,1,2)))</f>
        <v>FEFFFFFF</v>
      </c>
      <c r="L198" s="2">
        <f t="shared" si="13"/>
        <v>0</v>
      </c>
      <c r="M198" s="2">
        <f t="shared" si="14"/>
        <v>0</v>
      </c>
      <c r="N198" s="2">
        <f t="shared" si="15"/>
        <v>0</v>
      </c>
      <c r="O198" s="2" cm="1">
        <f t="array" ref="O198">_xlfn.IFS(M198&lt;Data!$F$3,0,M198&lt;Data!$F$4,1,TRUE,2)</f>
        <v>0</v>
      </c>
      <c r="P198" s="2" cm="1">
        <f t="array" ref="P198">_xlfn.IFS(H198,3,N198&lt;Data!$F$3,0,N198&lt;Data!$F$4,1,TRUE,2)</f>
        <v>0</v>
      </c>
    </row>
    <row r="199" spans="4:16">
      <c r="D199" s="3"/>
      <c r="E199" s="3"/>
      <c r="F199" s="3"/>
      <c r="G199" s="2" t="str" cm="1">
        <f t="array" ref="G199">_xlfn.CONCAT(IFERROR(I199:K199,""))</f>
        <v>02000000FEFFFFFF</v>
      </c>
      <c r="I199" s="2" t="e">
        <f>_xlfn.LET(_xlpm.big,DEC2HEX(_xlfn.BITLSHIFT(M199-_xlfn.XLOOKUP(O199,Data!A:A,Data!F:F),4)+O199,8),_xlfn.CONCAT(MID(_xlpm.big,7,2),MID(_xlpm.big,5,2),MID(_xlpm.big,3,2),MID(_xlpm.big,1,2)))</f>
        <v>#NUM!</v>
      </c>
      <c r="J199" s="2" t="str">
        <f t="shared" si="12"/>
        <v>02000000</v>
      </c>
      <c r="K199" s="2" t="str">
        <f>_xlfn.LET(_xlpm.big,IF(H199,DEC2HEX(HEX2DEC(F199),8),DEC2HEX(N199-_xlfn.XLOOKUP(P199,Data!A:A,Data!F:F),8)),_xlfn.CONCAT(MID(_xlpm.big,7,2),MID(_xlpm.big,5,2),MID(_xlpm.big,3,2),MID(_xlpm.big,1,2)))</f>
        <v>FEFFFFFF</v>
      </c>
      <c r="L199" s="2">
        <f t="shared" si="13"/>
        <v>0</v>
      </c>
      <c r="M199" s="2">
        <f t="shared" si="14"/>
        <v>0</v>
      </c>
      <c r="N199" s="2">
        <f t="shared" si="15"/>
        <v>0</v>
      </c>
      <c r="O199" s="2" cm="1">
        <f t="array" ref="O199">_xlfn.IFS(M199&lt;Data!$F$3,0,M199&lt;Data!$F$4,1,TRUE,2)</f>
        <v>0</v>
      </c>
      <c r="P199" s="2" cm="1">
        <f t="array" ref="P199">_xlfn.IFS(H199,3,N199&lt;Data!$F$3,0,N199&lt;Data!$F$4,1,TRUE,2)</f>
        <v>0</v>
      </c>
    </row>
    <row r="200" spans="4:16">
      <c r="D200" s="3"/>
      <c r="E200" s="3"/>
      <c r="F200" s="3"/>
      <c r="G200" s="2" t="str" cm="1">
        <f t="array" ref="G200">_xlfn.CONCAT(IFERROR(I200:K200,""))</f>
        <v>02000000FEFFFFFF</v>
      </c>
      <c r="I200" s="2" t="e">
        <f>_xlfn.LET(_xlpm.big,DEC2HEX(_xlfn.BITLSHIFT(M200-_xlfn.XLOOKUP(O200,Data!A:A,Data!F:F),4)+O200,8),_xlfn.CONCAT(MID(_xlpm.big,7,2),MID(_xlpm.big,5,2),MID(_xlpm.big,3,2),MID(_xlpm.big,1,2)))</f>
        <v>#NUM!</v>
      </c>
      <c r="J200" s="2" t="str">
        <f t="shared" si="12"/>
        <v>02000000</v>
      </c>
      <c r="K200" s="2" t="str">
        <f>_xlfn.LET(_xlpm.big,IF(H200,DEC2HEX(HEX2DEC(F200),8),DEC2HEX(N200-_xlfn.XLOOKUP(P200,Data!A:A,Data!F:F),8)),_xlfn.CONCAT(MID(_xlpm.big,7,2),MID(_xlpm.big,5,2),MID(_xlpm.big,3,2),MID(_xlpm.big,1,2)))</f>
        <v>FEFFFFFF</v>
      </c>
      <c r="L200" s="2">
        <f t="shared" si="13"/>
        <v>0</v>
      </c>
      <c r="M200" s="2">
        <f t="shared" si="14"/>
        <v>0</v>
      </c>
      <c r="N200" s="2">
        <f t="shared" si="15"/>
        <v>0</v>
      </c>
      <c r="O200" s="2" cm="1">
        <f t="array" ref="O200">_xlfn.IFS(M200&lt;Data!$F$3,0,M200&lt;Data!$F$4,1,TRUE,2)</f>
        <v>0</v>
      </c>
      <c r="P200" s="2" cm="1">
        <f t="array" ref="P200">_xlfn.IFS(H200,3,N200&lt;Data!$F$3,0,N200&lt;Data!$F$4,1,TRUE,2)</f>
        <v>0</v>
      </c>
    </row>
    <row r="201" spans="4:16">
      <c r="D201" s="3"/>
      <c r="E201" s="3"/>
      <c r="F201" s="3"/>
      <c r="G201" s="2" t="str" cm="1">
        <f t="array" ref="G201">_xlfn.CONCAT(IFERROR(I201:K201,""))</f>
        <v>02000000FEFFFFFF</v>
      </c>
      <c r="I201" s="2" t="e">
        <f>_xlfn.LET(_xlpm.big,DEC2HEX(_xlfn.BITLSHIFT(M201-_xlfn.XLOOKUP(O201,Data!A:A,Data!F:F),4)+O201,8),_xlfn.CONCAT(MID(_xlpm.big,7,2),MID(_xlpm.big,5,2),MID(_xlpm.big,3,2),MID(_xlpm.big,1,2)))</f>
        <v>#NUM!</v>
      </c>
      <c r="J201" s="2" t="str">
        <f t="shared" si="12"/>
        <v>02000000</v>
      </c>
      <c r="K201" s="2" t="str">
        <f>_xlfn.LET(_xlpm.big,IF(H201,DEC2HEX(HEX2DEC(F201),8),DEC2HEX(N201-_xlfn.XLOOKUP(P201,Data!A:A,Data!F:F),8)),_xlfn.CONCAT(MID(_xlpm.big,7,2),MID(_xlpm.big,5,2),MID(_xlpm.big,3,2),MID(_xlpm.big,1,2)))</f>
        <v>FEFFFFFF</v>
      </c>
      <c r="L201" s="2">
        <f t="shared" si="13"/>
        <v>0</v>
      </c>
      <c r="M201" s="2">
        <f t="shared" si="14"/>
        <v>0</v>
      </c>
      <c r="N201" s="2">
        <f t="shared" si="15"/>
        <v>0</v>
      </c>
      <c r="O201" s="2" cm="1">
        <f t="array" ref="O201">_xlfn.IFS(M201&lt;Data!$F$3,0,M201&lt;Data!$F$4,1,TRUE,2)</f>
        <v>0</v>
      </c>
      <c r="P201" s="2" cm="1">
        <f t="array" ref="P201">_xlfn.IFS(H201,3,N201&lt;Data!$F$3,0,N201&lt;Data!$F$4,1,TRUE,2)</f>
        <v>0</v>
      </c>
    </row>
    <row r="202" spans="4:16">
      <c r="D202" s="3"/>
      <c r="E202" s="3"/>
      <c r="F202" s="3"/>
      <c r="G202" s="2" t="str" cm="1">
        <f t="array" ref="G202">_xlfn.CONCAT(IFERROR(I202:K202,""))</f>
        <v>02000000FEFFFFFF</v>
      </c>
      <c r="I202" s="2" t="e">
        <f>_xlfn.LET(_xlpm.big,DEC2HEX(_xlfn.BITLSHIFT(M202-_xlfn.XLOOKUP(O202,Data!A:A,Data!F:F),4)+O202,8),_xlfn.CONCAT(MID(_xlpm.big,7,2),MID(_xlpm.big,5,2),MID(_xlpm.big,3,2),MID(_xlpm.big,1,2)))</f>
        <v>#NUM!</v>
      </c>
      <c r="J202" s="2" t="str">
        <f t="shared" si="12"/>
        <v>02000000</v>
      </c>
      <c r="K202" s="2" t="str">
        <f>_xlfn.LET(_xlpm.big,IF(H202,DEC2HEX(HEX2DEC(F202),8),DEC2HEX(N202-_xlfn.XLOOKUP(P202,Data!A:A,Data!F:F),8)),_xlfn.CONCAT(MID(_xlpm.big,7,2),MID(_xlpm.big,5,2),MID(_xlpm.big,3,2),MID(_xlpm.big,1,2)))</f>
        <v>FEFFFFFF</v>
      </c>
      <c r="L202" s="2">
        <f t="shared" si="13"/>
        <v>0</v>
      </c>
      <c r="M202" s="2">
        <f t="shared" si="14"/>
        <v>0</v>
      </c>
      <c r="N202" s="2">
        <f t="shared" si="15"/>
        <v>0</v>
      </c>
      <c r="O202" s="2" cm="1">
        <f t="array" ref="O202">_xlfn.IFS(M202&lt;Data!$F$3,0,M202&lt;Data!$F$4,1,TRUE,2)</f>
        <v>0</v>
      </c>
      <c r="P202" s="2" cm="1">
        <f t="array" ref="P202">_xlfn.IFS(H202,3,N202&lt;Data!$F$3,0,N202&lt;Data!$F$4,1,TRUE,2)</f>
        <v>0</v>
      </c>
    </row>
    <row r="203" spans="4:16">
      <c r="D203" s="3"/>
      <c r="E203" s="3"/>
      <c r="F203" s="3"/>
      <c r="G203" s="2" t="str" cm="1">
        <f t="array" ref="G203">_xlfn.CONCAT(IFERROR(I203:K203,""))</f>
        <v>02000000FEFFFFFF</v>
      </c>
      <c r="I203" s="2" t="e">
        <f>_xlfn.LET(_xlpm.big,DEC2HEX(_xlfn.BITLSHIFT(M203-_xlfn.XLOOKUP(O203,Data!A:A,Data!F:F),4)+O203,8),_xlfn.CONCAT(MID(_xlpm.big,7,2),MID(_xlpm.big,5,2),MID(_xlpm.big,3,2),MID(_xlpm.big,1,2)))</f>
        <v>#NUM!</v>
      </c>
      <c r="J203" s="2" t="str">
        <f t="shared" si="12"/>
        <v>02000000</v>
      </c>
      <c r="K203" s="2" t="str">
        <f>_xlfn.LET(_xlpm.big,IF(H203,DEC2HEX(HEX2DEC(F203),8),DEC2HEX(N203-_xlfn.XLOOKUP(P203,Data!A:A,Data!F:F),8)),_xlfn.CONCAT(MID(_xlpm.big,7,2),MID(_xlpm.big,5,2),MID(_xlpm.big,3,2),MID(_xlpm.big,1,2)))</f>
        <v>FEFFFFFF</v>
      </c>
      <c r="L203" s="2">
        <f t="shared" si="13"/>
        <v>0</v>
      </c>
      <c r="M203" s="2">
        <f t="shared" si="14"/>
        <v>0</v>
      </c>
      <c r="N203" s="2">
        <f t="shared" si="15"/>
        <v>0</v>
      </c>
      <c r="O203" s="2" cm="1">
        <f t="array" ref="O203">_xlfn.IFS(M203&lt;Data!$F$3,0,M203&lt;Data!$F$4,1,TRUE,2)</f>
        <v>0</v>
      </c>
      <c r="P203" s="2" cm="1">
        <f t="array" ref="P203">_xlfn.IFS(H203,3,N203&lt;Data!$F$3,0,N203&lt;Data!$F$4,1,TRUE,2)</f>
        <v>0</v>
      </c>
    </row>
    <row r="204" spans="4:16">
      <c r="D204" s="3"/>
      <c r="E204" s="3"/>
      <c r="F204" s="3"/>
      <c r="G204" s="2" t="str" cm="1">
        <f t="array" ref="G204">_xlfn.CONCAT(IFERROR(I204:K204,""))</f>
        <v>02000000FEFFFFFF</v>
      </c>
      <c r="I204" s="2" t="e">
        <f>_xlfn.LET(_xlpm.big,DEC2HEX(_xlfn.BITLSHIFT(M204-_xlfn.XLOOKUP(O204,Data!A:A,Data!F:F),4)+O204,8),_xlfn.CONCAT(MID(_xlpm.big,7,2),MID(_xlpm.big,5,2),MID(_xlpm.big,3,2),MID(_xlpm.big,1,2)))</f>
        <v>#NUM!</v>
      </c>
      <c r="J204" s="2" t="str">
        <f t="shared" si="12"/>
        <v>02000000</v>
      </c>
      <c r="K204" s="2" t="str">
        <f>_xlfn.LET(_xlpm.big,IF(H204,DEC2HEX(HEX2DEC(F204),8),DEC2HEX(N204-_xlfn.XLOOKUP(P204,Data!A:A,Data!F:F),8)),_xlfn.CONCAT(MID(_xlpm.big,7,2),MID(_xlpm.big,5,2),MID(_xlpm.big,3,2),MID(_xlpm.big,1,2)))</f>
        <v>FEFFFFFF</v>
      </c>
      <c r="L204" s="2">
        <f t="shared" si="13"/>
        <v>0</v>
      </c>
      <c r="M204" s="2">
        <f t="shared" si="14"/>
        <v>0</v>
      </c>
      <c r="N204" s="2">
        <f t="shared" si="15"/>
        <v>0</v>
      </c>
      <c r="O204" s="2" cm="1">
        <f t="array" ref="O204">_xlfn.IFS(M204&lt;Data!$F$3,0,M204&lt;Data!$F$4,1,TRUE,2)</f>
        <v>0</v>
      </c>
      <c r="P204" s="2" cm="1">
        <f t="array" ref="P204">_xlfn.IFS(H204,3,N204&lt;Data!$F$3,0,N204&lt;Data!$F$4,1,TRUE,2)</f>
        <v>0</v>
      </c>
    </row>
    <row r="205" spans="4:16">
      <c r="D205" s="3"/>
      <c r="E205" s="3"/>
      <c r="F205" s="3"/>
      <c r="G205" s="2" t="str" cm="1">
        <f t="array" ref="G205">_xlfn.CONCAT(IFERROR(I205:K205,""))</f>
        <v>02000000FEFFFFFF</v>
      </c>
      <c r="I205" s="2" t="e">
        <f>_xlfn.LET(_xlpm.big,DEC2HEX(_xlfn.BITLSHIFT(M205-_xlfn.XLOOKUP(O205,Data!A:A,Data!F:F),4)+O205,8),_xlfn.CONCAT(MID(_xlpm.big,7,2),MID(_xlpm.big,5,2),MID(_xlpm.big,3,2),MID(_xlpm.big,1,2)))</f>
        <v>#NUM!</v>
      </c>
      <c r="J205" s="2" t="str">
        <f t="shared" si="12"/>
        <v>02000000</v>
      </c>
      <c r="K205" s="2" t="str">
        <f>_xlfn.LET(_xlpm.big,IF(H205,DEC2HEX(HEX2DEC(F205),8),DEC2HEX(N205-_xlfn.XLOOKUP(P205,Data!A:A,Data!F:F),8)),_xlfn.CONCAT(MID(_xlpm.big,7,2),MID(_xlpm.big,5,2),MID(_xlpm.big,3,2),MID(_xlpm.big,1,2)))</f>
        <v>FEFFFFFF</v>
      </c>
      <c r="L205" s="2">
        <f t="shared" si="13"/>
        <v>0</v>
      </c>
      <c r="M205" s="2">
        <f t="shared" si="14"/>
        <v>0</v>
      </c>
      <c r="N205" s="2">
        <f t="shared" si="15"/>
        <v>0</v>
      </c>
      <c r="O205" s="2" cm="1">
        <f t="array" ref="O205">_xlfn.IFS(M205&lt;Data!$F$3,0,M205&lt;Data!$F$4,1,TRUE,2)</f>
        <v>0</v>
      </c>
      <c r="P205" s="2" cm="1">
        <f t="array" ref="P205">_xlfn.IFS(H205,3,N205&lt;Data!$F$3,0,N205&lt;Data!$F$4,1,TRUE,2)</f>
        <v>0</v>
      </c>
    </row>
    <row r="206" spans="4:16">
      <c r="D206" s="3"/>
      <c r="E206" s="3"/>
      <c r="F206" s="3"/>
      <c r="G206" s="2" t="str" cm="1">
        <f t="array" ref="G206">_xlfn.CONCAT(IFERROR(I206:K206,""))</f>
        <v>02000000FEFFFFFF</v>
      </c>
      <c r="I206" s="2" t="e">
        <f>_xlfn.LET(_xlpm.big,DEC2HEX(_xlfn.BITLSHIFT(M206-_xlfn.XLOOKUP(O206,Data!A:A,Data!F:F),4)+O206,8),_xlfn.CONCAT(MID(_xlpm.big,7,2),MID(_xlpm.big,5,2),MID(_xlpm.big,3,2),MID(_xlpm.big,1,2)))</f>
        <v>#NUM!</v>
      </c>
      <c r="J206" s="2" t="str">
        <f t="shared" si="12"/>
        <v>02000000</v>
      </c>
      <c r="K206" s="2" t="str">
        <f>_xlfn.LET(_xlpm.big,IF(H206,DEC2HEX(HEX2DEC(F206),8),DEC2HEX(N206-_xlfn.XLOOKUP(P206,Data!A:A,Data!F:F),8)),_xlfn.CONCAT(MID(_xlpm.big,7,2),MID(_xlpm.big,5,2),MID(_xlpm.big,3,2),MID(_xlpm.big,1,2)))</f>
        <v>FEFFFFFF</v>
      </c>
      <c r="L206" s="2">
        <f t="shared" si="13"/>
        <v>0</v>
      </c>
      <c r="M206" s="2">
        <f t="shared" si="14"/>
        <v>0</v>
      </c>
      <c r="N206" s="2">
        <f t="shared" si="15"/>
        <v>0</v>
      </c>
      <c r="O206" s="2" cm="1">
        <f t="array" ref="O206">_xlfn.IFS(M206&lt;Data!$F$3,0,M206&lt;Data!$F$4,1,TRUE,2)</f>
        <v>0</v>
      </c>
      <c r="P206" s="2" cm="1">
        <f t="array" ref="P206">_xlfn.IFS(H206,3,N206&lt;Data!$F$3,0,N206&lt;Data!$F$4,1,TRUE,2)</f>
        <v>0</v>
      </c>
    </row>
    <row r="207" spans="4:16">
      <c r="D207" s="3"/>
      <c r="E207" s="3"/>
      <c r="F207" s="3"/>
      <c r="G207" s="2" t="str" cm="1">
        <f t="array" ref="G207">_xlfn.CONCAT(IFERROR(I207:K207,""))</f>
        <v>02000000FEFFFFFF</v>
      </c>
      <c r="I207" s="2" t="e">
        <f>_xlfn.LET(_xlpm.big,DEC2HEX(_xlfn.BITLSHIFT(M207-_xlfn.XLOOKUP(O207,Data!A:A,Data!F:F),4)+O207,8),_xlfn.CONCAT(MID(_xlpm.big,7,2),MID(_xlpm.big,5,2),MID(_xlpm.big,3,2),MID(_xlpm.big,1,2)))</f>
        <v>#NUM!</v>
      </c>
      <c r="J207" s="2" t="str">
        <f t="shared" si="12"/>
        <v>02000000</v>
      </c>
      <c r="K207" s="2" t="str">
        <f>_xlfn.LET(_xlpm.big,IF(H207,DEC2HEX(HEX2DEC(F207),8),DEC2HEX(N207-_xlfn.XLOOKUP(P207,Data!A:A,Data!F:F),8)),_xlfn.CONCAT(MID(_xlpm.big,7,2),MID(_xlpm.big,5,2),MID(_xlpm.big,3,2),MID(_xlpm.big,1,2)))</f>
        <v>FEFFFFFF</v>
      </c>
      <c r="L207" s="2">
        <f t="shared" si="13"/>
        <v>0</v>
      </c>
      <c r="M207" s="2">
        <f t="shared" si="14"/>
        <v>0</v>
      </c>
      <c r="N207" s="2">
        <f t="shared" si="15"/>
        <v>0</v>
      </c>
      <c r="O207" s="2" cm="1">
        <f t="array" ref="O207">_xlfn.IFS(M207&lt;Data!$F$3,0,M207&lt;Data!$F$4,1,TRUE,2)</f>
        <v>0</v>
      </c>
      <c r="P207" s="2" cm="1">
        <f t="array" ref="P207">_xlfn.IFS(H207,3,N207&lt;Data!$F$3,0,N207&lt;Data!$F$4,1,TRUE,2)</f>
        <v>0</v>
      </c>
    </row>
    <row r="208" spans="4:16">
      <c r="D208" s="3"/>
      <c r="E208" s="3"/>
      <c r="F208" s="3"/>
      <c r="G208" s="2" t="str" cm="1">
        <f t="array" ref="G208">_xlfn.CONCAT(IFERROR(I208:K208,""))</f>
        <v>02000000FEFFFFFF</v>
      </c>
      <c r="I208" s="2" t="e">
        <f>_xlfn.LET(_xlpm.big,DEC2HEX(_xlfn.BITLSHIFT(M208-_xlfn.XLOOKUP(O208,Data!A:A,Data!F:F),4)+O208,8),_xlfn.CONCAT(MID(_xlpm.big,7,2),MID(_xlpm.big,5,2),MID(_xlpm.big,3,2),MID(_xlpm.big,1,2)))</f>
        <v>#NUM!</v>
      </c>
      <c r="J208" s="2" t="str">
        <f t="shared" si="12"/>
        <v>02000000</v>
      </c>
      <c r="K208" s="2" t="str">
        <f>_xlfn.LET(_xlpm.big,IF(H208,DEC2HEX(HEX2DEC(F208),8),DEC2HEX(N208-_xlfn.XLOOKUP(P208,Data!A:A,Data!F:F),8)),_xlfn.CONCAT(MID(_xlpm.big,7,2),MID(_xlpm.big,5,2),MID(_xlpm.big,3,2),MID(_xlpm.big,1,2)))</f>
        <v>FEFFFFFF</v>
      </c>
      <c r="L208" s="2">
        <f t="shared" si="13"/>
        <v>0</v>
      </c>
      <c r="M208" s="2">
        <f t="shared" si="14"/>
        <v>0</v>
      </c>
      <c r="N208" s="2">
        <f t="shared" si="15"/>
        <v>0</v>
      </c>
      <c r="O208" s="2" cm="1">
        <f t="array" ref="O208">_xlfn.IFS(M208&lt;Data!$F$3,0,M208&lt;Data!$F$4,1,TRUE,2)</f>
        <v>0</v>
      </c>
      <c r="P208" s="2" cm="1">
        <f t="array" ref="P208">_xlfn.IFS(H208,3,N208&lt;Data!$F$3,0,N208&lt;Data!$F$4,1,TRUE,2)</f>
        <v>0</v>
      </c>
    </row>
    <row r="209" spans="4:16">
      <c r="D209" s="3"/>
      <c r="E209" s="3"/>
      <c r="F209" s="3"/>
      <c r="G209" s="2" t="str" cm="1">
        <f t="array" ref="G209">_xlfn.CONCAT(IFERROR(I209:K209,""))</f>
        <v>02000000FEFFFFFF</v>
      </c>
      <c r="I209" s="2" t="e">
        <f>_xlfn.LET(_xlpm.big,DEC2HEX(_xlfn.BITLSHIFT(M209-_xlfn.XLOOKUP(O209,Data!A:A,Data!F:F),4)+O209,8),_xlfn.CONCAT(MID(_xlpm.big,7,2),MID(_xlpm.big,5,2),MID(_xlpm.big,3,2),MID(_xlpm.big,1,2)))</f>
        <v>#NUM!</v>
      </c>
      <c r="J209" s="2" t="str">
        <f t="shared" si="12"/>
        <v>02000000</v>
      </c>
      <c r="K209" s="2" t="str">
        <f>_xlfn.LET(_xlpm.big,IF(H209,DEC2HEX(HEX2DEC(F209),8),DEC2HEX(N209-_xlfn.XLOOKUP(P209,Data!A:A,Data!F:F),8)),_xlfn.CONCAT(MID(_xlpm.big,7,2),MID(_xlpm.big,5,2),MID(_xlpm.big,3,2),MID(_xlpm.big,1,2)))</f>
        <v>FEFFFFFF</v>
      </c>
      <c r="L209" s="2">
        <f t="shared" si="13"/>
        <v>0</v>
      </c>
      <c r="M209" s="2">
        <f t="shared" si="14"/>
        <v>0</v>
      </c>
      <c r="N209" s="2">
        <f t="shared" si="15"/>
        <v>0</v>
      </c>
      <c r="O209" s="2" cm="1">
        <f t="array" ref="O209">_xlfn.IFS(M209&lt;Data!$F$3,0,M209&lt;Data!$F$4,1,TRUE,2)</f>
        <v>0</v>
      </c>
      <c r="P209" s="2" cm="1">
        <f t="array" ref="P209">_xlfn.IFS(H209,3,N209&lt;Data!$F$3,0,N209&lt;Data!$F$4,1,TRUE,2)</f>
        <v>0</v>
      </c>
    </row>
    <row r="210" spans="4:16">
      <c r="D210" s="3"/>
      <c r="E210" s="3"/>
      <c r="F210" s="3"/>
      <c r="G210" s="2" t="str" cm="1">
        <f t="array" ref="G210">_xlfn.CONCAT(IFERROR(I210:K210,""))</f>
        <v>02000000FEFFFFFF</v>
      </c>
      <c r="I210" s="2" t="e">
        <f>_xlfn.LET(_xlpm.big,DEC2HEX(_xlfn.BITLSHIFT(M210-_xlfn.XLOOKUP(O210,Data!A:A,Data!F:F),4)+O210,8),_xlfn.CONCAT(MID(_xlpm.big,7,2),MID(_xlpm.big,5,2),MID(_xlpm.big,3,2),MID(_xlpm.big,1,2)))</f>
        <v>#NUM!</v>
      </c>
      <c r="J210" s="2" t="str">
        <f t="shared" si="12"/>
        <v>02000000</v>
      </c>
      <c r="K210" s="2" t="str">
        <f>_xlfn.LET(_xlpm.big,IF(H210,DEC2HEX(HEX2DEC(F210),8),DEC2HEX(N210-_xlfn.XLOOKUP(P210,Data!A:A,Data!F:F),8)),_xlfn.CONCAT(MID(_xlpm.big,7,2),MID(_xlpm.big,5,2),MID(_xlpm.big,3,2),MID(_xlpm.big,1,2)))</f>
        <v>FEFFFFFF</v>
      </c>
      <c r="L210" s="2">
        <f t="shared" si="13"/>
        <v>0</v>
      </c>
      <c r="M210" s="2">
        <f t="shared" si="14"/>
        <v>0</v>
      </c>
      <c r="N210" s="2">
        <f t="shared" si="15"/>
        <v>0</v>
      </c>
      <c r="O210" s="2" cm="1">
        <f t="array" ref="O210">_xlfn.IFS(M210&lt;Data!$F$3,0,M210&lt;Data!$F$4,1,TRUE,2)</f>
        <v>0</v>
      </c>
      <c r="P210" s="2" cm="1">
        <f t="array" ref="P210">_xlfn.IFS(H210,3,N210&lt;Data!$F$3,0,N210&lt;Data!$F$4,1,TRUE,2)</f>
        <v>0</v>
      </c>
    </row>
    <row r="211" spans="4:16">
      <c r="D211" s="3"/>
      <c r="E211" s="3"/>
      <c r="F211" s="3"/>
      <c r="G211" s="2" t="str" cm="1">
        <f t="array" ref="G211">_xlfn.CONCAT(IFERROR(I211:K211,""))</f>
        <v>02000000FEFFFFFF</v>
      </c>
      <c r="I211" s="2" t="e">
        <f>_xlfn.LET(_xlpm.big,DEC2HEX(_xlfn.BITLSHIFT(M211-_xlfn.XLOOKUP(O211,Data!A:A,Data!F:F),4)+O211,8),_xlfn.CONCAT(MID(_xlpm.big,7,2),MID(_xlpm.big,5,2),MID(_xlpm.big,3,2),MID(_xlpm.big,1,2)))</f>
        <v>#NUM!</v>
      </c>
      <c r="J211" s="2" t="str">
        <f t="shared" si="12"/>
        <v>02000000</v>
      </c>
      <c r="K211" s="2" t="str">
        <f>_xlfn.LET(_xlpm.big,IF(H211,DEC2HEX(HEX2DEC(F211),8),DEC2HEX(N211-_xlfn.XLOOKUP(P211,Data!A:A,Data!F:F),8)),_xlfn.CONCAT(MID(_xlpm.big,7,2),MID(_xlpm.big,5,2),MID(_xlpm.big,3,2),MID(_xlpm.big,1,2)))</f>
        <v>FEFFFFFF</v>
      </c>
      <c r="L211" s="2">
        <f t="shared" si="13"/>
        <v>0</v>
      </c>
      <c r="M211" s="2">
        <f t="shared" si="14"/>
        <v>0</v>
      </c>
      <c r="N211" s="2">
        <f t="shared" si="15"/>
        <v>0</v>
      </c>
      <c r="O211" s="2" cm="1">
        <f t="array" ref="O211">_xlfn.IFS(M211&lt;Data!$F$3,0,M211&lt;Data!$F$4,1,TRUE,2)</f>
        <v>0</v>
      </c>
      <c r="P211" s="2" cm="1">
        <f t="array" ref="P211">_xlfn.IFS(H211,3,N211&lt;Data!$F$3,0,N211&lt;Data!$F$4,1,TRUE,2)</f>
        <v>0</v>
      </c>
    </row>
    <row r="212" spans="4:16">
      <c r="D212" s="3"/>
      <c r="E212" s="3"/>
      <c r="F212" s="3"/>
      <c r="G212" s="2" t="str" cm="1">
        <f t="array" ref="G212">_xlfn.CONCAT(IFERROR(I212:K212,""))</f>
        <v>02000000FEFFFFFF</v>
      </c>
      <c r="I212" s="2" t="e">
        <f>_xlfn.LET(_xlpm.big,DEC2HEX(_xlfn.BITLSHIFT(M212-_xlfn.XLOOKUP(O212,Data!A:A,Data!F:F),4)+O212,8),_xlfn.CONCAT(MID(_xlpm.big,7,2),MID(_xlpm.big,5,2),MID(_xlpm.big,3,2),MID(_xlpm.big,1,2)))</f>
        <v>#NUM!</v>
      </c>
      <c r="J212" s="2" t="str">
        <f t="shared" si="12"/>
        <v>02000000</v>
      </c>
      <c r="K212" s="2" t="str">
        <f>_xlfn.LET(_xlpm.big,IF(H212,DEC2HEX(HEX2DEC(F212),8),DEC2HEX(N212-_xlfn.XLOOKUP(P212,Data!A:A,Data!F:F),8)),_xlfn.CONCAT(MID(_xlpm.big,7,2),MID(_xlpm.big,5,2),MID(_xlpm.big,3,2),MID(_xlpm.big,1,2)))</f>
        <v>FEFFFFFF</v>
      </c>
      <c r="L212" s="2">
        <f t="shared" si="13"/>
        <v>0</v>
      </c>
      <c r="M212" s="2">
        <f t="shared" si="14"/>
        <v>0</v>
      </c>
      <c r="N212" s="2">
        <f t="shared" si="15"/>
        <v>0</v>
      </c>
      <c r="O212" s="2" cm="1">
        <f t="array" ref="O212">_xlfn.IFS(M212&lt;Data!$F$3,0,M212&lt;Data!$F$4,1,TRUE,2)</f>
        <v>0</v>
      </c>
      <c r="P212" s="2" cm="1">
        <f t="array" ref="P212">_xlfn.IFS(H212,3,N212&lt;Data!$F$3,0,N212&lt;Data!$F$4,1,TRUE,2)</f>
        <v>0</v>
      </c>
    </row>
    <row r="213" spans="4:16">
      <c r="D213" s="3"/>
      <c r="E213" s="3"/>
      <c r="F213" s="3"/>
      <c r="G213" s="2" t="str" cm="1">
        <f t="array" ref="G213">_xlfn.CONCAT(IFERROR(I213:K213,""))</f>
        <v>02000000FEFFFFFF</v>
      </c>
      <c r="I213" s="2" t="e">
        <f>_xlfn.LET(_xlpm.big,DEC2HEX(_xlfn.BITLSHIFT(M213-_xlfn.XLOOKUP(O213,Data!A:A,Data!F:F),4)+O213,8),_xlfn.CONCAT(MID(_xlpm.big,7,2),MID(_xlpm.big,5,2),MID(_xlpm.big,3,2),MID(_xlpm.big,1,2)))</f>
        <v>#NUM!</v>
      </c>
      <c r="J213" s="2" t="str">
        <f t="shared" si="12"/>
        <v>02000000</v>
      </c>
      <c r="K213" s="2" t="str">
        <f>_xlfn.LET(_xlpm.big,IF(H213,DEC2HEX(HEX2DEC(F213),8),DEC2HEX(N213-_xlfn.XLOOKUP(P213,Data!A:A,Data!F:F),8)),_xlfn.CONCAT(MID(_xlpm.big,7,2),MID(_xlpm.big,5,2),MID(_xlpm.big,3,2),MID(_xlpm.big,1,2)))</f>
        <v>FEFFFFFF</v>
      </c>
      <c r="L213" s="2">
        <f t="shared" si="13"/>
        <v>0</v>
      </c>
      <c r="M213" s="2">
        <f t="shared" si="14"/>
        <v>0</v>
      </c>
      <c r="N213" s="2">
        <f t="shared" si="15"/>
        <v>0</v>
      </c>
      <c r="O213" s="2" cm="1">
        <f t="array" ref="O213">_xlfn.IFS(M213&lt;Data!$F$3,0,M213&lt;Data!$F$4,1,TRUE,2)</f>
        <v>0</v>
      </c>
      <c r="P213" s="2" cm="1">
        <f t="array" ref="P213">_xlfn.IFS(H213,3,N213&lt;Data!$F$3,0,N213&lt;Data!$F$4,1,TRUE,2)</f>
        <v>0</v>
      </c>
    </row>
    <row r="214" spans="4:16">
      <c r="D214" s="3"/>
      <c r="E214" s="3"/>
      <c r="F214" s="3"/>
      <c r="G214" s="2" t="str" cm="1">
        <f t="array" ref="G214">_xlfn.CONCAT(IFERROR(I214:K214,""))</f>
        <v>02000000FEFFFFFF</v>
      </c>
      <c r="I214" s="2" t="e">
        <f>_xlfn.LET(_xlpm.big,DEC2HEX(_xlfn.BITLSHIFT(M214-_xlfn.XLOOKUP(O214,Data!A:A,Data!F:F),4)+O214,8),_xlfn.CONCAT(MID(_xlpm.big,7,2),MID(_xlpm.big,5,2),MID(_xlpm.big,3,2),MID(_xlpm.big,1,2)))</f>
        <v>#NUM!</v>
      </c>
      <c r="J214" s="2" t="str">
        <f t="shared" si="12"/>
        <v>02000000</v>
      </c>
      <c r="K214" s="2" t="str">
        <f>_xlfn.LET(_xlpm.big,IF(H214,DEC2HEX(HEX2DEC(F214),8),DEC2HEX(N214-_xlfn.XLOOKUP(P214,Data!A:A,Data!F:F),8)),_xlfn.CONCAT(MID(_xlpm.big,7,2),MID(_xlpm.big,5,2),MID(_xlpm.big,3,2),MID(_xlpm.big,1,2)))</f>
        <v>FEFFFFFF</v>
      </c>
      <c r="L214" s="2">
        <f t="shared" si="13"/>
        <v>0</v>
      </c>
      <c r="M214" s="2">
        <f t="shared" si="14"/>
        <v>0</v>
      </c>
      <c r="N214" s="2">
        <f t="shared" si="15"/>
        <v>0</v>
      </c>
      <c r="O214" s="2" cm="1">
        <f t="array" ref="O214">_xlfn.IFS(M214&lt;Data!$F$3,0,M214&lt;Data!$F$4,1,TRUE,2)</f>
        <v>0</v>
      </c>
      <c r="P214" s="2" cm="1">
        <f t="array" ref="P214">_xlfn.IFS(H214,3,N214&lt;Data!$F$3,0,N214&lt;Data!$F$4,1,TRUE,2)</f>
        <v>0</v>
      </c>
    </row>
    <row r="215" spans="4:16">
      <c r="D215" s="3"/>
      <c r="E215" s="3"/>
      <c r="F215" s="3"/>
      <c r="G215" s="2" t="str" cm="1">
        <f t="array" ref="G215">_xlfn.CONCAT(IFERROR(I215:K215,""))</f>
        <v>02000000FEFFFFFF</v>
      </c>
      <c r="I215" s="2" t="e">
        <f>_xlfn.LET(_xlpm.big,DEC2HEX(_xlfn.BITLSHIFT(M215-_xlfn.XLOOKUP(O215,Data!A:A,Data!F:F),4)+O215,8),_xlfn.CONCAT(MID(_xlpm.big,7,2),MID(_xlpm.big,5,2),MID(_xlpm.big,3,2),MID(_xlpm.big,1,2)))</f>
        <v>#NUM!</v>
      </c>
      <c r="J215" s="2" t="str">
        <f t="shared" si="12"/>
        <v>02000000</v>
      </c>
      <c r="K215" s="2" t="str">
        <f>_xlfn.LET(_xlpm.big,IF(H215,DEC2HEX(HEX2DEC(F215),8),DEC2HEX(N215-_xlfn.XLOOKUP(P215,Data!A:A,Data!F:F),8)),_xlfn.CONCAT(MID(_xlpm.big,7,2),MID(_xlpm.big,5,2),MID(_xlpm.big,3,2),MID(_xlpm.big,1,2)))</f>
        <v>FEFFFFFF</v>
      </c>
      <c r="L215" s="2">
        <f t="shared" si="13"/>
        <v>0</v>
      </c>
      <c r="M215" s="2">
        <f t="shared" si="14"/>
        <v>0</v>
      </c>
      <c r="N215" s="2">
        <f t="shared" si="15"/>
        <v>0</v>
      </c>
      <c r="O215" s="2" cm="1">
        <f t="array" ref="O215">_xlfn.IFS(M215&lt;Data!$F$3,0,M215&lt;Data!$F$4,1,TRUE,2)</f>
        <v>0</v>
      </c>
      <c r="P215" s="2" cm="1">
        <f t="array" ref="P215">_xlfn.IFS(H215,3,N215&lt;Data!$F$3,0,N215&lt;Data!$F$4,1,TRUE,2)</f>
        <v>0</v>
      </c>
    </row>
    <row r="216" spans="4:16">
      <c r="D216" s="3"/>
      <c r="E216" s="3"/>
      <c r="F216" s="3"/>
      <c r="G216" s="2" t="str" cm="1">
        <f t="array" ref="G216">_xlfn.CONCAT(IFERROR(I216:K216,""))</f>
        <v>02000000FEFFFFFF</v>
      </c>
      <c r="I216" s="2" t="e">
        <f>_xlfn.LET(_xlpm.big,DEC2HEX(_xlfn.BITLSHIFT(M216-_xlfn.XLOOKUP(O216,Data!A:A,Data!F:F),4)+O216,8),_xlfn.CONCAT(MID(_xlpm.big,7,2),MID(_xlpm.big,5,2),MID(_xlpm.big,3,2),MID(_xlpm.big,1,2)))</f>
        <v>#NUM!</v>
      </c>
      <c r="J216" s="2" t="str">
        <f t="shared" si="12"/>
        <v>02000000</v>
      </c>
      <c r="K216" s="2" t="str">
        <f>_xlfn.LET(_xlpm.big,IF(H216,DEC2HEX(HEX2DEC(F216),8),DEC2HEX(N216-_xlfn.XLOOKUP(P216,Data!A:A,Data!F:F),8)),_xlfn.CONCAT(MID(_xlpm.big,7,2),MID(_xlpm.big,5,2),MID(_xlpm.big,3,2),MID(_xlpm.big,1,2)))</f>
        <v>FEFFFFFF</v>
      </c>
      <c r="L216" s="2">
        <f t="shared" si="13"/>
        <v>0</v>
      </c>
      <c r="M216" s="2">
        <f t="shared" si="14"/>
        <v>0</v>
      </c>
      <c r="N216" s="2">
        <f t="shared" si="15"/>
        <v>0</v>
      </c>
      <c r="O216" s="2" cm="1">
        <f t="array" ref="O216">_xlfn.IFS(M216&lt;Data!$F$3,0,M216&lt;Data!$F$4,1,TRUE,2)</f>
        <v>0</v>
      </c>
      <c r="P216" s="2" cm="1">
        <f t="array" ref="P216">_xlfn.IFS(H216,3,N216&lt;Data!$F$3,0,N216&lt;Data!$F$4,1,TRUE,2)</f>
        <v>0</v>
      </c>
    </row>
    <row r="217" spans="4:16">
      <c r="D217" s="3"/>
      <c r="E217" s="3"/>
      <c r="F217" s="3"/>
      <c r="G217" s="2" t="str" cm="1">
        <f t="array" ref="G217">_xlfn.CONCAT(IFERROR(I217:K217,""))</f>
        <v>02000000FEFFFFFF</v>
      </c>
      <c r="I217" s="2" t="e">
        <f>_xlfn.LET(_xlpm.big,DEC2HEX(_xlfn.BITLSHIFT(M217-_xlfn.XLOOKUP(O217,Data!A:A,Data!F:F),4)+O217,8),_xlfn.CONCAT(MID(_xlpm.big,7,2),MID(_xlpm.big,5,2),MID(_xlpm.big,3,2),MID(_xlpm.big,1,2)))</f>
        <v>#NUM!</v>
      </c>
      <c r="J217" s="2" t="str">
        <f t="shared" si="12"/>
        <v>02000000</v>
      </c>
      <c r="K217" s="2" t="str">
        <f>_xlfn.LET(_xlpm.big,IF(H217,DEC2HEX(HEX2DEC(F217),8),DEC2HEX(N217-_xlfn.XLOOKUP(P217,Data!A:A,Data!F:F),8)),_xlfn.CONCAT(MID(_xlpm.big,7,2),MID(_xlpm.big,5,2),MID(_xlpm.big,3,2),MID(_xlpm.big,1,2)))</f>
        <v>FEFFFFFF</v>
      </c>
      <c r="L217" s="2">
        <f t="shared" si="13"/>
        <v>0</v>
      </c>
      <c r="M217" s="2">
        <f t="shared" si="14"/>
        <v>0</v>
      </c>
      <c r="N217" s="2">
        <f t="shared" si="15"/>
        <v>0</v>
      </c>
      <c r="O217" s="2" cm="1">
        <f t="array" ref="O217">_xlfn.IFS(M217&lt;Data!$F$3,0,M217&lt;Data!$F$4,1,TRUE,2)</f>
        <v>0</v>
      </c>
      <c r="P217" s="2" cm="1">
        <f t="array" ref="P217">_xlfn.IFS(H217,3,N217&lt;Data!$F$3,0,N217&lt;Data!$F$4,1,TRUE,2)</f>
        <v>0</v>
      </c>
    </row>
    <row r="218" spans="4:16">
      <c r="D218" s="3"/>
      <c r="E218" s="3"/>
      <c r="F218" s="3"/>
      <c r="G218" s="2" t="str" cm="1">
        <f t="array" ref="G218">_xlfn.CONCAT(IFERROR(I218:K218,""))</f>
        <v>02000000FEFFFFFF</v>
      </c>
      <c r="I218" s="2" t="e">
        <f>_xlfn.LET(_xlpm.big,DEC2HEX(_xlfn.BITLSHIFT(M218-_xlfn.XLOOKUP(O218,Data!A:A,Data!F:F),4)+O218,8),_xlfn.CONCAT(MID(_xlpm.big,7,2),MID(_xlpm.big,5,2),MID(_xlpm.big,3,2),MID(_xlpm.big,1,2)))</f>
        <v>#NUM!</v>
      </c>
      <c r="J218" s="2" t="str">
        <f t="shared" si="12"/>
        <v>02000000</v>
      </c>
      <c r="K218" s="2" t="str">
        <f>_xlfn.LET(_xlpm.big,IF(H218,DEC2HEX(HEX2DEC(F218),8),DEC2HEX(N218-_xlfn.XLOOKUP(P218,Data!A:A,Data!F:F),8)),_xlfn.CONCAT(MID(_xlpm.big,7,2),MID(_xlpm.big,5,2),MID(_xlpm.big,3,2),MID(_xlpm.big,1,2)))</f>
        <v>FEFFFFFF</v>
      </c>
      <c r="L218" s="2">
        <f t="shared" si="13"/>
        <v>0</v>
      </c>
      <c r="M218" s="2">
        <f t="shared" si="14"/>
        <v>0</v>
      </c>
      <c r="N218" s="2">
        <f t="shared" si="15"/>
        <v>0</v>
      </c>
      <c r="O218" s="2" cm="1">
        <f t="array" ref="O218">_xlfn.IFS(M218&lt;Data!$F$3,0,M218&lt;Data!$F$4,1,TRUE,2)</f>
        <v>0</v>
      </c>
      <c r="P218" s="2" cm="1">
        <f t="array" ref="P218">_xlfn.IFS(H218,3,N218&lt;Data!$F$3,0,N218&lt;Data!$F$4,1,TRUE,2)</f>
        <v>0</v>
      </c>
    </row>
    <row r="219" spans="4:16">
      <c r="D219" s="3"/>
      <c r="E219" s="3"/>
      <c r="F219" s="3"/>
      <c r="G219" s="2" t="str" cm="1">
        <f t="array" ref="G219">_xlfn.CONCAT(IFERROR(I219:K219,""))</f>
        <v>02000000FEFFFFFF</v>
      </c>
      <c r="I219" s="2" t="e">
        <f>_xlfn.LET(_xlpm.big,DEC2HEX(_xlfn.BITLSHIFT(M219-_xlfn.XLOOKUP(O219,Data!A:A,Data!F:F),4)+O219,8),_xlfn.CONCAT(MID(_xlpm.big,7,2),MID(_xlpm.big,5,2),MID(_xlpm.big,3,2),MID(_xlpm.big,1,2)))</f>
        <v>#NUM!</v>
      </c>
      <c r="J219" s="2" t="str">
        <f t="shared" si="12"/>
        <v>02000000</v>
      </c>
      <c r="K219" s="2" t="str">
        <f>_xlfn.LET(_xlpm.big,IF(H219,DEC2HEX(HEX2DEC(F219),8),DEC2HEX(N219-_xlfn.XLOOKUP(P219,Data!A:A,Data!F:F),8)),_xlfn.CONCAT(MID(_xlpm.big,7,2),MID(_xlpm.big,5,2),MID(_xlpm.big,3,2),MID(_xlpm.big,1,2)))</f>
        <v>FEFFFFFF</v>
      </c>
      <c r="L219" s="2">
        <f t="shared" si="13"/>
        <v>0</v>
      </c>
      <c r="M219" s="2">
        <f t="shared" si="14"/>
        <v>0</v>
      </c>
      <c r="N219" s="2">
        <f t="shared" si="15"/>
        <v>0</v>
      </c>
      <c r="O219" s="2" cm="1">
        <f t="array" ref="O219">_xlfn.IFS(M219&lt;Data!$F$3,0,M219&lt;Data!$F$4,1,TRUE,2)</f>
        <v>0</v>
      </c>
      <c r="P219" s="2" cm="1">
        <f t="array" ref="P219">_xlfn.IFS(H219,3,N219&lt;Data!$F$3,0,N219&lt;Data!$F$4,1,TRUE,2)</f>
        <v>0</v>
      </c>
    </row>
    <row r="220" spans="4:16">
      <c r="G220" s="2" t="str" cm="1">
        <f t="array" ref="G220">_xlfn.CONCAT(IFERROR(I220:K220,""))</f>
        <v>02000000FEFFFFFF</v>
      </c>
      <c r="I220" s="2" t="e">
        <f>_xlfn.LET(_xlpm.big,DEC2HEX(_xlfn.BITLSHIFT(M220-_xlfn.XLOOKUP(O220,Data!A:A,Data!F:F),4)+O220,8),_xlfn.CONCAT(MID(_xlpm.big,7,2),MID(_xlpm.big,5,2),MID(_xlpm.big,3,2),MID(_xlpm.big,1,2)))</f>
        <v>#NUM!</v>
      </c>
      <c r="J220" s="2" t="str">
        <f t="shared" si="12"/>
        <v>02000000</v>
      </c>
      <c r="K220" s="2" t="str">
        <f>_xlfn.LET(_xlpm.big,IF(H220,DEC2HEX(HEX2DEC(F220),8),DEC2HEX(N220-_xlfn.XLOOKUP(P220,Data!A:A,Data!F:F),8)),_xlfn.CONCAT(MID(_xlpm.big,7,2),MID(_xlpm.big,5,2),MID(_xlpm.big,3,2),MID(_xlpm.big,1,2)))</f>
        <v>FEFFFFFF</v>
      </c>
      <c r="L220" s="2">
        <f t="shared" si="13"/>
        <v>0</v>
      </c>
      <c r="M220" s="2">
        <f t="shared" si="14"/>
        <v>0</v>
      </c>
      <c r="N220" s="2">
        <f t="shared" si="15"/>
        <v>0</v>
      </c>
      <c r="O220" s="2" cm="1">
        <f t="array" ref="O220">_xlfn.IFS(M220&lt;Data!$F$3,0,M220&lt;Data!$F$4,1,TRUE,2)</f>
        <v>0</v>
      </c>
      <c r="P220" s="2" cm="1">
        <f t="array" ref="P220">_xlfn.IFS(H220,3,N220&lt;Data!$F$3,0,N220&lt;Data!$F$4,1,TRUE,2)</f>
        <v>0</v>
      </c>
    </row>
    <row r="221" spans="4:16">
      <c r="E221" s="16"/>
      <c r="G221" s="2" t="str" cm="1">
        <f t="array" ref="G221">_xlfn.CONCAT(IFERROR(I221:K221,""))</f>
        <v>02000000FEFFFFFF</v>
      </c>
      <c r="I221" s="2" t="e">
        <f>_xlfn.LET(_xlpm.big,DEC2HEX(_xlfn.BITLSHIFT(M221-_xlfn.XLOOKUP(O221,Data!A:A,Data!F:F),4)+O221,8),_xlfn.CONCAT(MID(_xlpm.big,7,2),MID(_xlpm.big,5,2),MID(_xlpm.big,3,2),MID(_xlpm.big,1,2)))</f>
        <v>#NUM!</v>
      </c>
      <c r="J221" s="2" t="str">
        <f t="shared" si="12"/>
        <v>02000000</v>
      </c>
      <c r="K221" s="2" t="str">
        <f>_xlfn.LET(_xlpm.big,IF(H221,DEC2HEX(HEX2DEC(F221),8),DEC2HEX(N221-_xlfn.XLOOKUP(P221,Data!A:A,Data!F:F),8)),_xlfn.CONCAT(MID(_xlpm.big,7,2),MID(_xlpm.big,5,2),MID(_xlpm.big,3,2),MID(_xlpm.big,1,2)))</f>
        <v>FEFFFFFF</v>
      </c>
      <c r="L221" s="2">
        <f t="shared" si="13"/>
        <v>0</v>
      </c>
      <c r="M221" s="2">
        <f t="shared" si="14"/>
        <v>0</v>
      </c>
      <c r="N221" s="2">
        <f t="shared" si="15"/>
        <v>0</v>
      </c>
      <c r="O221" s="2" cm="1">
        <f t="array" ref="O221">_xlfn.IFS(M221&lt;Data!$F$3,0,M221&lt;Data!$F$4,1,TRUE,2)</f>
        <v>0</v>
      </c>
      <c r="P221" s="2" cm="1">
        <f t="array" ref="P221">_xlfn.IFS(H221,3,N221&lt;Data!$F$3,0,N221&lt;Data!$F$4,1,TRUE,2)</f>
        <v>0</v>
      </c>
    </row>
    <row r="222" spans="4:16">
      <c r="D222" s="3"/>
      <c r="E222" s="3"/>
      <c r="F222" s="3"/>
      <c r="G222" s="2" t="str" cm="1">
        <f t="array" ref="G222">_xlfn.CONCAT(IFERROR(I222:K222,""))</f>
        <v>02000000FEFFFFFF</v>
      </c>
      <c r="I222" s="2" t="e">
        <f>_xlfn.LET(_xlpm.big,DEC2HEX(_xlfn.BITLSHIFT(M222-_xlfn.XLOOKUP(O222,Data!A:A,Data!F:F),4)+O222,8),_xlfn.CONCAT(MID(_xlpm.big,7,2),MID(_xlpm.big,5,2),MID(_xlpm.big,3,2),MID(_xlpm.big,1,2)))</f>
        <v>#NUM!</v>
      </c>
      <c r="J222" s="2" t="str">
        <f t="shared" si="12"/>
        <v>02000000</v>
      </c>
      <c r="K222" s="2" t="str">
        <f>_xlfn.LET(_xlpm.big,IF(H222,DEC2HEX(HEX2DEC(F222),8),DEC2HEX(N222-_xlfn.XLOOKUP(P222,Data!A:A,Data!F:F),8)),_xlfn.CONCAT(MID(_xlpm.big,7,2),MID(_xlpm.big,5,2),MID(_xlpm.big,3,2),MID(_xlpm.big,1,2)))</f>
        <v>FEFFFFFF</v>
      </c>
      <c r="L222" s="2">
        <f t="shared" si="13"/>
        <v>0</v>
      </c>
      <c r="M222" s="2">
        <f t="shared" si="14"/>
        <v>0</v>
      </c>
      <c r="N222" s="2">
        <f t="shared" si="15"/>
        <v>0</v>
      </c>
      <c r="O222" s="2" cm="1">
        <f t="array" ref="O222">_xlfn.IFS(M222&lt;Data!$F$3,0,M222&lt;Data!$F$4,1,TRUE,2)</f>
        <v>0</v>
      </c>
      <c r="P222" s="2" cm="1">
        <f t="array" ref="P222">_xlfn.IFS(H222,3,N222&lt;Data!$F$3,0,N222&lt;Data!$F$4,1,TRUE,2)</f>
        <v>0</v>
      </c>
    </row>
    <row r="223" spans="4:16">
      <c r="D223" s="3"/>
      <c r="E223" s="3"/>
      <c r="F223" s="3"/>
      <c r="G223" s="2" t="str" cm="1">
        <f t="array" ref="G223">_xlfn.CONCAT(IFERROR(I223:K223,""))</f>
        <v>02000000FEFFFFFF</v>
      </c>
      <c r="I223" s="2" t="e">
        <f>_xlfn.LET(_xlpm.big,DEC2HEX(_xlfn.BITLSHIFT(M223-_xlfn.XLOOKUP(O223,Data!A:A,Data!F:F),4)+O223,8),_xlfn.CONCAT(MID(_xlpm.big,7,2),MID(_xlpm.big,5,2),MID(_xlpm.big,3,2),MID(_xlpm.big,1,2)))</f>
        <v>#NUM!</v>
      </c>
      <c r="J223" s="2" t="str">
        <f t="shared" si="12"/>
        <v>02000000</v>
      </c>
      <c r="K223" s="2" t="str">
        <f>_xlfn.LET(_xlpm.big,IF(H223,DEC2HEX(HEX2DEC(F223),8),DEC2HEX(N223-_xlfn.XLOOKUP(P223,Data!A:A,Data!F:F),8)),_xlfn.CONCAT(MID(_xlpm.big,7,2),MID(_xlpm.big,5,2),MID(_xlpm.big,3,2),MID(_xlpm.big,1,2)))</f>
        <v>FEFFFFFF</v>
      </c>
      <c r="L223" s="2">
        <f t="shared" si="13"/>
        <v>0</v>
      </c>
      <c r="M223" s="2">
        <f t="shared" si="14"/>
        <v>0</v>
      </c>
      <c r="N223" s="2">
        <f t="shared" si="15"/>
        <v>0</v>
      </c>
      <c r="O223" s="2" cm="1">
        <f t="array" ref="O223">_xlfn.IFS(M223&lt;Data!$F$3,0,M223&lt;Data!$F$4,1,TRUE,2)</f>
        <v>0</v>
      </c>
      <c r="P223" s="2" cm="1">
        <f t="array" ref="P223">_xlfn.IFS(H223,3,N223&lt;Data!$F$3,0,N223&lt;Data!$F$4,1,TRUE,2)</f>
        <v>0</v>
      </c>
    </row>
    <row r="224" spans="4:16">
      <c r="G224" s="2" t="str" cm="1">
        <f t="array" ref="G224">_xlfn.CONCAT(IFERROR(I224:K224,""))</f>
        <v>02000000FEFFFFFF</v>
      </c>
      <c r="I224" s="2" t="e">
        <f>_xlfn.LET(_xlpm.big,DEC2HEX(_xlfn.BITLSHIFT(M224-_xlfn.XLOOKUP(O224,Data!A:A,Data!F:F),4)+O224,8),_xlfn.CONCAT(MID(_xlpm.big,7,2),MID(_xlpm.big,5,2),MID(_xlpm.big,3,2),MID(_xlpm.big,1,2)))</f>
        <v>#NUM!</v>
      </c>
      <c r="J224" s="2" t="str">
        <f t="shared" si="12"/>
        <v>02000000</v>
      </c>
      <c r="K224" s="2" t="str">
        <f>_xlfn.LET(_xlpm.big,IF(H224,DEC2HEX(HEX2DEC(F224),8),DEC2HEX(N224-_xlfn.XLOOKUP(P224,Data!A:A,Data!F:F),8)),_xlfn.CONCAT(MID(_xlpm.big,7,2),MID(_xlpm.big,5,2),MID(_xlpm.big,3,2),MID(_xlpm.big,1,2)))</f>
        <v>FEFFFFFF</v>
      </c>
      <c r="L224" s="2">
        <f t="shared" si="13"/>
        <v>0</v>
      </c>
      <c r="M224" s="2">
        <f t="shared" si="14"/>
        <v>0</v>
      </c>
      <c r="N224" s="2">
        <f t="shared" si="15"/>
        <v>0</v>
      </c>
      <c r="O224" s="2" cm="1">
        <f t="array" ref="O224">_xlfn.IFS(M224&lt;Data!$F$3,0,M224&lt;Data!$F$4,1,TRUE,2)</f>
        <v>0</v>
      </c>
      <c r="P224" s="2" cm="1">
        <f t="array" ref="P224">_xlfn.IFS(H224,3,N224&lt;Data!$F$3,0,N224&lt;Data!$F$4,1,TRUE,2)</f>
        <v>0</v>
      </c>
    </row>
    <row r="225" spans="4:16">
      <c r="D225" s="3"/>
      <c r="E225" s="3"/>
      <c r="F225" s="3"/>
      <c r="G225" s="2" t="str" cm="1">
        <f t="array" ref="G225">_xlfn.CONCAT(IFERROR(I225:K225,""))</f>
        <v>02000000FEFFFFFF</v>
      </c>
      <c r="I225" s="2" t="e">
        <f>_xlfn.LET(_xlpm.big,DEC2HEX(_xlfn.BITLSHIFT(M225-_xlfn.XLOOKUP(O225,Data!A:A,Data!F:F),4)+O225,8),_xlfn.CONCAT(MID(_xlpm.big,7,2),MID(_xlpm.big,5,2),MID(_xlpm.big,3,2),MID(_xlpm.big,1,2)))</f>
        <v>#NUM!</v>
      </c>
      <c r="J225" s="2" t="str">
        <f t="shared" si="12"/>
        <v>02000000</v>
      </c>
      <c r="K225" s="2" t="str">
        <f>_xlfn.LET(_xlpm.big,IF(H225,DEC2HEX(HEX2DEC(F225),8),DEC2HEX(N225-_xlfn.XLOOKUP(P225,Data!A:A,Data!F:F),8)),_xlfn.CONCAT(MID(_xlpm.big,7,2),MID(_xlpm.big,5,2),MID(_xlpm.big,3,2),MID(_xlpm.big,1,2)))</f>
        <v>FEFFFFFF</v>
      </c>
      <c r="L225" s="2">
        <f t="shared" si="13"/>
        <v>0</v>
      </c>
      <c r="M225" s="2">
        <f t="shared" si="14"/>
        <v>0</v>
      </c>
      <c r="N225" s="2">
        <f t="shared" si="15"/>
        <v>0</v>
      </c>
      <c r="O225" s="2" cm="1">
        <f t="array" ref="O225">_xlfn.IFS(M225&lt;Data!$F$3,0,M225&lt;Data!$F$4,1,TRUE,2)</f>
        <v>0</v>
      </c>
      <c r="P225" s="2" cm="1">
        <f t="array" ref="P225">_xlfn.IFS(H225,3,N225&lt;Data!$F$3,0,N225&lt;Data!$F$4,1,TRUE,2)</f>
        <v>0</v>
      </c>
    </row>
    <row r="226" spans="4:16">
      <c r="D226" s="3"/>
      <c r="E226" s="3"/>
      <c r="F226" s="3"/>
      <c r="G226" s="2" t="str" cm="1">
        <f t="array" ref="G226">_xlfn.CONCAT(IFERROR(I226:K226,""))</f>
        <v>02000000FEFFFFFF</v>
      </c>
      <c r="I226" s="2" t="e">
        <f>_xlfn.LET(_xlpm.big,DEC2HEX(_xlfn.BITLSHIFT(M226-_xlfn.XLOOKUP(O226,Data!A:A,Data!F:F),4)+O226,8),_xlfn.CONCAT(MID(_xlpm.big,7,2),MID(_xlpm.big,5,2),MID(_xlpm.big,3,2),MID(_xlpm.big,1,2)))</f>
        <v>#NUM!</v>
      </c>
      <c r="J226" s="2" t="str">
        <f t="shared" si="12"/>
        <v>02000000</v>
      </c>
      <c r="K226" s="2" t="str">
        <f>_xlfn.LET(_xlpm.big,IF(H226,DEC2HEX(HEX2DEC(F226),8),DEC2HEX(N226-_xlfn.XLOOKUP(P226,Data!A:A,Data!F:F),8)),_xlfn.CONCAT(MID(_xlpm.big,7,2),MID(_xlpm.big,5,2),MID(_xlpm.big,3,2),MID(_xlpm.big,1,2)))</f>
        <v>FEFFFFFF</v>
      </c>
      <c r="L226" s="2">
        <f t="shared" si="13"/>
        <v>0</v>
      </c>
      <c r="M226" s="2">
        <f t="shared" si="14"/>
        <v>0</v>
      </c>
      <c r="N226" s="2">
        <f t="shared" si="15"/>
        <v>0</v>
      </c>
      <c r="O226" s="2" cm="1">
        <f t="array" ref="O226">_xlfn.IFS(M226&lt;Data!$F$3,0,M226&lt;Data!$F$4,1,TRUE,2)</f>
        <v>0</v>
      </c>
      <c r="P226" s="2" cm="1">
        <f t="array" ref="P226">_xlfn.IFS(H226,3,N226&lt;Data!$F$3,0,N226&lt;Data!$F$4,1,TRUE,2)</f>
        <v>0</v>
      </c>
    </row>
    <row r="227" spans="4:16">
      <c r="E227" s="16"/>
      <c r="G227" s="2" t="str" cm="1">
        <f t="array" ref="G227">_xlfn.CONCAT(IFERROR(I227:K227,""))</f>
        <v>02000000FEFFFFFF</v>
      </c>
      <c r="I227" s="2" t="e">
        <f>_xlfn.LET(_xlpm.big,DEC2HEX(_xlfn.BITLSHIFT(M227-_xlfn.XLOOKUP(O227,Data!A:A,Data!F:F),4)+O227,8),_xlfn.CONCAT(MID(_xlpm.big,7,2),MID(_xlpm.big,5,2),MID(_xlpm.big,3,2),MID(_xlpm.big,1,2)))</f>
        <v>#NUM!</v>
      </c>
      <c r="J227" s="2" t="str">
        <f t="shared" si="12"/>
        <v>02000000</v>
      </c>
      <c r="K227" s="2" t="str">
        <f>_xlfn.LET(_xlpm.big,IF(H227,DEC2HEX(HEX2DEC(F227),8),DEC2HEX(N227-_xlfn.XLOOKUP(P227,Data!A:A,Data!F:F),8)),_xlfn.CONCAT(MID(_xlpm.big,7,2),MID(_xlpm.big,5,2),MID(_xlpm.big,3,2),MID(_xlpm.big,1,2)))</f>
        <v>FEFFFFFF</v>
      </c>
      <c r="L227" s="2">
        <f t="shared" si="13"/>
        <v>0</v>
      </c>
      <c r="M227" s="2">
        <f t="shared" si="14"/>
        <v>0</v>
      </c>
      <c r="N227" s="2">
        <f t="shared" si="15"/>
        <v>0</v>
      </c>
      <c r="O227" s="2" cm="1">
        <f t="array" ref="O227">_xlfn.IFS(M227&lt;Data!$F$3,0,M227&lt;Data!$F$4,1,TRUE,2)</f>
        <v>0</v>
      </c>
      <c r="P227" s="2" cm="1">
        <f t="array" ref="P227">_xlfn.IFS(H227,3,N227&lt;Data!$F$3,0,N227&lt;Data!$F$4,1,TRUE,2)</f>
        <v>0</v>
      </c>
    </row>
    <row r="228" spans="4:16">
      <c r="E228" s="16"/>
      <c r="G228" s="2" t="str" cm="1">
        <f t="array" ref="G228">_xlfn.CONCAT(IFERROR(I228:K228,""))</f>
        <v>02000000FEFFFFFF</v>
      </c>
      <c r="I228" s="2" t="e">
        <f>_xlfn.LET(_xlpm.big,DEC2HEX(_xlfn.BITLSHIFT(M228-_xlfn.XLOOKUP(O228,Data!A:A,Data!F:F),4)+O228,8),_xlfn.CONCAT(MID(_xlpm.big,7,2),MID(_xlpm.big,5,2),MID(_xlpm.big,3,2),MID(_xlpm.big,1,2)))</f>
        <v>#NUM!</v>
      </c>
      <c r="J228" s="2" t="str">
        <f t="shared" si="12"/>
        <v>02000000</v>
      </c>
      <c r="K228" s="2" t="str">
        <f>_xlfn.LET(_xlpm.big,IF(H228,DEC2HEX(HEX2DEC(F228),8),DEC2HEX(N228-_xlfn.XLOOKUP(P228,Data!A:A,Data!F:F),8)),_xlfn.CONCAT(MID(_xlpm.big,7,2),MID(_xlpm.big,5,2),MID(_xlpm.big,3,2),MID(_xlpm.big,1,2)))</f>
        <v>FEFFFFFF</v>
      </c>
      <c r="L228" s="2">
        <f t="shared" si="13"/>
        <v>0</v>
      </c>
      <c r="M228" s="2">
        <f t="shared" si="14"/>
        <v>0</v>
      </c>
      <c r="N228" s="2">
        <f t="shared" si="15"/>
        <v>0</v>
      </c>
      <c r="O228" s="2" cm="1">
        <f t="array" ref="O228">_xlfn.IFS(M228&lt;Data!$F$3,0,M228&lt;Data!$F$4,1,TRUE,2)</f>
        <v>0</v>
      </c>
      <c r="P228" s="2" cm="1">
        <f t="array" ref="P228">_xlfn.IFS(H228,3,N228&lt;Data!$F$3,0,N228&lt;Data!$F$4,1,TRUE,2)</f>
        <v>0</v>
      </c>
    </row>
    <row r="229" spans="4:16">
      <c r="D229" s="3"/>
      <c r="E229" s="3"/>
      <c r="F229" s="3"/>
      <c r="G229" s="2" t="str" cm="1">
        <f t="array" ref="G229">_xlfn.CONCAT(IFERROR(I229:K229,""))</f>
        <v>02000000FEFFFFFF</v>
      </c>
      <c r="I229" s="2" t="e">
        <f>_xlfn.LET(_xlpm.big,DEC2HEX(_xlfn.BITLSHIFT(M229-_xlfn.XLOOKUP(O229,Data!A:A,Data!F:F),4)+O229,8),_xlfn.CONCAT(MID(_xlpm.big,7,2),MID(_xlpm.big,5,2),MID(_xlpm.big,3,2),MID(_xlpm.big,1,2)))</f>
        <v>#NUM!</v>
      </c>
      <c r="J229" s="2" t="str">
        <f t="shared" si="12"/>
        <v>02000000</v>
      </c>
      <c r="K229" s="2" t="str">
        <f>_xlfn.LET(_xlpm.big,IF(H229,DEC2HEX(HEX2DEC(F229),8),DEC2HEX(N229-_xlfn.XLOOKUP(P229,Data!A:A,Data!F:F),8)),_xlfn.CONCAT(MID(_xlpm.big,7,2),MID(_xlpm.big,5,2),MID(_xlpm.big,3,2),MID(_xlpm.big,1,2)))</f>
        <v>FEFFFFFF</v>
      </c>
      <c r="L229" s="2">
        <f t="shared" si="13"/>
        <v>0</v>
      </c>
      <c r="M229" s="2">
        <f t="shared" si="14"/>
        <v>0</v>
      </c>
      <c r="N229" s="2">
        <f t="shared" si="15"/>
        <v>0</v>
      </c>
      <c r="O229" s="2" cm="1">
        <f t="array" ref="O229">_xlfn.IFS(M229&lt;Data!$F$3,0,M229&lt;Data!$F$4,1,TRUE,2)</f>
        <v>0</v>
      </c>
      <c r="P229" s="2" cm="1">
        <f t="array" ref="P229">_xlfn.IFS(H229,3,N229&lt;Data!$F$3,0,N229&lt;Data!$F$4,1,TRUE,2)</f>
        <v>0</v>
      </c>
    </row>
    <row r="230" spans="4:16">
      <c r="D230" s="3"/>
      <c r="E230" s="3"/>
      <c r="F230" s="3"/>
      <c r="G230" s="2" t="str" cm="1">
        <f t="array" ref="G230">_xlfn.CONCAT(IFERROR(I230:K230,""))</f>
        <v>02000000FEFFFFFF</v>
      </c>
      <c r="I230" s="2" t="e">
        <f>_xlfn.LET(_xlpm.big,DEC2HEX(_xlfn.BITLSHIFT(M230-_xlfn.XLOOKUP(O230,Data!A:A,Data!F:F),4)+O230,8),_xlfn.CONCAT(MID(_xlpm.big,7,2),MID(_xlpm.big,5,2),MID(_xlpm.big,3,2),MID(_xlpm.big,1,2)))</f>
        <v>#NUM!</v>
      </c>
      <c r="J230" s="2" t="str">
        <f t="shared" si="12"/>
        <v>02000000</v>
      </c>
      <c r="K230" s="2" t="str">
        <f>_xlfn.LET(_xlpm.big,IF(H230,DEC2HEX(HEX2DEC(F230),8),DEC2HEX(N230-_xlfn.XLOOKUP(P230,Data!A:A,Data!F:F),8)),_xlfn.CONCAT(MID(_xlpm.big,7,2),MID(_xlpm.big,5,2),MID(_xlpm.big,3,2),MID(_xlpm.big,1,2)))</f>
        <v>FEFFFFFF</v>
      </c>
      <c r="L230" s="2">
        <f t="shared" si="13"/>
        <v>0</v>
      </c>
      <c r="M230" s="2">
        <f t="shared" si="14"/>
        <v>0</v>
      </c>
      <c r="N230" s="2">
        <f t="shared" si="15"/>
        <v>0</v>
      </c>
      <c r="O230" s="2" cm="1">
        <f t="array" ref="O230">_xlfn.IFS(M230&lt;Data!$F$3,0,M230&lt;Data!$F$4,1,TRUE,2)</f>
        <v>0</v>
      </c>
      <c r="P230" s="2" cm="1">
        <f t="array" ref="P230">_xlfn.IFS(H230,3,N230&lt;Data!$F$3,0,N230&lt;Data!$F$4,1,TRUE,2)</f>
        <v>0</v>
      </c>
    </row>
    <row r="231" spans="4:16">
      <c r="D231" s="3"/>
      <c r="E231" s="3"/>
      <c r="F231" s="3"/>
      <c r="G231" s="2" t="str" cm="1">
        <f t="array" ref="G231">_xlfn.CONCAT(IFERROR(I231:K231,""))</f>
        <v>02000000FEFFFFFF</v>
      </c>
      <c r="I231" s="2" t="e">
        <f>_xlfn.LET(_xlpm.big,DEC2HEX(_xlfn.BITLSHIFT(M231-_xlfn.XLOOKUP(O231,Data!A:A,Data!F:F),4)+O231,8),_xlfn.CONCAT(MID(_xlpm.big,7,2),MID(_xlpm.big,5,2),MID(_xlpm.big,3,2),MID(_xlpm.big,1,2)))</f>
        <v>#NUM!</v>
      </c>
      <c r="J231" s="2" t="str">
        <f t="shared" si="12"/>
        <v>02000000</v>
      </c>
      <c r="K231" s="2" t="str">
        <f>_xlfn.LET(_xlpm.big,IF(H231,DEC2HEX(HEX2DEC(F231),8),DEC2HEX(N231-_xlfn.XLOOKUP(P231,Data!A:A,Data!F:F),8)),_xlfn.CONCAT(MID(_xlpm.big,7,2),MID(_xlpm.big,5,2),MID(_xlpm.big,3,2),MID(_xlpm.big,1,2)))</f>
        <v>FEFFFFFF</v>
      </c>
      <c r="L231" s="2">
        <f t="shared" si="13"/>
        <v>0</v>
      </c>
      <c r="M231" s="2">
        <f t="shared" si="14"/>
        <v>0</v>
      </c>
      <c r="N231" s="2">
        <f t="shared" si="15"/>
        <v>0</v>
      </c>
      <c r="O231" s="2" cm="1">
        <f t="array" ref="O231">_xlfn.IFS(M231&lt;Data!$F$3,0,M231&lt;Data!$F$4,1,TRUE,2)</f>
        <v>0</v>
      </c>
      <c r="P231" s="2" cm="1">
        <f t="array" ref="P231">_xlfn.IFS(H231,3,N231&lt;Data!$F$3,0,N231&lt;Data!$F$4,1,TRUE,2)</f>
        <v>0</v>
      </c>
    </row>
    <row r="232" spans="4:16">
      <c r="D232" s="3"/>
      <c r="E232" s="3"/>
      <c r="F232" s="3"/>
      <c r="G232" s="2" t="str" cm="1">
        <f t="array" ref="G232">_xlfn.CONCAT(IFERROR(I232:K232,""))</f>
        <v>02000000FEFFFFFF</v>
      </c>
      <c r="I232" s="2" t="e">
        <f>_xlfn.LET(_xlpm.big,DEC2HEX(_xlfn.BITLSHIFT(M232-_xlfn.XLOOKUP(O232,Data!A:A,Data!F:F),4)+O232,8),_xlfn.CONCAT(MID(_xlpm.big,7,2),MID(_xlpm.big,5,2),MID(_xlpm.big,3,2),MID(_xlpm.big,1,2)))</f>
        <v>#NUM!</v>
      </c>
      <c r="J232" s="2" t="str">
        <f t="shared" si="12"/>
        <v>02000000</v>
      </c>
      <c r="K232" s="2" t="str">
        <f>_xlfn.LET(_xlpm.big,IF(H232,DEC2HEX(HEX2DEC(F232),8),DEC2HEX(N232-_xlfn.XLOOKUP(P232,Data!A:A,Data!F:F),8)),_xlfn.CONCAT(MID(_xlpm.big,7,2),MID(_xlpm.big,5,2),MID(_xlpm.big,3,2),MID(_xlpm.big,1,2)))</f>
        <v>FEFFFFFF</v>
      </c>
      <c r="L232" s="2">
        <f t="shared" si="13"/>
        <v>0</v>
      </c>
      <c r="M232" s="2">
        <f t="shared" si="14"/>
        <v>0</v>
      </c>
      <c r="N232" s="2">
        <f t="shared" si="15"/>
        <v>0</v>
      </c>
      <c r="O232" s="2" cm="1">
        <f t="array" ref="O232">_xlfn.IFS(M232&lt;Data!$F$3,0,M232&lt;Data!$F$4,1,TRUE,2)</f>
        <v>0</v>
      </c>
      <c r="P232" s="2" cm="1">
        <f t="array" ref="P232">_xlfn.IFS(H232,3,N232&lt;Data!$F$3,0,N232&lt;Data!$F$4,1,TRUE,2)</f>
        <v>0</v>
      </c>
    </row>
    <row r="233" spans="4:16">
      <c r="D233" s="3"/>
      <c r="E233" s="3"/>
      <c r="F233" s="3"/>
      <c r="G233" s="2" t="str" cm="1">
        <f t="array" ref="G233">_xlfn.CONCAT(IFERROR(I233:K233,""))</f>
        <v>02000000FEFFFFFF</v>
      </c>
      <c r="I233" s="2" t="e">
        <f>_xlfn.LET(_xlpm.big,DEC2HEX(_xlfn.BITLSHIFT(M233-_xlfn.XLOOKUP(O233,Data!A:A,Data!F:F),4)+O233,8),_xlfn.CONCAT(MID(_xlpm.big,7,2),MID(_xlpm.big,5,2),MID(_xlpm.big,3,2),MID(_xlpm.big,1,2)))</f>
        <v>#NUM!</v>
      </c>
      <c r="J233" s="2" t="str">
        <f t="shared" si="12"/>
        <v>02000000</v>
      </c>
      <c r="K233" s="2" t="str">
        <f>_xlfn.LET(_xlpm.big,IF(H233,DEC2HEX(HEX2DEC(F233),8),DEC2HEX(N233-_xlfn.XLOOKUP(P233,Data!A:A,Data!F:F),8)),_xlfn.CONCAT(MID(_xlpm.big,7,2),MID(_xlpm.big,5,2),MID(_xlpm.big,3,2),MID(_xlpm.big,1,2)))</f>
        <v>FEFFFFFF</v>
      </c>
      <c r="L233" s="2">
        <f t="shared" si="13"/>
        <v>0</v>
      </c>
      <c r="M233" s="2">
        <f t="shared" si="14"/>
        <v>0</v>
      </c>
      <c r="N233" s="2">
        <f t="shared" si="15"/>
        <v>0</v>
      </c>
      <c r="O233" s="2" cm="1">
        <f t="array" ref="O233">_xlfn.IFS(M233&lt;Data!$F$3,0,M233&lt;Data!$F$4,1,TRUE,2)</f>
        <v>0</v>
      </c>
      <c r="P233" s="2" cm="1">
        <f t="array" ref="P233">_xlfn.IFS(H233,3,N233&lt;Data!$F$3,0,N233&lt;Data!$F$4,1,TRUE,2)</f>
        <v>0</v>
      </c>
    </row>
    <row r="234" spans="4:16">
      <c r="D234" s="3"/>
      <c r="E234" s="3"/>
      <c r="F234" s="3"/>
      <c r="G234" s="2" t="str" cm="1">
        <f t="array" ref="G234">_xlfn.CONCAT(IFERROR(I234:K234,""))</f>
        <v>02000000FEFFFFFF</v>
      </c>
      <c r="I234" s="2" t="e">
        <f>_xlfn.LET(_xlpm.big,DEC2HEX(_xlfn.BITLSHIFT(M234-_xlfn.XLOOKUP(O234,Data!A:A,Data!F:F),4)+O234,8),_xlfn.CONCAT(MID(_xlpm.big,7,2),MID(_xlpm.big,5,2),MID(_xlpm.big,3,2),MID(_xlpm.big,1,2)))</f>
        <v>#NUM!</v>
      </c>
      <c r="J234" s="2" t="str">
        <f t="shared" si="12"/>
        <v>02000000</v>
      </c>
      <c r="K234" s="2" t="str">
        <f>_xlfn.LET(_xlpm.big,IF(H234,DEC2HEX(HEX2DEC(F234),8),DEC2HEX(N234-_xlfn.XLOOKUP(P234,Data!A:A,Data!F:F),8)),_xlfn.CONCAT(MID(_xlpm.big,7,2),MID(_xlpm.big,5,2),MID(_xlpm.big,3,2),MID(_xlpm.big,1,2)))</f>
        <v>FEFFFFFF</v>
      </c>
      <c r="L234" s="2">
        <f t="shared" si="13"/>
        <v>0</v>
      </c>
      <c r="M234" s="2">
        <f t="shared" si="14"/>
        <v>0</v>
      </c>
      <c r="N234" s="2">
        <f t="shared" si="15"/>
        <v>0</v>
      </c>
      <c r="O234" s="2" cm="1">
        <f t="array" ref="O234">_xlfn.IFS(M234&lt;Data!$F$3,0,M234&lt;Data!$F$4,1,TRUE,2)</f>
        <v>0</v>
      </c>
      <c r="P234" s="2" cm="1">
        <f t="array" ref="P234">_xlfn.IFS(H234,3,N234&lt;Data!$F$3,0,N234&lt;Data!$F$4,1,TRUE,2)</f>
        <v>0</v>
      </c>
    </row>
    <row r="235" spans="4:16">
      <c r="D235" s="3"/>
      <c r="E235" s="3"/>
      <c r="F235" s="3"/>
      <c r="G235" s="2" t="str" cm="1">
        <f t="array" ref="G235">_xlfn.CONCAT(IFERROR(I235:K235,""))</f>
        <v>02000000FEFFFFFF</v>
      </c>
      <c r="I235" s="2" t="e">
        <f>_xlfn.LET(_xlpm.big,DEC2HEX(_xlfn.BITLSHIFT(M235-_xlfn.XLOOKUP(O235,Data!A:A,Data!F:F),4)+O235,8),_xlfn.CONCAT(MID(_xlpm.big,7,2),MID(_xlpm.big,5,2),MID(_xlpm.big,3,2),MID(_xlpm.big,1,2)))</f>
        <v>#NUM!</v>
      </c>
      <c r="J235" s="2" t="str">
        <f t="shared" si="12"/>
        <v>02000000</v>
      </c>
      <c r="K235" s="2" t="str">
        <f>_xlfn.LET(_xlpm.big,IF(H235,DEC2HEX(HEX2DEC(F235),8),DEC2HEX(N235-_xlfn.XLOOKUP(P235,Data!A:A,Data!F:F),8)),_xlfn.CONCAT(MID(_xlpm.big,7,2),MID(_xlpm.big,5,2),MID(_xlpm.big,3,2),MID(_xlpm.big,1,2)))</f>
        <v>FEFFFFFF</v>
      </c>
      <c r="L235" s="2">
        <f t="shared" si="13"/>
        <v>0</v>
      </c>
      <c r="M235" s="2">
        <f t="shared" si="14"/>
        <v>0</v>
      </c>
      <c r="N235" s="2">
        <f t="shared" si="15"/>
        <v>0</v>
      </c>
      <c r="O235" s="2" cm="1">
        <f t="array" ref="O235">_xlfn.IFS(M235&lt;Data!$F$3,0,M235&lt;Data!$F$4,1,TRUE,2)</f>
        <v>0</v>
      </c>
      <c r="P235" s="2" cm="1">
        <f t="array" ref="P235">_xlfn.IFS(H235,3,N235&lt;Data!$F$3,0,N235&lt;Data!$F$4,1,TRUE,2)</f>
        <v>0</v>
      </c>
    </row>
    <row r="236" spans="4:16">
      <c r="D236" s="3"/>
      <c r="E236" s="3"/>
      <c r="F236" s="3"/>
      <c r="G236" s="2" t="str" cm="1">
        <f t="array" ref="G236">_xlfn.CONCAT(IFERROR(I236:K236,""))</f>
        <v>02000000FEFFFFFF</v>
      </c>
      <c r="I236" s="2" t="e">
        <f>_xlfn.LET(_xlpm.big,DEC2HEX(_xlfn.BITLSHIFT(M236-_xlfn.XLOOKUP(O236,Data!A:A,Data!F:F),4)+O236,8),_xlfn.CONCAT(MID(_xlpm.big,7,2),MID(_xlpm.big,5,2),MID(_xlpm.big,3,2),MID(_xlpm.big,1,2)))</f>
        <v>#NUM!</v>
      </c>
      <c r="J236" s="2" t="str">
        <f t="shared" si="12"/>
        <v>02000000</v>
      </c>
      <c r="K236" s="2" t="str">
        <f>_xlfn.LET(_xlpm.big,IF(H236,DEC2HEX(HEX2DEC(F236),8),DEC2HEX(N236-_xlfn.XLOOKUP(P236,Data!A:A,Data!F:F),8)),_xlfn.CONCAT(MID(_xlpm.big,7,2),MID(_xlpm.big,5,2),MID(_xlpm.big,3,2),MID(_xlpm.big,1,2)))</f>
        <v>FEFFFFFF</v>
      </c>
      <c r="L236" s="2">
        <f t="shared" si="13"/>
        <v>0</v>
      </c>
      <c r="M236" s="2">
        <f t="shared" si="14"/>
        <v>0</v>
      </c>
      <c r="N236" s="2">
        <f t="shared" si="15"/>
        <v>0</v>
      </c>
      <c r="O236" s="2" cm="1">
        <f t="array" ref="O236">_xlfn.IFS(M236&lt;Data!$F$3,0,M236&lt;Data!$F$4,1,TRUE,2)</f>
        <v>0</v>
      </c>
      <c r="P236" s="2" cm="1">
        <f t="array" ref="P236">_xlfn.IFS(H236,3,N236&lt;Data!$F$3,0,N236&lt;Data!$F$4,1,TRUE,2)</f>
        <v>0</v>
      </c>
    </row>
    <row r="237" spans="4:16">
      <c r="D237" s="3"/>
      <c r="E237" s="3"/>
      <c r="F237" s="3"/>
      <c r="G237" s="2" t="str" cm="1">
        <f t="array" ref="G237">_xlfn.CONCAT(IFERROR(I237:K237,""))</f>
        <v>02000000FEFFFFFF</v>
      </c>
      <c r="I237" s="2" t="e">
        <f>_xlfn.LET(_xlpm.big,DEC2HEX(_xlfn.BITLSHIFT(M237-_xlfn.XLOOKUP(O237,Data!A:A,Data!F:F),4)+O237,8),_xlfn.CONCAT(MID(_xlpm.big,7,2),MID(_xlpm.big,5,2),MID(_xlpm.big,3,2),MID(_xlpm.big,1,2)))</f>
        <v>#NUM!</v>
      </c>
      <c r="J237" s="2" t="str">
        <f t="shared" si="12"/>
        <v>02000000</v>
      </c>
      <c r="K237" s="2" t="str">
        <f>_xlfn.LET(_xlpm.big,IF(H237,DEC2HEX(HEX2DEC(F237),8),DEC2HEX(N237-_xlfn.XLOOKUP(P237,Data!A:A,Data!F:F),8)),_xlfn.CONCAT(MID(_xlpm.big,7,2),MID(_xlpm.big,5,2),MID(_xlpm.big,3,2),MID(_xlpm.big,1,2)))</f>
        <v>FEFFFFFF</v>
      </c>
      <c r="L237" s="2">
        <f t="shared" si="13"/>
        <v>0</v>
      </c>
      <c r="M237" s="2">
        <f t="shared" si="14"/>
        <v>0</v>
      </c>
      <c r="N237" s="2">
        <f t="shared" si="15"/>
        <v>0</v>
      </c>
      <c r="O237" s="2" cm="1">
        <f t="array" ref="O237">_xlfn.IFS(M237&lt;Data!$F$3,0,M237&lt;Data!$F$4,1,TRUE,2)</f>
        <v>0</v>
      </c>
      <c r="P237" s="2" cm="1">
        <f t="array" ref="P237">_xlfn.IFS(H237,3,N237&lt;Data!$F$3,0,N237&lt;Data!$F$4,1,TRUE,2)</f>
        <v>0</v>
      </c>
    </row>
    <row r="238" spans="4:16">
      <c r="D238" s="3"/>
      <c r="E238" s="3"/>
      <c r="F238" s="3"/>
      <c r="G238" s="2" t="str" cm="1">
        <f t="array" ref="G238">_xlfn.CONCAT(IFERROR(I238:K238,""))</f>
        <v>02000000FEFFFFFF</v>
      </c>
      <c r="I238" s="2" t="e">
        <f>_xlfn.LET(_xlpm.big,DEC2HEX(_xlfn.BITLSHIFT(M238-_xlfn.XLOOKUP(O238,Data!A:A,Data!F:F),4)+O238,8),_xlfn.CONCAT(MID(_xlpm.big,7,2),MID(_xlpm.big,5,2),MID(_xlpm.big,3,2),MID(_xlpm.big,1,2)))</f>
        <v>#NUM!</v>
      </c>
      <c r="J238" s="2" t="str">
        <f t="shared" si="12"/>
        <v>02000000</v>
      </c>
      <c r="K238" s="2" t="str">
        <f>_xlfn.LET(_xlpm.big,IF(H238,DEC2HEX(HEX2DEC(F238),8),DEC2HEX(N238-_xlfn.XLOOKUP(P238,Data!A:A,Data!F:F),8)),_xlfn.CONCAT(MID(_xlpm.big,7,2),MID(_xlpm.big,5,2),MID(_xlpm.big,3,2),MID(_xlpm.big,1,2)))</f>
        <v>FEFFFFFF</v>
      </c>
      <c r="L238" s="2">
        <f t="shared" si="13"/>
        <v>0</v>
      </c>
      <c r="M238" s="2">
        <f t="shared" si="14"/>
        <v>0</v>
      </c>
      <c r="N238" s="2">
        <f t="shared" si="15"/>
        <v>0</v>
      </c>
      <c r="O238" s="2" cm="1">
        <f t="array" ref="O238">_xlfn.IFS(M238&lt;Data!$F$3,0,M238&lt;Data!$F$4,1,TRUE,2)</f>
        <v>0</v>
      </c>
      <c r="P238" s="2" cm="1">
        <f t="array" ref="P238">_xlfn.IFS(H238,3,N238&lt;Data!$F$3,0,N238&lt;Data!$F$4,1,TRUE,2)</f>
        <v>0</v>
      </c>
    </row>
    <row r="239" spans="4:16">
      <c r="D239" s="3"/>
      <c r="E239" s="3"/>
      <c r="F239" s="3"/>
      <c r="G239" s="2" t="str" cm="1">
        <f t="array" ref="G239">_xlfn.CONCAT(IFERROR(I239:K239,""))</f>
        <v>02000000FEFFFFFF</v>
      </c>
      <c r="I239" s="2" t="e">
        <f>_xlfn.LET(_xlpm.big,DEC2HEX(_xlfn.BITLSHIFT(M239-_xlfn.XLOOKUP(O239,Data!A:A,Data!F:F),4)+O239,8),_xlfn.CONCAT(MID(_xlpm.big,7,2),MID(_xlpm.big,5,2),MID(_xlpm.big,3,2),MID(_xlpm.big,1,2)))</f>
        <v>#NUM!</v>
      </c>
      <c r="J239" s="2" t="str">
        <f t="shared" si="12"/>
        <v>02000000</v>
      </c>
      <c r="K239" s="2" t="str">
        <f>_xlfn.LET(_xlpm.big,IF(H239,DEC2HEX(HEX2DEC(F239),8),DEC2HEX(N239-_xlfn.XLOOKUP(P239,Data!A:A,Data!F:F),8)),_xlfn.CONCAT(MID(_xlpm.big,7,2),MID(_xlpm.big,5,2),MID(_xlpm.big,3,2),MID(_xlpm.big,1,2)))</f>
        <v>FEFFFFFF</v>
      </c>
      <c r="L239" s="2">
        <f t="shared" si="13"/>
        <v>0</v>
      </c>
      <c r="M239" s="2">
        <f t="shared" si="14"/>
        <v>0</v>
      </c>
      <c r="N239" s="2">
        <f t="shared" si="15"/>
        <v>0</v>
      </c>
      <c r="O239" s="2" cm="1">
        <f t="array" ref="O239">_xlfn.IFS(M239&lt;Data!$F$3,0,M239&lt;Data!$F$4,1,TRUE,2)</f>
        <v>0</v>
      </c>
      <c r="P239" s="2" cm="1">
        <f t="array" ref="P239">_xlfn.IFS(H239,3,N239&lt;Data!$F$3,0,N239&lt;Data!$F$4,1,TRUE,2)</f>
        <v>0</v>
      </c>
    </row>
    <row r="240" spans="4:16">
      <c r="D240" s="3"/>
      <c r="E240" s="3"/>
      <c r="F240" s="3"/>
      <c r="G240" s="2" t="str" cm="1">
        <f t="array" ref="G240">_xlfn.CONCAT(IFERROR(I240:K240,""))</f>
        <v>02000000FEFFFFFF</v>
      </c>
      <c r="I240" s="2" t="e">
        <f>_xlfn.LET(_xlpm.big,DEC2HEX(_xlfn.BITLSHIFT(M240-_xlfn.XLOOKUP(O240,Data!A:A,Data!F:F),4)+O240,8),_xlfn.CONCAT(MID(_xlpm.big,7,2),MID(_xlpm.big,5,2),MID(_xlpm.big,3,2),MID(_xlpm.big,1,2)))</f>
        <v>#NUM!</v>
      </c>
      <c r="J240" s="2" t="str">
        <f t="shared" si="12"/>
        <v>02000000</v>
      </c>
      <c r="K240" s="2" t="str">
        <f>_xlfn.LET(_xlpm.big,IF(H240,DEC2HEX(HEX2DEC(F240),8),DEC2HEX(N240-_xlfn.XLOOKUP(P240,Data!A:A,Data!F:F),8)),_xlfn.CONCAT(MID(_xlpm.big,7,2),MID(_xlpm.big,5,2),MID(_xlpm.big,3,2),MID(_xlpm.big,1,2)))</f>
        <v>FEFFFFFF</v>
      </c>
      <c r="L240" s="2">
        <f t="shared" si="13"/>
        <v>0</v>
      </c>
      <c r="M240" s="2">
        <f t="shared" si="14"/>
        <v>0</v>
      </c>
      <c r="N240" s="2">
        <f t="shared" si="15"/>
        <v>0</v>
      </c>
      <c r="O240" s="2" cm="1">
        <f t="array" ref="O240">_xlfn.IFS(M240&lt;Data!$F$3,0,M240&lt;Data!$F$4,1,TRUE,2)</f>
        <v>0</v>
      </c>
      <c r="P240" s="2" cm="1">
        <f t="array" ref="P240">_xlfn.IFS(H240,3,N240&lt;Data!$F$3,0,N240&lt;Data!$F$4,1,TRUE,2)</f>
        <v>0</v>
      </c>
    </row>
    <row r="241" spans="4:16">
      <c r="D241" s="3"/>
      <c r="E241" s="3"/>
      <c r="F241" s="3"/>
      <c r="G241" s="2" t="str" cm="1">
        <f t="array" ref="G241">_xlfn.CONCAT(IFERROR(I241:K241,""))</f>
        <v>02000000FEFFFFFF</v>
      </c>
      <c r="I241" s="2" t="e">
        <f>_xlfn.LET(_xlpm.big,DEC2HEX(_xlfn.BITLSHIFT(M241-_xlfn.XLOOKUP(O241,Data!A:A,Data!F:F),4)+O241,8),_xlfn.CONCAT(MID(_xlpm.big,7,2),MID(_xlpm.big,5,2),MID(_xlpm.big,3,2),MID(_xlpm.big,1,2)))</f>
        <v>#NUM!</v>
      </c>
      <c r="J241" s="2" t="str">
        <f t="shared" si="12"/>
        <v>02000000</v>
      </c>
      <c r="K241" s="2" t="str">
        <f>_xlfn.LET(_xlpm.big,IF(H241,DEC2HEX(HEX2DEC(F241),8),DEC2HEX(N241-_xlfn.XLOOKUP(P241,Data!A:A,Data!F:F),8)),_xlfn.CONCAT(MID(_xlpm.big,7,2),MID(_xlpm.big,5,2),MID(_xlpm.big,3,2),MID(_xlpm.big,1,2)))</f>
        <v>FEFFFFFF</v>
      </c>
      <c r="L241" s="2">
        <f t="shared" si="13"/>
        <v>0</v>
      </c>
      <c r="M241" s="2">
        <f t="shared" si="14"/>
        <v>0</v>
      </c>
      <c r="N241" s="2">
        <f t="shared" si="15"/>
        <v>0</v>
      </c>
      <c r="O241" s="2" cm="1">
        <f t="array" ref="O241">_xlfn.IFS(M241&lt;Data!$F$3,0,M241&lt;Data!$F$4,1,TRUE,2)</f>
        <v>0</v>
      </c>
      <c r="P241" s="2" cm="1">
        <f t="array" ref="P241">_xlfn.IFS(H241,3,N241&lt;Data!$F$3,0,N241&lt;Data!$F$4,1,TRUE,2)</f>
        <v>0</v>
      </c>
    </row>
    <row r="242" spans="4:16">
      <c r="D242" s="3"/>
      <c r="E242" s="3"/>
      <c r="F242" s="3"/>
      <c r="G242" s="2" t="str" cm="1">
        <f t="array" ref="G242">_xlfn.CONCAT(IFERROR(I242:K242,""))</f>
        <v>02000000FEFFFFFF</v>
      </c>
      <c r="I242" s="2" t="e">
        <f>_xlfn.LET(_xlpm.big,DEC2HEX(_xlfn.BITLSHIFT(M242-_xlfn.XLOOKUP(O242,Data!A:A,Data!F:F),4)+O242,8),_xlfn.CONCAT(MID(_xlpm.big,7,2),MID(_xlpm.big,5,2),MID(_xlpm.big,3,2),MID(_xlpm.big,1,2)))</f>
        <v>#NUM!</v>
      </c>
      <c r="J242" s="2" t="str">
        <f t="shared" si="12"/>
        <v>02000000</v>
      </c>
      <c r="K242" s="2" t="str">
        <f>_xlfn.LET(_xlpm.big,IF(H242,DEC2HEX(HEX2DEC(F242),8),DEC2HEX(N242-_xlfn.XLOOKUP(P242,Data!A:A,Data!F:F),8)),_xlfn.CONCAT(MID(_xlpm.big,7,2),MID(_xlpm.big,5,2),MID(_xlpm.big,3,2),MID(_xlpm.big,1,2)))</f>
        <v>FEFFFFFF</v>
      </c>
      <c r="L242" s="2">
        <f t="shared" si="13"/>
        <v>0</v>
      </c>
      <c r="M242" s="2">
        <f t="shared" si="14"/>
        <v>0</v>
      </c>
      <c r="N242" s="2">
        <f t="shared" si="15"/>
        <v>0</v>
      </c>
      <c r="O242" s="2" cm="1">
        <f t="array" ref="O242">_xlfn.IFS(M242&lt;Data!$F$3,0,M242&lt;Data!$F$4,1,TRUE,2)</f>
        <v>0</v>
      </c>
      <c r="P242" s="2" cm="1">
        <f t="array" ref="P242">_xlfn.IFS(H242,3,N242&lt;Data!$F$3,0,N242&lt;Data!$F$4,1,TRUE,2)</f>
        <v>0</v>
      </c>
    </row>
    <row r="243" spans="4:16">
      <c r="D243" s="3"/>
      <c r="E243" s="3"/>
      <c r="F243" s="3"/>
      <c r="G243" s="2" t="str" cm="1">
        <f t="array" ref="G243">_xlfn.CONCAT(IFERROR(I243:K243,""))</f>
        <v>02000000FEFFFFFF</v>
      </c>
      <c r="I243" s="2" t="e">
        <f>_xlfn.LET(_xlpm.big,DEC2HEX(_xlfn.BITLSHIFT(M243-_xlfn.XLOOKUP(O243,Data!A:A,Data!F:F),4)+O243,8),_xlfn.CONCAT(MID(_xlpm.big,7,2),MID(_xlpm.big,5,2),MID(_xlpm.big,3,2),MID(_xlpm.big,1,2)))</f>
        <v>#NUM!</v>
      </c>
      <c r="J243" s="2" t="str">
        <f t="shared" si="12"/>
        <v>02000000</v>
      </c>
      <c r="K243" s="2" t="str">
        <f>_xlfn.LET(_xlpm.big,IF(H243,DEC2HEX(HEX2DEC(F243),8),DEC2HEX(N243-_xlfn.XLOOKUP(P243,Data!A:A,Data!F:F),8)),_xlfn.CONCAT(MID(_xlpm.big,7,2),MID(_xlpm.big,5,2),MID(_xlpm.big,3,2),MID(_xlpm.big,1,2)))</f>
        <v>FEFFFFFF</v>
      </c>
      <c r="L243" s="2">
        <f t="shared" si="13"/>
        <v>0</v>
      </c>
      <c r="M243" s="2">
        <f t="shared" si="14"/>
        <v>0</v>
      </c>
      <c r="N243" s="2">
        <f t="shared" si="15"/>
        <v>0</v>
      </c>
      <c r="O243" s="2" cm="1">
        <f t="array" ref="O243">_xlfn.IFS(M243&lt;Data!$F$3,0,M243&lt;Data!$F$4,1,TRUE,2)</f>
        <v>0</v>
      </c>
      <c r="P243" s="2" cm="1">
        <f t="array" ref="P243">_xlfn.IFS(H243,3,N243&lt;Data!$F$3,0,N243&lt;Data!$F$4,1,TRUE,2)</f>
        <v>0</v>
      </c>
    </row>
    <row r="244" spans="4:16">
      <c r="D244" s="3"/>
      <c r="E244" s="3"/>
      <c r="F244" s="3"/>
      <c r="G244" s="2" t="str" cm="1">
        <f t="array" ref="G244">_xlfn.CONCAT(IFERROR(I244:K244,""))</f>
        <v>02000000FEFFFFFF</v>
      </c>
      <c r="I244" s="2" t="e">
        <f>_xlfn.LET(_xlpm.big,DEC2HEX(_xlfn.BITLSHIFT(M244-_xlfn.XLOOKUP(O244,Data!A:A,Data!F:F),4)+O244,8),_xlfn.CONCAT(MID(_xlpm.big,7,2),MID(_xlpm.big,5,2),MID(_xlpm.big,3,2),MID(_xlpm.big,1,2)))</f>
        <v>#NUM!</v>
      </c>
      <c r="J244" s="2" t="str">
        <f t="shared" si="12"/>
        <v>02000000</v>
      </c>
      <c r="K244" s="2" t="str">
        <f>_xlfn.LET(_xlpm.big,IF(H244,DEC2HEX(HEX2DEC(F244),8),DEC2HEX(N244-_xlfn.XLOOKUP(P244,Data!A:A,Data!F:F),8)),_xlfn.CONCAT(MID(_xlpm.big,7,2),MID(_xlpm.big,5,2),MID(_xlpm.big,3,2),MID(_xlpm.big,1,2)))</f>
        <v>FEFFFFFF</v>
      </c>
      <c r="L244" s="2">
        <f t="shared" si="13"/>
        <v>0</v>
      </c>
      <c r="M244" s="2">
        <f t="shared" si="14"/>
        <v>0</v>
      </c>
      <c r="N244" s="2">
        <f t="shared" si="15"/>
        <v>0</v>
      </c>
      <c r="O244" s="2" cm="1">
        <f t="array" ref="O244">_xlfn.IFS(M244&lt;Data!$F$3,0,M244&lt;Data!$F$4,1,TRUE,2)</f>
        <v>0</v>
      </c>
      <c r="P244" s="2" cm="1">
        <f t="array" ref="P244">_xlfn.IFS(H244,3,N244&lt;Data!$F$3,0,N244&lt;Data!$F$4,1,TRUE,2)</f>
        <v>0</v>
      </c>
    </row>
    <row r="245" spans="4:16">
      <c r="D245" s="3"/>
      <c r="E245" s="3"/>
      <c r="F245" s="3"/>
      <c r="G245" s="2" t="str" cm="1">
        <f t="array" ref="G245">_xlfn.CONCAT(IFERROR(I245:K245,""))</f>
        <v>02000000FEFFFFFF</v>
      </c>
      <c r="I245" s="2" t="e">
        <f>_xlfn.LET(_xlpm.big,DEC2HEX(_xlfn.BITLSHIFT(M245-_xlfn.XLOOKUP(O245,Data!A:A,Data!F:F),4)+O245,8),_xlfn.CONCAT(MID(_xlpm.big,7,2),MID(_xlpm.big,5,2),MID(_xlpm.big,3,2),MID(_xlpm.big,1,2)))</f>
        <v>#NUM!</v>
      </c>
      <c r="J245" s="2" t="str">
        <f t="shared" si="12"/>
        <v>02000000</v>
      </c>
      <c r="K245" s="2" t="str">
        <f>_xlfn.LET(_xlpm.big,IF(H245,DEC2HEX(HEX2DEC(F245),8),DEC2HEX(N245-_xlfn.XLOOKUP(P245,Data!A:A,Data!F:F),8)),_xlfn.CONCAT(MID(_xlpm.big,7,2),MID(_xlpm.big,5,2),MID(_xlpm.big,3,2),MID(_xlpm.big,1,2)))</f>
        <v>FEFFFFFF</v>
      </c>
      <c r="L245" s="2">
        <f t="shared" si="13"/>
        <v>0</v>
      </c>
      <c r="M245" s="2">
        <f t="shared" si="14"/>
        <v>0</v>
      </c>
      <c r="N245" s="2">
        <f t="shared" si="15"/>
        <v>0</v>
      </c>
      <c r="O245" s="2" cm="1">
        <f t="array" ref="O245">_xlfn.IFS(M245&lt;Data!$F$3,0,M245&lt;Data!$F$4,1,TRUE,2)</f>
        <v>0</v>
      </c>
      <c r="P245" s="2" cm="1">
        <f t="array" ref="P245">_xlfn.IFS(H245,3,N245&lt;Data!$F$3,0,N245&lt;Data!$F$4,1,TRUE,2)</f>
        <v>0</v>
      </c>
    </row>
    <row r="246" spans="4:16">
      <c r="D246" s="3"/>
      <c r="E246" s="3"/>
      <c r="F246" s="3"/>
      <c r="G246" s="2" t="str" cm="1">
        <f t="array" ref="G246">_xlfn.CONCAT(IFERROR(I246:K246,""))</f>
        <v>02000000FEFFFFFF</v>
      </c>
      <c r="I246" s="2" t="e">
        <f>_xlfn.LET(_xlpm.big,DEC2HEX(_xlfn.BITLSHIFT(M246-_xlfn.XLOOKUP(O246,Data!A:A,Data!F:F),4)+O246,8),_xlfn.CONCAT(MID(_xlpm.big,7,2),MID(_xlpm.big,5,2),MID(_xlpm.big,3,2),MID(_xlpm.big,1,2)))</f>
        <v>#NUM!</v>
      </c>
      <c r="J246" s="2" t="str">
        <f t="shared" si="12"/>
        <v>02000000</v>
      </c>
      <c r="K246" s="2" t="str">
        <f>_xlfn.LET(_xlpm.big,IF(H246,DEC2HEX(HEX2DEC(F246),8),DEC2HEX(N246-_xlfn.XLOOKUP(P246,Data!A:A,Data!F:F),8)),_xlfn.CONCAT(MID(_xlpm.big,7,2),MID(_xlpm.big,5,2),MID(_xlpm.big,3,2),MID(_xlpm.big,1,2)))</f>
        <v>FEFFFFFF</v>
      </c>
      <c r="L246" s="2">
        <f t="shared" si="13"/>
        <v>0</v>
      </c>
      <c r="M246" s="2">
        <f t="shared" si="14"/>
        <v>0</v>
      </c>
      <c r="N246" s="2">
        <f t="shared" si="15"/>
        <v>0</v>
      </c>
      <c r="O246" s="2" cm="1">
        <f t="array" ref="O246">_xlfn.IFS(M246&lt;Data!$F$3,0,M246&lt;Data!$F$4,1,TRUE,2)</f>
        <v>0</v>
      </c>
      <c r="P246" s="2" cm="1">
        <f t="array" ref="P246">_xlfn.IFS(H246,3,N246&lt;Data!$F$3,0,N246&lt;Data!$F$4,1,TRUE,2)</f>
        <v>0</v>
      </c>
    </row>
    <row r="247" spans="4:16">
      <c r="D247" s="3"/>
      <c r="E247" s="3"/>
      <c r="F247" s="3"/>
      <c r="G247" s="2" t="str" cm="1">
        <f t="array" ref="G247">_xlfn.CONCAT(IFERROR(I247:K247,""))</f>
        <v>02000000FEFFFFFF</v>
      </c>
      <c r="I247" s="2" t="e">
        <f>_xlfn.LET(_xlpm.big,DEC2HEX(_xlfn.BITLSHIFT(M247-_xlfn.XLOOKUP(O247,Data!A:A,Data!F:F),4)+O247,8),_xlfn.CONCAT(MID(_xlpm.big,7,2),MID(_xlpm.big,5,2),MID(_xlpm.big,3,2),MID(_xlpm.big,1,2)))</f>
        <v>#NUM!</v>
      </c>
      <c r="J247" s="2" t="str">
        <f t="shared" si="12"/>
        <v>02000000</v>
      </c>
      <c r="K247" s="2" t="str">
        <f>_xlfn.LET(_xlpm.big,IF(H247,DEC2HEX(HEX2DEC(F247),8),DEC2HEX(N247-_xlfn.XLOOKUP(P247,Data!A:A,Data!F:F),8)),_xlfn.CONCAT(MID(_xlpm.big,7,2),MID(_xlpm.big,5,2),MID(_xlpm.big,3,2),MID(_xlpm.big,1,2)))</f>
        <v>FEFFFFFF</v>
      </c>
      <c r="L247" s="2">
        <f t="shared" si="13"/>
        <v>0</v>
      </c>
      <c r="M247" s="2">
        <f t="shared" si="14"/>
        <v>0</v>
      </c>
      <c r="N247" s="2">
        <f t="shared" si="15"/>
        <v>0</v>
      </c>
      <c r="O247" s="2" cm="1">
        <f t="array" ref="O247">_xlfn.IFS(M247&lt;Data!$F$3,0,M247&lt;Data!$F$4,1,TRUE,2)</f>
        <v>0</v>
      </c>
      <c r="P247" s="2" cm="1">
        <f t="array" ref="P247">_xlfn.IFS(H247,3,N247&lt;Data!$F$3,0,N247&lt;Data!$F$4,1,TRUE,2)</f>
        <v>0</v>
      </c>
    </row>
    <row r="248" spans="4:16">
      <c r="D248" s="3"/>
      <c r="E248" s="3"/>
      <c r="F248" s="3"/>
      <c r="G248" s="2" t="str" cm="1">
        <f t="array" ref="G248">_xlfn.CONCAT(IFERROR(I248:K248,""))</f>
        <v>02000000FEFFFFFF</v>
      </c>
      <c r="I248" s="2" t="e">
        <f>_xlfn.LET(_xlpm.big,DEC2HEX(_xlfn.BITLSHIFT(M248-_xlfn.XLOOKUP(O248,Data!A:A,Data!F:F),4)+O248,8),_xlfn.CONCAT(MID(_xlpm.big,7,2),MID(_xlpm.big,5,2),MID(_xlpm.big,3,2),MID(_xlpm.big,1,2)))</f>
        <v>#NUM!</v>
      </c>
      <c r="J248" s="2" t="str">
        <f t="shared" si="12"/>
        <v>02000000</v>
      </c>
      <c r="K248" s="2" t="str">
        <f>_xlfn.LET(_xlpm.big,IF(H248,DEC2HEX(HEX2DEC(F248),8),DEC2HEX(N248-_xlfn.XLOOKUP(P248,Data!A:A,Data!F:F),8)),_xlfn.CONCAT(MID(_xlpm.big,7,2),MID(_xlpm.big,5,2),MID(_xlpm.big,3,2),MID(_xlpm.big,1,2)))</f>
        <v>FEFFFFFF</v>
      </c>
      <c r="L248" s="2">
        <f t="shared" si="13"/>
        <v>0</v>
      </c>
      <c r="M248" s="2">
        <f t="shared" si="14"/>
        <v>0</v>
      </c>
      <c r="N248" s="2">
        <f t="shared" si="15"/>
        <v>0</v>
      </c>
      <c r="O248" s="2" cm="1">
        <f t="array" ref="O248">_xlfn.IFS(M248&lt;Data!$F$3,0,M248&lt;Data!$F$4,1,TRUE,2)</f>
        <v>0</v>
      </c>
      <c r="P248" s="2" cm="1">
        <f t="array" ref="P248">_xlfn.IFS(H248,3,N248&lt;Data!$F$3,0,N248&lt;Data!$F$4,1,TRUE,2)</f>
        <v>0</v>
      </c>
    </row>
    <row r="249" spans="4:16">
      <c r="D249" s="3"/>
      <c r="E249" s="3"/>
      <c r="F249" s="3"/>
      <c r="G249" s="2" t="str" cm="1">
        <f t="array" ref="G249">_xlfn.CONCAT(IFERROR(I249:K249,""))</f>
        <v>02000000FEFFFFFF</v>
      </c>
      <c r="I249" s="2" t="e">
        <f>_xlfn.LET(_xlpm.big,DEC2HEX(_xlfn.BITLSHIFT(M249-_xlfn.XLOOKUP(O249,Data!A:A,Data!F:F),4)+O249,8),_xlfn.CONCAT(MID(_xlpm.big,7,2),MID(_xlpm.big,5,2),MID(_xlpm.big,3,2),MID(_xlpm.big,1,2)))</f>
        <v>#NUM!</v>
      </c>
      <c r="J249" s="2" t="str">
        <f t="shared" si="12"/>
        <v>02000000</v>
      </c>
      <c r="K249" s="2" t="str">
        <f>_xlfn.LET(_xlpm.big,IF(H249,DEC2HEX(HEX2DEC(F249),8),DEC2HEX(N249-_xlfn.XLOOKUP(P249,Data!A:A,Data!F:F),8)),_xlfn.CONCAT(MID(_xlpm.big,7,2),MID(_xlpm.big,5,2),MID(_xlpm.big,3,2),MID(_xlpm.big,1,2)))</f>
        <v>FEFFFFFF</v>
      </c>
      <c r="L249" s="2">
        <f t="shared" si="13"/>
        <v>0</v>
      </c>
      <c r="M249" s="2">
        <f t="shared" si="14"/>
        <v>0</v>
      </c>
      <c r="N249" s="2">
        <f t="shared" si="15"/>
        <v>0</v>
      </c>
      <c r="O249" s="2" cm="1">
        <f t="array" ref="O249">_xlfn.IFS(M249&lt;Data!$F$3,0,M249&lt;Data!$F$4,1,TRUE,2)</f>
        <v>0</v>
      </c>
      <c r="P249" s="2" cm="1">
        <f t="array" ref="P249">_xlfn.IFS(H249,3,N249&lt;Data!$F$3,0,N249&lt;Data!$F$4,1,TRUE,2)</f>
        <v>0</v>
      </c>
    </row>
    <row r="250" spans="4:16">
      <c r="D250" s="3"/>
      <c r="E250" s="3"/>
      <c r="F250" s="3"/>
      <c r="G250" s="2" t="str" cm="1">
        <f t="array" ref="G250">_xlfn.CONCAT(IFERROR(I250:K250,""))</f>
        <v>02000000FEFFFFFF</v>
      </c>
      <c r="I250" s="2" t="e">
        <f>_xlfn.LET(_xlpm.big,DEC2HEX(_xlfn.BITLSHIFT(M250-_xlfn.XLOOKUP(O250,Data!A:A,Data!F:F),4)+O250,8),_xlfn.CONCAT(MID(_xlpm.big,7,2),MID(_xlpm.big,5,2),MID(_xlpm.big,3,2),MID(_xlpm.big,1,2)))</f>
        <v>#NUM!</v>
      </c>
      <c r="J250" s="2" t="str">
        <f t="shared" si="12"/>
        <v>02000000</v>
      </c>
      <c r="K250" s="2" t="str">
        <f>_xlfn.LET(_xlpm.big,IF(H250,DEC2HEX(HEX2DEC(F250),8),DEC2HEX(N250-_xlfn.XLOOKUP(P250,Data!A:A,Data!F:F),8)),_xlfn.CONCAT(MID(_xlpm.big,7,2),MID(_xlpm.big,5,2),MID(_xlpm.big,3,2),MID(_xlpm.big,1,2)))</f>
        <v>FEFFFFFF</v>
      </c>
      <c r="L250" s="2">
        <f t="shared" si="13"/>
        <v>0</v>
      </c>
      <c r="M250" s="2">
        <f t="shared" si="14"/>
        <v>0</v>
      </c>
      <c r="N250" s="2">
        <f t="shared" si="15"/>
        <v>0</v>
      </c>
      <c r="O250" s="2" cm="1">
        <f t="array" ref="O250">_xlfn.IFS(M250&lt;Data!$F$3,0,M250&lt;Data!$F$4,1,TRUE,2)</f>
        <v>0</v>
      </c>
      <c r="P250" s="2" cm="1">
        <f t="array" ref="P250">_xlfn.IFS(H250,3,N250&lt;Data!$F$3,0,N250&lt;Data!$F$4,1,TRUE,2)</f>
        <v>0</v>
      </c>
    </row>
    <row r="251" spans="4:16">
      <c r="D251" s="3"/>
      <c r="E251" s="3"/>
      <c r="F251" s="3"/>
      <c r="G251" s="2" t="str" cm="1">
        <f t="array" ref="G251">_xlfn.CONCAT(IFERROR(I251:K251,""))</f>
        <v>02000000FEFFFFFF</v>
      </c>
      <c r="I251" s="2" t="e">
        <f>_xlfn.LET(_xlpm.big,DEC2HEX(_xlfn.BITLSHIFT(M251-_xlfn.XLOOKUP(O251,Data!A:A,Data!F:F),4)+O251,8),_xlfn.CONCAT(MID(_xlpm.big,7,2),MID(_xlpm.big,5,2),MID(_xlpm.big,3,2),MID(_xlpm.big,1,2)))</f>
        <v>#NUM!</v>
      </c>
      <c r="J251" s="2" t="str">
        <f t="shared" si="12"/>
        <v>02000000</v>
      </c>
      <c r="K251" s="2" t="str">
        <f>_xlfn.LET(_xlpm.big,IF(H251,DEC2HEX(HEX2DEC(F251),8),DEC2HEX(N251-_xlfn.XLOOKUP(P251,Data!A:A,Data!F:F),8)),_xlfn.CONCAT(MID(_xlpm.big,7,2),MID(_xlpm.big,5,2),MID(_xlpm.big,3,2),MID(_xlpm.big,1,2)))</f>
        <v>FEFFFFFF</v>
      </c>
      <c r="L251" s="2">
        <f t="shared" si="13"/>
        <v>0</v>
      </c>
      <c r="M251" s="2">
        <f t="shared" si="14"/>
        <v>0</v>
      </c>
      <c r="N251" s="2">
        <f t="shared" si="15"/>
        <v>0</v>
      </c>
      <c r="O251" s="2" cm="1">
        <f t="array" ref="O251">_xlfn.IFS(M251&lt;Data!$F$3,0,M251&lt;Data!$F$4,1,TRUE,2)</f>
        <v>0</v>
      </c>
      <c r="P251" s="2" cm="1">
        <f t="array" ref="P251">_xlfn.IFS(H251,3,N251&lt;Data!$F$3,0,N251&lt;Data!$F$4,1,TRUE,2)</f>
        <v>0</v>
      </c>
    </row>
    <row r="252" spans="4:16">
      <c r="D252" s="3"/>
      <c r="E252" s="3"/>
      <c r="F252" s="3"/>
      <c r="G252" s="2" t="str" cm="1">
        <f t="array" ref="G252">_xlfn.CONCAT(IFERROR(I252:K252,""))</f>
        <v>02000000FEFFFFFF</v>
      </c>
      <c r="I252" s="2" t="e">
        <f>_xlfn.LET(_xlpm.big,DEC2HEX(_xlfn.BITLSHIFT(M252-_xlfn.XLOOKUP(O252,Data!A:A,Data!F:F),4)+O252,8),_xlfn.CONCAT(MID(_xlpm.big,7,2),MID(_xlpm.big,5,2),MID(_xlpm.big,3,2),MID(_xlpm.big,1,2)))</f>
        <v>#NUM!</v>
      </c>
      <c r="J252" s="2" t="str">
        <f t="shared" si="12"/>
        <v>02000000</v>
      </c>
      <c r="K252" s="2" t="str">
        <f>_xlfn.LET(_xlpm.big,IF(H252,DEC2HEX(HEX2DEC(F252),8),DEC2HEX(N252-_xlfn.XLOOKUP(P252,Data!A:A,Data!F:F),8)),_xlfn.CONCAT(MID(_xlpm.big,7,2),MID(_xlpm.big,5,2),MID(_xlpm.big,3,2),MID(_xlpm.big,1,2)))</f>
        <v>FEFFFFFF</v>
      </c>
      <c r="L252" s="2">
        <f t="shared" si="13"/>
        <v>0</v>
      </c>
      <c r="M252" s="2">
        <f t="shared" si="14"/>
        <v>0</v>
      </c>
      <c r="N252" s="2">
        <f t="shared" si="15"/>
        <v>0</v>
      </c>
      <c r="O252" s="2" cm="1">
        <f t="array" ref="O252">_xlfn.IFS(M252&lt;Data!$F$3,0,M252&lt;Data!$F$4,1,TRUE,2)</f>
        <v>0</v>
      </c>
      <c r="P252" s="2" cm="1">
        <f t="array" ref="P252">_xlfn.IFS(H252,3,N252&lt;Data!$F$3,0,N252&lt;Data!$F$4,1,TRUE,2)</f>
        <v>0</v>
      </c>
    </row>
    <row r="253" spans="4:16">
      <c r="D253" s="3"/>
      <c r="E253" s="3"/>
      <c r="F253" s="3"/>
      <c r="G253" s="2" t="str" cm="1">
        <f t="array" ref="G253">_xlfn.CONCAT(IFERROR(I253:K253,""))</f>
        <v>02000000FEFFFFFF</v>
      </c>
      <c r="I253" s="2" t="e">
        <f>_xlfn.LET(_xlpm.big,DEC2HEX(_xlfn.BITLSHIFT(M253-_xlfn.XLOOKUP(O253,Data!A:A,Data!F:F),4)+O253,8),_xlfn.CONCAT(MID(_xlpm.big,7,2),MID(_xlpm.big,5,2),MID(_xlpm.big,3,2),MID(_xlpm.big,1,2)))</f>
        <v>#NUM!</v>
      </c>
      <c r="J253" s="2" t="str">
        <f t="shared" si="12"/>
        <v>02000000</v>
      </c>
      <c r="K253" s="2" t="str">
        <f>_xlfn.LET(_xlpm.big,IF(H253,DEC2HEX(HEX2DEC(F253),8),DEC2HEX(N253-_xlfn.XLOOKUP(P253,Data!A:A,Data!F:F),8)),_xlfn.CONCAT(MID(_xlpm.big,7,2),MID(_xlpm.big,5,2),MID(_xlpm.big,3,2),MID(_xlpm.big,1,2)))</f>
        <v>FEFFFFFF</v>
      </c>
      <c r="L253" s="2">
        <f t="shared" si="13"/>
        <v>0</v>
      </c>
      <c r="M253" s="2">
        <f t="shared" si="14"/>
        <v>0</v>
      </c>
      <c r="N253" s="2">
        <f t="shared" si="15"/>
        <v>0</v>
      </c>
      <c r="O253" s="2" cm="1">
        <f t="array" ref="O253">_xlfn.IFS(M253&lt;Data!$F$3,0,M253&lt;Data!$F$4,1,TRUE,2)</f>
        <v>0</v>
      </c>
      <c r="P253" s="2" cm="1">
        <f t="array" ref="P253">_xlfn.IFS(H253,3,N253&lt;Data!$F$3,0,N253&lt;Data!$F$4,1,TRUE,2)</f>
        <v>0</v>
      </c>
    </row>
    <row r="254" spans="4:16">
      <c r="D254" s="3"/>
      <c r="E254" s="3"/>
      <c r="G254" s="2" t="str" cm="1">
        <f t="array" ref="G254">_xlfn.CONCAT(IFERROR(I254:K254,""))</f>
        <v>02000000FEFFFFFF</v>
      </c>
      <c r="I254" s="2" t="e">
        <f>_xlfn.LET(_xlpm.big,DEC2HEX(_xlfn.BITLSHIFT(M254-_xlfn.XLOOKUP(O254,Data!A:A,Data!F:F),4)+O254,8),_xlfn.CONCAT(MID(_xlpm.big,7,2),MID(_xlpm.big,5,2),MID(_xlpm.big,3,2),MID(_xlpm.big,1,2)))</f>
        <v>#NUM!</v>
      </c>
      <c r="J254" s="2" t="str">
        <f t="shared" si="12"/>
        <v>02000000</v>
      </c>
      <c r="K254" s="2" t="str">
        <f>_xlfn.LET(_xlpm.big,IF(H254,DEC2HEX(HEX2DEC(F254),8),DEC2HEX(N254-_xlfn.XLOOKUP(P254,Data!A:A,Data!F:F),8)),_xlfn.CONCAT(MID(_xlpm.big,7,2),MID(_xlpm.big,5,2),MID(_xlpm.big,3,2),MID(_xlpm.big,1,2)))</f>
        <v>FEFFFFFF</v>
      </c>
      <c r="L254" s="2">
        <f t="shared" si="13"/>
        <v>0</v>
      </c>
      <c r="M254" s="2">
        <f t="shared" si="14"/>
        <v>0</v>
      </c>
      <c r="N254" s="2">
        <f t="shared" si="15"/>
        <v>0</v>
      </c>
      <c r="O254" s="2" cm="1">
        <f t="array" ref="O254">_xlfn.IFS(M254&lt;Data!$F$3,0,M254&lt;Data!$F$4,1,TRUE,2)</f>
        <v>0</v>
      </c>
      <c r="P254" s="2" cm="1">
        <f t="array" ref="P254">_xlfn.IFS(H254,3,N254&lt;Data!$F$3,0,N254&lt;Data!$F$4,1,TRUE,2)</f>
        <v>0</v>
      </c>
    </row>
    <row r="255" spans="4:16">
      <c r="D255" s="3"/>
      <c r="E255" s="3"/>
      <c r="F255" s="3"/>
      <c r="G255" s="2" t="str" cm="1">
        <f t="array" ref="G255">_xlfn.CONCAT(IFERROR(I255:K255,""))</f>
        <v>02000000FEFFFFFF</v>
      </c>
      <c r="I255" s="2" t="e">
        <f>_xlfn.LET(_xlpm.big,DEC2HEX(_xlfn.BITLSHIFT(M255-_xlfn.XLOOKUP(O255,Data!A:A,Data!F:F),4)+O255,8),_xlfn.CONCAT(MID(_xlpm.big,7,2),MID(_xlpm.big,5,2),MID(_xlpm.big,3,2),MID(_xlpm.big,1,2)))</f>
        <v>#NUM!</v>
      </c>
      <c r="J255" s="2" t="str">
        <f t="shared" si="12"/>
        <v>02000000</v>
      </c>
      <c r="K255" s="2" t="str">
        <f>_xlfn.LET(_xlpm.big,IF(H255,DEC2HEX(HEX2DEC(F255),8),DEC2HEX(N255-_xlfn.XLOOKUP(P255,Data!A:A,Data!F:F),8)),_xlfn.CONCAT(MID(_xlpm.big,7,2),MID(_xlpm.big,5,2),MID(_xlpm.big,3,2),MID(_xlpm.big,1,2)))</f>
        <v>FEFFFFFF</v>
      </c>
      <c r="L255" s="2">
        <f t="shared" si="13"/>
        <v>0</v>
      </c>
      <c r="M255" s="2">
        <f t="shared" si="14"/>
        <v>0</v>
      </c>
      <c r="N255" s="2">
        <f t="shared" si="15"/>
        <v>0</v>
      </c>
      <c r="O255" s="2" cm="1">
        <f t="array" ref="O255">_xlfn.IFS(M255&lt;Data!$F$3,0,M255&lt;Data!$F$4,1,TRUE,2)</f>
        <v>0</v>
      </c>
      <c r="P255" s="2" cm="1">
        <f t="array" ref="P255">_xlfn.IFS(H255,3,N255&lt;Data!$F$3,0,N255&lt;Data!$F$4,1,TRUE,2)</f>
        <v>0</v>
      </c>
    </row>
    <row r="256" spans="4:16">
      <c r="D256" s="3"/>
      <c r="E256" s="3"/>
      <c r="F256" s="3"/>
      <c r="G256" s="2" t="str" cm="1">
        <f t="array" ref="G256">_xlfn.CONCAT(IFERROR(I256:K256,""))</f>
        <v>02000000FEFFFFFF</v>
      </c>
      <c r="I256" s="2" t="e">
        <f>_xlfn.LET(_xlpm.big,DEC2HEX(_xlfn.BITLSHIFT(M256-_xlfn.XLOOKUP(O256,Data!A:A,Data!F:F),4)+O256,8),_xlfn.CONCAT(MID(_xlpm.big,7,2),MID(_xlpm.big,5,2),MID(_xlpm.big,3,2),MID(_xlpm.big,1,2)))</f>
        <v>#NUM!</v>
      </c>
      <c r="J256" s="2" t="str">
        <f t="shared" si="12"/>
        <v>02000000</v>
      </c>
      <c r="K256" s="2" t="str">
        <f>_xlfn.LET(_xlpm.big,IF(H256,DEC2HEX(HEX2DEC(F256),8),DEC2HEX(N256-_xlfn.XLOOKUP(P256,Data!A:A,Data!F:F),8)),_xlfn.CONCAT(MID(_xlpm.big,7,2),MID(_xlpm.big,5,2),MID(_xlpm.big,3,2),MID(_xlpm.big,1,2)))</f>
        <v>FEFFFFFF</v>
      </c>
      <c r="L256" s="2">
        <f t="shared" si="13"/>
        <v>0</v>
      </c>
      <c r="M256" s="2">
        <f t="shared" si="14"/>
        <v>0</v>
      </c>
      <c r="N256" s="2">
        <f t="shared" si="15"/>
        <v>0</v>
      </c>
      <c r="O256" s="2" cm="1">
        <f t="array" ref="O256">_xlfn.IFS(M256&lt;Data!$F$3,0,M256&lt;Data!$F$4,1,TRUE,2)</f>
        <v>0</v>
      </c>
      <c r="P256" s="2" cm="1">
        <f t="array" ref="P256">_xlfn.IFS(H256,3,N256&lt;Data!$F$3,0,N256&lt;Data!$F$4,1,TRUE,2)</f>
        <v>0</v>
      </c>
    </row>
    <row r="257" spans="4:16">
      <c r="D257" s="3"/>
      <c r="E257" s="3"/>
      <c r="F257" s="3"/>
      <c r="G257" s="2" t="str" cm="1">
        <f t="array" ref="G257">_xlfn.CONCAT(IFERROR(I257:K257,""))</f>
        <v>02000000FEFFFFFF</v>
      </c>
      <c r="I257" s="2" t="e">
        <f>_xlfn.LET(_xlpm.big,DEC2HEX(_xlfn.BITLSHIFT(M257-_xlfn.XLOOKUP(O257,Data!A:A,Data!F:F),4)+O257,8),_xlfn.CONCAT(MID(_xlpm.big,7,2),MID(_xlpm.big,5,2),MID(_xlpm.big,3,2),MID(_xlpm.big,1,2)))</f>
        <v>#NUM!</v>
      </c>
      <c r="J257" s="2" t="str">
        <f t="shared" si="12"/>
        <v>02000000</v>
      </c>
      <c r="K257" s="2" t="str">
        <f>_xlfn.LET(_xlpm.big,IF(H257,DEC2HEX(HEX2DEC(F257),8),DEC2HEX(N257-_xlfn.XLOOKUP(P257,Data!A:A,Data!F:F),8)),_xlfn.CONCAT(MID(_xlpm.big,7,2),MID(_xlpm.big,5,2),MID(_xlpm.big,3,2),MID(_xlpm.big,1,2)))</f>
        <v>FEFFFFFF</v>
      </c>
      <c r="L257" s="2">
        <f t="shared" si="13"/>
        <v>0</v>
      </c>
      <c r="M257" s="2">
        <f t="shared" si="14"/>
        <v>0</v>
      </c>
      <c r="N257" s="2">
        <f t="shared" si="15"/>
        <v>0</v>
      </c>
      <c r="O257" s="2" cm="1">
        <f t="array" ref="O257">_xlfn.IFS(M257&lt;Data!$F$3,0,M257&lt;Data!$F$4,1,TRUE,2)</f>
        <v>0</v>
      </c>
      <c r="P257" s="2" cm="1">
        <f t="array" ref="P257">_xlfn.IFS(H257,3,N257&lt;Data!$F$3,0,N257&lt;Data!$F$4,1,TRUE,2)</f>
        <v>0</v>
      </c>
    </row>
    <row r="258" spans="4:16">
      <c r="D258" s="3"/>
      <c r="E258" s="3"/>
      <c r="F258" s="3"/>
      <c r="G258" s="2" t="str" cm="1">
        <f t="array" ref="G258">_xlfn.CONCAT(IFERROR(I258:K258,""))</f>
        <v>02000000FEFFFFFF</v>
      </c>
      <c r="I258" s="2" t="e">
        <f>_xlfn.LET(_xlpm.big,DEC2HEX(_xlfn.BITLSHIFT(M258-_xlfn.XLOOKUP(O258,Data!A:A,Data!F:F),4)+O258,8),_xlfn.CONCAT(MID(_xlpm.big,7,2),MID(_xlpm.big,5,2),MID(_xlpm.big,3,2),MID(_xlpm.big,1,2)))</f>
        <v>#NUM!</v>
      </c>
      <c r="J258" s="2" t="str">
        <f t="shared" ref="J258:J321" si="16">_xlfn.CONCAT("02",DEC2HEX(P258,2),"0000")</f>
        <v>02000000</v>
      </c>
      <c r="K258" s="2" t="str">
        <f>_xlfn.LET(_xlpm.big,IF(H258,DEC2HEX(HEX2DEC(F258),8),DEC2HEX(N258-_xlfn.XLOOKUP(P258,Data!A:A,Data!F:F),8)),_xlfn.CONCAT(MID(_xlpm.big,7,2),MID(_xlpm.big,5,2),MID(_xlpm.big,3,2),MID(_xlpm.big,1,2)))</f>
        <v>FEFFFFFF</v>
      </c>
      <c r="L258" s="2">
        <f t="shared" ref="L258:L321" si="17">HEX2DEC(D258)</f>
        <v>0</v>
      </c>
      <c r="M258" s="2">
        <f t="shared" ref="M258:M321" si="18">HEX2DEC(E258)</f>
        <v>0</v>
      </c>
      <c r="N258" s="2">
        <f t="shared" ref="N258:N321" si="19">HEX2DEC(F258)</f>
        <v>0</v>
      </c>
      <c r="O258" s="2" cm="1">
        <f t="array" ref="O258">_xlfn.IFS(M258&lt;Data!$F$3,0,M258&lt;Data!$F$4,1,TRUE,2)</f>
        <v>0</v>
      </c>
      <c r="P258" s="2" cm="1">
        <f t="array" ref="P258">_xlfn.IFS(H258,3,N258&lt;Data!$F$3,0,N258&lt;Data!$F$4,1,TRUE,2)</f>
        <v>0</v>
      </c>
    </row>
    <row r="259" spans="4:16">
      <c r="D259" s="3"/>
      <c r="E259" s="3"/>
      <c r="F259" s="3"/>
      <c r="G259" s="2" t="str" cm="1">
        <f t="array" ref="G259">_xlfn.CONCAT(IFERROR(I259:K259,""))</f>
        <v>02000000FEFFFFFF</v>
      </c>
      <c r="I259" s="2" t="e">
        <f>_xlfn.LET(_xlpm.big,DEC2HEX(_xlfn.BITLSHIFT(M259-_xlfn.XLOOKUP(O259,Data!A:A,Data!F:F),4)+O259,8),_xlfn.CONCAT(MID(_xlpm.big,7,2),MID(_xlpm.big,5,2),MID(_xlpm.big,3,2),MID(_xlpm.big,1,2)))</f>
        <v>#NUM!</v>
      </c>
      <c r="J259" s="2" t="str">
        <f t="shared" si="16"/>
        <v>02000000</v>
      </c>
      <c r="K259" s="2" t="str">
        <f>_xlfn.LET(_xlpm.big,IF(H259,DEC2HEX(HEX2DEC(F259),8),DEC2HEX(N259-_xlfn.XLOOKUP(P259,Data!A:A,Data!F:F),8)),_xlfn.CONCAT(MID(_xlpm.big,7,2),MID(_xlpm.big,5,2),MID(_xlpm.big,3,2),MID(_xlpm.big,1,2)))</f>
        <v>FEFFFFFF</v>
      </c>
      <c r="L259" s="2">
        <f t="shared" si="17"/>
        <v>0</v>
      </c>
      <c r="M259" s="2">
        <f t="shared" si="18"/>
        <v>0</v>
      </c>
      <c r="N259" s="2">
        <f t="shared" si="19"/>
        <v>0</v>
      </c>
      <c r="O259" s="2" cm="1">
        <f t="array" ref="O259">_xlfn.IFS(M259&lt;Data!$F$3,0,M259&lt;Data!$F$4,1,TRUE,2)</f>
        <v>0</v>
      </c>
      <c r="P259" s="2" cm="1">
        <f t="array" ref="P259">_xlfn.IFS(H259,3,N259&lt;Data!$F$3,0,N259&lt;Data!$F$4,1,TRUE,2)</f>
        <v>0</v>
      </c>
    </row>
    <row r="260" spans="4:16">
      <c r="D260" s="3"/>
      <c r="E260" s="3"/>
      <c r="F260" s="3"/>
      <c r="G260" s="2" t="str" cm="1">
        <f t="array" ref="G260">_xlfn.CONCAT(IFERROR(I260:K260,""))</f>
        <v>02000000FEFFFFFF</v>
      </c>
      <c r="I260" s="2" t="e">
        <f>_xlfn.LET(_xlpm.big,DEC2HEX(_xlfn.BITLSHIFT(M260-_xlfn.XLOOKUP(O260,Data!A:A,Data!F:F),4)+O260,8),_xlfn.CONCAT(MID(_xlpm.big,7,2),MID(_xlpm.big,5,2),MID(_xlpm.big,3,2),MID(_xlpm.big,1,2)))</f>
        <v>#NUM!</v>
      </c>
      <c r="J260" s="2" t="str">
        <f t="shared" si="16"/>
        <v>02000000</v>
      </c>
      <c r="K260" s="2" t="str">
        <f>_xlfn.LET(_xlpm.big,IF(H260,DEC2HEX(HEX2DEC(F260),8),DEC2HEX(N260-_xlfn.XLOOKUP(P260,Data!A:A,Data!F:F),8)),_xlfn.CONCAT(MID(_xlpm.big,7,2),MID(_xlpm.big,5,2),MID(_xlpm.big,3,2),MID(_xlpm.big,1,2)))</f>
        <v>FEFFFFFF</v>
      </c>
      <c r="L260" s="2">
        <f t="shared" si="17"/>
        <v>0</v>
      </c>
      <c r="M260" s="2">
        <f t="shared" si="18"/>
        <v>0</v>
      </c>
      <c r="N260" s="2">
        <f t="shared" si="19"/>
        <v>0</v>
      </c>
      <c r="O260" s="2" cm="1">
        <f t="array" ref="O260">_xlfn.IFS(M260&lt;Data!$F$3,0,M260&lt;Data!$F$4,1,TRUE,2)</f>
        <v>0</v>
      </c>
      <c r="P260" s="2" cm="1">
        <f t="array" ref="P260">_xlfn.IFS(H260,3,N260&lt;Data!$F$3,0,N260&lt;Data!$F$4,1,TRUE,2)</f>
        <v>0</v>
      </c>
    </row>
    <row r="261" spans="4:16">
      <c r="D261" s="3"/>
      <c r="E261" s="3"/>
      <c r="F261" s="3"/>
      <c r="G261" s="2" t="str" cm="1">
        <f t="array" ref="G261">_xlfn.CONCAT(IFERROR(I261:K261,""))</f>
        <v>02000000FEFFFFFF</v>
      </c>
      <c r="I261" s="2" t="e">
        <f>_xlfn.LET(_xlpm.big,DEC2HEX(_xlfn.BITLSHIFT(M261-_xlfn.XLOOKUP(O261,Data!A:A,Data!F:F),4)+O261,8),_xlfn.CONCAT(MID(_xlpm.big,7,2),MID(_xlpm.big,5,2),MID(_xlpm.big,3,2),MID(_xlpm.big,1,2)))</f>
        <v>#NUM!</v>
      </c>
      <c r="J261" s="2" t="str">
        <f t="shared" si="16"/>
        <v>02000000</v>
      </c>
      <c r="K261" s="2" t="str">
        <f>_xlfn.LET(_xlpm.big,IF(H261,DEC2HEX(HEX2DEC(F261),8),DEC2HEX(N261-_xlfn.XLOOKUP(P261,Data!A:A,Data!F:F),8)),_xlfn.CONCAT(MID(_xlpm.big,7,2),MID(_xlpm.big,5,2),MID(_xlpm.big,3,2),MID(_xlpm.big,1,2)))</f>
        <v>FEFFFFFF</v>
      </c>
      <c r="L261" s="2">
        <f t="shared" si="17"/>
        <v>0</v>
      </c>
      <c r="M261" s="2">
        <f t="shared" si="18"/>
        <v>0</v>
      </c>
      <c r="N261" s="2">
        <f t="shared" si="19"/>
        <v>0</v>
      </c>
      <c r="O261" s="2" cm="1">
        <f t="array" ref="O261">_xlfn.IFS(M261&lt;Data!$F$3,0,M261&lt;Data!$F$4,1,TRUE,2)</f>
        <v>0</v>
      </c>
      <c r="P261" s="2" cm="1">
        <f t="array" ref="P261">_xlfn.IFS(H261,3,N261&lt;Data!$F$3,0,N261&lt;Data!$F$4,1,TRUE,2)</f>
        <v>0</v>
      </c>
    </row>
    <row r="262" spans="4:16">
      <c r="D262" s="3"/>
      <c r="E262" s="3"/>
      <c r="F262" s="3"/>
      <c r="G262" s="2" t="str" cm="1">
        <f t="array" ref="G262">_xlfn.CONCAT(IFERROR(I262:K262,""))</f>
        <v>02000000FEFFFFFF</v>
      </c>
      <c r="I262" s="2" t="e">
        <f>_xlfn.LET(_xlpm.big,DEC2HEX(_xlfn.BITLSHIFT(M262-_xlfn.XLOOKUP(O262,Data!A:A,Data!F:F),4)+O262,8),_xlfn.CONCAT(MID(_xlpm.big,7,2),MID(_xlpm.big,5,2),MID(_xlpm.big,3,2),MID(_xlpm.big,1,2)))</f>
        <v>#NUM!</v>
      </c>
      <c r="J262" s="2" t="str">
        <f t="shared" si="16"/>
        <v>02000000</v>
      </c>
      <c r="K262" s="2" t="str">
        <f>_xlfn.LET(_xlpm.big,IF(H262,DEC2HEX(HEX2DEC(F262),8),DEC2HEX(N262-_xlfn.XLOOKUP(P262,Data!A:A,Data!F:F),8)),_xlfn.CONCAT(MID(_xlpm.big,7,2),MID(_xlpm.big,5,2),MID(_xlpm.big,3,2),MID(_xlpm.big,1,2)))</f>
        <v>FEFFFFFF</v>
      </c>
      <c r="L262" s="2">
        <f t="shared" si="17"/>
        <v>0</v>
      </c>
      <c r="M262" s="2">
        <f t="shared" si="18"/>
        <v>0</v>
      </c>
      <c r="N262" s="2">
        <f t="shared" si="19"/>
        <v>0</v>
      </c>
      <c r="O262" s="2" cm="1">
        <f t="array" ref="O262">_xlfn.IFS(M262&lt;Data!$F$3,0,M262&lt;Data!$F$4,1,TRUE,2)</f>
        <v>0</v>
      </c>
      <c r="P262" s="2" cm="1">
        <f t="array" ref="P262">_xlfn.IFS(H262,3,N262&lt;Data!$F$3,0,N262&lt;Data!$F$4,1,TRUE,2)</f>
        <v>0</v>
      </c>
    </row>
    <row r="263" spans="4:16">
      <c r="D263" s="3"/>
      <c r="E263" s="3"/>
      <c r="F263" s="3"/>
      <c r="G263" s="2" t="str" cm="1">
        <f t="array" ref="G263">_xlfn.CONCAT(IFERROR(I263:K263,""))</f>
        <v>02000000FEFFFFFF</v>
      </c>
      <c r="I263" s="2" t="e">
        <f>_xlfn.LET(_xlpm.big,DEC2HEX(_xlfn.BITLSHIFT(M263-_xlfn.XLOOKUP(O263,Data!A:A,Data!F:F),4)+O263,8),_xlfn.CONCAT(MID(_xlpm.big,7,2),MID(_xlpm.big,5,2),MID(_xlpm.big,3,2),MID(_xlpm.big,1,2)))</f>
        <v>#NUM!</v>
      </c>
      <c r="J263" s="2" t="str">
        <f t="shared" si="16"/>
        <v>02000000</v>
      </c>
      <c r="K263" s="2" t="str">
        <f>_xlfn.LET(_xlpm.big,IF(H263,DEC2HEX(HEX2DEC(F263),8),DEC2HEX(N263-_xlfn.XLOOKUP(P263,Data!A:A,Data!F:F),8)),_xlfn.CONCAT(MID(_xlpm.big,7,2),MID(_xlpm.big,5,2),MID(_xlpm.big,3,2),MID(_xlpm.big,1,2)))</f>
        <v>FEFFFFFF</v>
      </c>
      <c r="L263" s="2">
        <f t="shared" si="17"/>
        <v>0</v>
      </c>
      <c r="M263" s="2">
        <f t="shared" si="18"/>
        <v>0</v>
      </c>
      <c r="N263" s="2">
        <f t="shared" si="19"/>
        <v>0</v>
      </c>
      <c r="O263" s="2" cm="1">
        <f t="array" ref="O263">_xlfn.IFS(M263&lt;Data!$F$3,0,M263&lt;Data!$F$4,1,TRUE,2)</f>
        <v>0</v>
      </c>
      <c r="P263" s="2" cm="1">
        <f t="array" ref="P263">_xlfn.IFS(H263,3,N263&lt;Data!$F$3,0,N263&lt;Data!$F$4,1,TRUE,2)</f>
        <v>0</v>
      </c>
    </row>
    <row r="264" spans="4:16">
      <c r="D264" s="3"/>
      <c r="E264" s="3"/>
      <c r="F264" s="3"/>
      <c r="G264" s="2" t="str" cm="1">
        <f t="array" ref="G264">_xlfn.CONCAT(IFERROR(I264:K264,""))</f>
        <v>02000000FEFFFFFF</v>
      </c>
      <c r="I264" s="2" t="e">
        <f>_xlfn.LET(_xlpm.big,DEC2HEX(_xlfn.BITLSHIFT(M264-_xlfn.XLOOKUP(O264,Data!A:A,Data!F:F),4)+O264,8),_xlfn.CONCAT(MID(_xlpm.big,7,2),MID(_xlpm.big,5,2),MID(_xlpm.big,3,2),MID(_xlpm.big,1,2)))</f>
        <v>#NUM!</v>
      </c>
      <c r="J264" s="2" t="str">
        <f t="shared" si="16"/>
        <v>02000000</v>
      </c>
      <c r="K264" s="2" t="str">
        <f>_xlfn.LET(_xlpm.big,IF(H264,DEC2HEX(HEX2DEC(F264),8),DEC2HEX(N264-_xlfn.XLOOKUP(P264,Data!A:A,Data!F:F),8)),_xlfn.CONCAT(MID(_xlpm.big,7,2),MID(_xlpm.big,5,2),MID(_xlpm.big,3,2),MID(_xlpm.big,1,2)))</f>
        <v>FEFFFFFF</v>
      </c>
      <c r="L264" s="2">
        <f t="shared" si="17"/>
        <v>0</v>
      </c>
      <c r="M264" s="2">
        <f t="shared" si="18"/>
        <v>0</v>
      </c>
      <c r="N264" s="2">
        <f t="shared" si="19"/>
        <v>0</v>
      </c>
      <c r="O264" s="2" cm="1">
        <f t="array" ref="O264">_xlfn.IFS(M264&lt;Data!$F$3,0,M264&lt;Data!$F$4,1,TRUE,2)</f>
        <v>0</v>
      </c>
      <c r="P264" s="2" cm="1">
        <f t="array" ref="P264">_xlfn.IFS(H264,3,N264&lt;Data!$F$3,0,N264&lt;Data!$F$4,1,TRUE,2)</f>
        <v>0</v>
      </c>
    </row>
    <row r="265" spans="4:16">
      <c r="D265" s="3"/>
      <c r="E265" s="3"/>
      <c r="F265" s="3"/>
      <c r="G265" s="2" t="str" cm="1">
        <f t="array" ref="G265">_xlfn.CONCAT(IFERROR(I265:K265,""))</f>
        <v>02000000FEFFFFFF</v>
      </c>
      <c r="I265" s="2" t="e">
        <f>_xlfn.LET(_xlpm.big,DEC2HEX(_xlfn.BITLSHIFT(M265-_xlfn.XLOOKUP(O265,Data!A:A,Data!F:F),4)+O265,8),_xlfn.CONCAT(MID(_xlpm.big,7,2),MID(_xlpm.big,5,2),MID(_xlpm.big,3,2),MID(_xlpm.big,1,2)))</f>
        <v>#NUM!</v>
      </c>
      <c r="J265" s="2" t="str">
        <f t="shared" si="16"/>
        <v>02000000</v>
      </c>
      <c r="K265" s="2" t="str">
        <f>_xlfn.LET(_xlpm.big,IF(H265,DEC2HEX(HEX2DEC(F265),8),DEC2HEX(N265-_xlfn.XLOOKUP(P265,Data!A:A,Data!F:F),8)),_xlfn.CONCAT(MID(_xlpm.big,7,2),MID(_xlpm.big,5,2),MID(_xlpm.big,3,2),MID(_xlpm.big,1,2)))</f>
        <v>FEFFFFFF</v>
      </c>
      <c r="L265" s="2">
        <f t="shared" si="17"/>
        <v>0</v>
      </c>
      <c r="M265" s="2">
        <f t="shared" si="18"/>
        <v>0</v>
      </c>
      <c r="N265" s="2">
        <f t="shared" si="19"/>
        <v>0</v>
      </c>
      <c r="O265" s="2" cm="1">
        <f t="array" ref="O265">_xlfn.IFS(M265&lt;Data!$F$3,0,M265&lt;Data!$F$4,1,TRUE,2)</f>
        <v>0</v>
      </c>
      <c r="P265" s="2" cm="1">
        <f t="array" ref="P265">_xlfn.IFS(H265,3,N265&lt;Data!$F$3,0,N265&lt;Data!$F$4,1,TRUE,2)</f>
        <v>0</v>
      </c>
    </row>
    <row r="266" spans="4:16">
      <c r="D266" s="3"/>
      <c r="E266" s="3"/>
      <c r="F266" s="3"/>
      <c r="G266" s="2" t="str" cm="1">
        <f t="array" ref="G266">_xlfn.CONCAT(IFERROR(I266:K266,""))</f>
        <v>02000000FEFFFFFF</v>
      </c>
      <c r="I266" s="2" t="e">
        <f>_xlfn.LET(_xlpm.big,DEC2HEX(_xlfn.BITLSHIFT(M266-_xlfn.XLOOKUP(O266,Data!A:A,Data!F:F),4)+O266,8),_xlfn.CONCAT(MID(_xlpm.big,7,2),MID(_xlpm.big,5,2),MID(_xlpm.big,3,2),MID(_xlpm.big,1,2)))</f>
        <v>#NUM!</v>
      </c>
      <c r="J266" s="2" t="str">
        <f t="shared" si="16"/>
        <v>02000000</v>
      </c>
      <c r="K266" s="2" t="str">
        <f>_xlfn.LET(_xlpm.big,IF(H266,DEC2HEX(HEX2DEC(F266),8),DEC2HEX(N266-_xlfn.XLOOKUP(P266,Data!A:A,Data!F:F),8)),_xlfn.CONCAT(MID(_xlpm.big,7,2),MID(_xlpm.big,5,2),MID(_xlpm.big,3,2),MID(_xlpm.big,1,2)))</f>
        <v>FEFFFFFF</v>
      </c>
      <c r="L266" s="2">
        <f t="shared" si="17"/>
        <v>0</v>
      </c>
      <c r="M266" s="2">
        <f t="shared" si="18"/>
        <v>0</v>
      </c>
      <c r="N266" s="2">
        <f t="shared" si="19"/>
        <v>0</v>
      </c>
      <c r="O266" s="2" cm="1">
        <f t="array" ref="O266">_xlfn.IFS(M266&lt;Data!$F$3,0,M266&lt;Data!$F$4,1,TRUE,2)</f>
        <v>0</v>
      </c>
      <c r="P266" s="2" cm="1">
        <f t="array" ref="P266">_xlfn.IFS(H266,3,N266&lt;Data!$F$3,0,N266&lt;Data!$F$4,1,TRUE,2)</f>
        <v>0</v>
      </c>
    </row>
    <row r="267" spans="4:16">
      <c r="D267" s="3"/>
      <c r="E267" s="3"/>
      <c r="F267" s="3"/>
      <c r="G267" s="2" t="str" cm="1">
        <f t="array" ref="G267">_xlfn.CONCAT(IFERROR(I267:K267,""))</f>
        <v>02000000FEFFFFFF</v>
      </c>
      <c r="I267" s="2" t="e">
        <f>_xlfn.LET(_xlpm.big,DEC2HEX(_xlfn.BITLSHIFT(M267-_xlfn.XLOOKUP(O267,Data!A:A,Data!F:F),4)+O267,8),_xlfn.CONCAT(MID(_xlpm.big,7,2),MID(_xlpm.big,5,2),MID(_xlpm.big,3,2),MID(_xlpm.big,1,2)))</f>
        <v>#NUM!</v>
      </c>
      <c r="J267" s="2" t="str">
        <f t="shared" si="16"/>
        <v>02000000</v>
      </c>
      <c r="K267" s="2" t="str">
        <f>_xlfn.LET(_xlpm.big,IF(H267,DEC2HEX(HEX2DEC(F267),8),DEC2HEX(N267-_xlfn.XLOOKUP(P267,Data!A:A,Data!F:F),8)),_xlfn.CONCAT(MID(_xlpm.big,7,2),MID(_xlpm.big,5,2),MID(_xlpm.big,3,2),MID(_xlpm.big,1,2)))</f>
        <v>FEFFFFFF</v>
      </c>
      <c r="L267" s="2">
        <f t="shared" si="17"/>
        <v>0</v>
      </c>
      <c r="M267" s="2">
        <f t="shared" si="18"/>
        <v>0</v>
      </c>
      <c r="N267" s="2">
        <f t="shared" si="19"/>
        <v>0</v>
      </c>
      <c r="O267" s="2" cm="1">
        <f t="array" ref="O267">_xlfn.IFS(M267&lt;Data!$F$3,0,M267&lt;Data!$F$4,1,TRUE,2)</f>
        <v>0</v>
      </c>
      <c r="P267" s="2" cm="1">
        <f t="array" ref="P267">_xlfn.IFS(H267,3,N267&lt;Data!$F$3,0,N267&lt;Data!$F$4,1,TRUE,2)</f>
        <v>0</v>
      </c>
    </row>
    <row r="268" spans="4:16">
      <c r="D268" s="3"/>
      <c r="E268" s="3"/>
      <c r="F268" s="3"/>
      <c r="G268" s="2" t="str" cm="1">
        <f t="array" ref="G268">_xlfn.CONCAT(IFERROR(I268:K268,""))</f>
        <v>02000000FEFFFFFF</v>
      </c>
      <c r="I268" s="2" t="e">
        <f>_xlfn.LET(_xlpm.big,DEC2HEX(_xlfn.BITLSHIFT(M268-_xlfn.XLOOKUP(O268,Data!A:A,Data!F:F),4)+O268,8),_xlfn.CONCAT(MID(_xlpm.big,7,2),MID(_xlpm.big,5,2),MID(_xlpm.big,3,2),MID(_xlpm.big,1,2)))</f>
        <v>#NUM!</v>
      </c>
      <c r="J268" s="2" t="str">
        <f t="shared" si="16"/>
        <v>02000000</v>
      </c>
      <c r="K268" s="2" t="str">
        <f>_xlfn.LET(_xlpm.big,IF(H268,DEC2HEX(HEX2DEC(F268),8),DEC2HEX(N268-_xlfn.XLOOKUP(P268,Data!A:A,Data!F:F),8)),_xlfn.CONCAT(MID(_xlpm.big,7,2),MID(_xlpm.big,5,2),MID(_xlpm.big,3,2),MID(_xlpm.big,1,2)))</f>
        <v>FEFFFFFF</v>
      </c>
      <c r="L268" s="2">
        <f t="shared" si="17"/>
        <v>0</v>
      </c>
      <c r="M268" s="2">
        <f t="shared" si="18"/>
        <v>0</v>
      </c>
      <c r="N268" s="2">
        <f t="shared" si="19"/>
        <v>0</v>
      </c>
      <c r="O268" s="2" cm="1">
        <f t="array" ref="O268">_xlfn.IFS(M268&lt;Data!$F$3,0,M268&lt;Data!$F$4,1,TRUE,2)</f>
        <v>0</v>
      </c>
      <c r="P268" s="2" cm="1">
        <f t="array" ref="P268">_xlfn.IFS(H268,3,N268&lt;Data!$F$3,0,N268&lt;Data!$F$4,1,TRUE,2)</f>
        <v>0</v>
      </c>
    </row>
    <row r="269" spans="4:16">
      <c r="D269" s="3"/>
      <c r="E269" s="3"/>
      <c r="F269" s="3"/>
      <c r="G269" s="2" t="str" cm="1">
        <f t="array" ref="G269">_xlfn.CONCAT(IFERROR(I269:K269,""))</f>
        <v>02000000FEFFFFFF</v>
      </c>
      <c r="I269" s="2" t="e">
        <f>_xlfn.LET(_xlpm.big,DEC2HEX(_xlfn.BITLSHIFT(M269-_xlfn.XLOOKUP(O269,Data!A:A,Data!F:F),4)+O269,8),_xlfn.CONCAT(MID(_xlpm.big,7,2),MID(_xlpm.big,5,2),MID(_xlpm.big,3,2),MID(_xlpm.big,1,2)))</f>
        <v>#NUM!</v>
      </c>
      <c r="J269" s="2" t="str">
        <f t="shared" si="16"/>
        <v>02000000</v>
      </c>
      <c r="K269" s="2" t="str">
        <f>_xlfn.LET(_xlpm.big,IF(H269,DEC2HEX(HEX2DEC(F269),8),DEC2HEX(N269-_xlfn.XLOOKUP(P269,Data!A:A,Data!F:F),8)),_xlfn.CONCAT(MID(_xlpm.big,7,2),MID(_xlpm.big,5,2),MID(_xlpm.big,3,2),MID(_xlpm.big,1,2)))</f>
        <v>FEFFFFFF</v>
      </c>
      <c r="L269" s="2">
        <f t="shared" si="17"/>
        <v>0</v>
      </c>
      <c r="M269" s="2">
        <f t="shared" si="18"/>
        <v>0</v>
      </c>
      <c r="N269" s="2">
        <f t="shared" si="19"/>
        <v>0</v>
      </c>
      <c r="O269" s="2" cm="1">
        <f t="array" ref="O269">_xlfn.IFS(M269&lt;Data!$F$3,0,M269&lt;Data!$F$4,1,TRUE,2)</f>
        <v>0</v>
      </c>
      <c r="P269" s="2" cm="1">
        <f t="array" ref="P269">_xlfn.IFS(H269,3,N269&lt;Data!$F$3,0,N269&lt;Data!$F$4,1,TRUE,2)</f>
        <v>0</v>
      </c>
    </row>
    <row r="270" spans="4:16">
      <c r="D270" s="3"/>
      <c r="E270" s="3"/>
      <c r="F270" s="3"/>
      <c r="G270" s="2" t="str" cm="1">
        <f t="array" ref="G270">_xlfn.CONCAT(IFERROR(I270:K270,""))</f>
        <v>02000000FEFFFFFF</v>
      </c>
      <c r="I270" s="2" t="e">
        <f>_xlfn.LET(_xlpm.big,DEC2HEX(_xlfn.BITLSHIFT(M270-_xlfn.XLOOKUP(O270,Data!A:A,Data!F:F),4)+O270,8),_xlfn.CONCAT(MID(_xlpm.big,7,2),MID(_xlpm.big,5,2),MID(_xlpm.big,3,2),MID(_xlpm.big,1,2)))</f>
        <v>#NUM!</v>
      </c>
      <c r="J270" s="2" t="str">
        <f t="shared" si="16"/>
        <v>02000000</v>
      </c>
      <c r="K270" s="2" t="str">
        <f>_xlfn.LET(_xlpm.big,IF(H270,DEC2HEX(HEX2DEC(F270),8),DEC2HEX(N270-_xlfn.XLOOKUP(P270,Data!A:A,Data!F:F),8)),_xlfn.CONCAT(MID(_xlpm.big,7,2),MID(_xlpm.big,5,2),MID(_xlpm.big,3,2),MID(_xlpm.big,1,2)))</f>
        <v>FEFFFFFF</v>
      </c>
      <c r="L270" s="2">
        <f t="shared" si="17"/>
        <v>0</v>
      </c>
      <c r="M270" s="2">
        <f t="shared" si="18"/>
        <v>0</v>
      </c>
      <c r="N270" s="2">
        <f t="shared" si="19"/>
        <v>0</v>
      </c>
      <c r="O270" s="2" cm="1">
        <f t="array" ref="O270">_xlfn.IFS(M270&lt;Data!$F$3,0,M270&lt;Data!$F$4,1,TRUE,2)</f>
        <v>0</v>
      </c>
      <c r="P270" s="2" cm="1">
        <f t="array" ref="P270">_xlfn.IFS(H270,3,N270&lt;Data!$F$3,0,N270&lt;Data!$F$4,1,TRUE,2)</f>
        <v>0</v>
      </c>
    </row>
    <row r="271" spans="4:16">
      <c r="D271" s="3"/>
      <c r="E271" s="3"/>
      <c r="F271" s="3"/>
      <c r="G271" s="2" t="str" cm="1">
        <f t="array" ref="G271">_xlfn.CONCAT(IFERROR(I271:K271,""))</f>
        <v>02000000FEFFFFFF</v>
      </c>
      <c r="I271" s="2" t="e">
        <f>_xlfn.LET(_xlpm.big,DEC2HEX(_xlfn.BITLSHIFT(M271-_xlfn.XLOOKUP(O271,Data!A:A,Data!F:F),4)+O271,8),_xlfn.CONCAT(MID(_xlpm.big,7,2),MID(_xlpm.big,5,2),MID(_xlpm.big,3,2),MID(_xlpm.big,1,2)))</f>
        <v>#NUM!</v>
      </c>
      <c r="J271" s="2" t="str">
        <f t="shared" si="16"/>
        <v>02000000</v>
      </c>
      <c r="K271" s="2" t="str">
        <f>_xlfn.LET(_xlpm.big,IF(H271,DEC2HEX(HEX2DEC(F271),8),DEC2HEX(N271-_xlfn.XLOOKUP(P271,Data!A:A,Data!F:F),8)),_xlfn.CONCAT(MID(_xlpm.big,7,2),MID(_xlpm.big,5,2),MID(_xlpm.big,3,2),MID(_xlpm.big,1,2)))</f>
        <v>FEFFFFFF</v>
      </c>
      <c r="L271" s="2">
        <f t="shared" si="17"/>
        <v>0</v>
      </c>
      <c r="M271" s="2">
        <f t="shared" si="18"/>
        <v>0</v>
      </c>
      <c r="N271" s="2">
        <f t="shared" si="19"/>
        <v>0</v>
      </c>
      <c r="O271" s="2" cm="1">
        <f t="array" ref="O271">_xlfn.IFS(M271&lt;Data!$F$3,0,M271&lt;Data!$F$4,1,TRUE,2)</f>
        <v>0</v>
      </c>
      <c r="P271" s="2" cm="1">
        <f t="array" ref="P271">_xlfn.IFS(H271,3,N271&lt;Data!$F$3,0,N271&lt;Data!$F$4,1,TRUE,2)</f>
        <v>0</v>
      </c>
    </row>
    <row r="272" spans="4:16">
      <c r="D272" s="3"/>
      <c r="E272" s="3"/>
      <c r="F272" s="3"/>
      <c r="G272" s="2" t="str" cm="1">
        <f t="array" ref="G272">_xlfn.CONCAT(IFERROR(I272:K272,""))</f>
        <v>02000000FEFFFFFF</v>
      </c>
      <c r="I272" s="2" t="e">
        <f>_xlfn.LET(_xlpm.big,DEC2HEX(_xlfn.BITLSHIFT(M272-_xlfn.XLOOKUP(O272,Data!A:A,Data!F:F),4)+O272,8),_xlfn.CONCAT(MID(_xlpm.big,7,2),MID(_xlpm.big,5,2),MID(_xlpm.big,3,2),MID(_xlpm.big,1,2)))</f>
        <v>#NUM!</v>
      </c>
      <c r="J272" s="2" t="str">
        <f t="shared" si="16"/>
        <v>02000000</v>
      </c>
      <c r="K272" s="2" t="str">
        <f>_xlfn.LET(_xlpm.big,IF(H272,DEC2HEX(HEX2DEC(F272),8),DEC2HEX(N272-_xlfn.XLOOKUP(P272,Data!A:A,Data!F:F),8)),_xlfn.CONCAT(MID(_xlpm.big,7,2),MID(_xlpm.big,5,2),MID(_xlpm.big,3,2),MID(_xlpm.big,1,2)))</f>
        <v>FEFFFFFF</v>
      </c>
      <c r="L272" s="2">
        <f t="shared" si="17"/>
        <v>0</v>
      </c>
      <c r="M272" s="2">
        <f t="shared" si="18"/>
        <v>0</v>
      </c>
      <c r="N272" s="2">
        <f t="shared" si="19"/>
        <v>0</v>
      </c>
      <c r="O272" s="2" cm="1">
        <f t="array" ref="O272">_xlfn.IFS(M272&lt;Data!$F$3,0,M272&lt;Data!$F$4,1,TRUE,2)</f>
        <v>0</v>
      </c>
      <c r="P272" s="2" cm="1">
        <f t="array" ref="P272">_xlfn.IFS(H272,3,N272&lt;Data!$F$3,0,N272&lt;Data!$F$4,1,TRUE,2)</f>
        <v>0</v>
      </c>
    </row>
    <row r="273" spans="4:16">
      <c r="D273" s="3"/>
      <c r="E273" s="3"/>
      <c r="F273" s="3"/>
      <c r="G273" s="2" t="str" cm="1">
        <f t="array" ref="G273">_xlfn.CONCAT(IFERROR(I273:K273,""))</f>
        <v>02000000FEFFFFFF</v>
      </c>
      <c r="I273" s="2" t="e">
        <f>_xlfn.LET(_xlpm.big,DEC2HEX(_xlfn.BITLSHIFT(M273-_xlfn.XLOOKUP(O273,Data!A:A,Data!F:F),4)+O273,8),_xlfn.CONCAT(MID(_xlpm.big,7,2),MID(_xlpm.big,5,2),MID(_xlpm.big,3,2),MID(_xlpm.big,1,2)))</f>
        <v>#NUM!</v>
      </c>
      <c r="J273" s="2" t="str">
        <f t="shared" si="16"/>
        <v>02000000</v>
      </c>
      <c r="K273" s="2" t="str">
        <f>_xlfn.LET(_xlpm.big,IF(H273,DEC2HEX(HEX2DEC(F273),8),DEC2HEX(N273-_xlfn.XLOOKUP(P273,Data!A:A,Data!F:F),8)),_xlfn.CONCAT(MID(_xlpm.big,7,2),MID(_xlpm.big,5,2),MID(_xlpm.big,3,2),MID(_xlpm.big,1,2)))</f>
        <v>FEFFFFFF</v>
      </c>
      <c r="L273" s="2">
        <f t="shared" si="17"/>
        <v>0</v>
      </c>
      <c r="M273" s="2">
        <f t="shared" si="18"/>
        <v>0</v>
      </c>
      <c r="N273" s="2">
        <f t="shared" si="19"/>
        <v>0</v>
      </c>
      <c r="O273" s="2" cm="1">
        <f t="array" ref="O273">_xlfn.IFS(M273&lt;Data!$F$3,0,M273&lt;Data!$F$4,1,TRUE,2)</f>
        <v>0</v>
      </c>
      <c r="P273" s="2" cm="1">
        <f t="array" ref="P273">_xlfn.IFS(H273,3,N273&lt;Data!$F$3,0,N273&lt;Data!$F$4,1,TRUE,2)</f>
        <v>0</v>
      </c>
    </row>
    <row r="274" spans="4:16">
      <c r="D274" s="3"/>
      <c r="E274" s="3"/>
      <c r="F274" s="3"/>
      <c r="G274" s="2" t="str" cm="1">
        <f t="array" ref="G274">_xlfn.CONCAT(IFERROR(I274:K274,""))</f>
        <v>02000000FEFFFFFF</v>
      </c>
      <c r="I274" s="2" t="e">
        <f>_xlfn.LET(_xlpm.big,DEC2HEX(_xlfn.BITLSHIFT(M274-_xlfn.XLOOKUP(O274,Data!A:A,Data!F:F),4)+O274,8),_xlfn.CONCAT(MID(_xlpm.big,7,2),MID(_xlpm.big,5,2),MID(_xlpm.big,3,2),MID(_xlpm.big,1,2)))</f>
        <v>#NUM!</v>
      </c>
      <c r="J274" s="2" t="str">
        <f t="shared" si="16"/>
        <v>02000000</v>
      </c>
      <c r="K274" s="2" t="str">
        <f>_xlfn.LET(_xlpm.big,IF(H274,DEC2HEX(HEX2DEC(F274),8),DEC2HEX(N274-_xlfn.XLOOKUP(P274,Data!A:A,Data!F:F),8)),_xlfn.CONCAT(MID(_xlpm.big,7,2),MID(_xlpm.big,5,2),MID(_xlpm.big,3,2),MID(_xlpm.big,1,2)))</f>
        <v>FEFFFFFF</v>
      </c>
      <c r="L274" s="2">
        <f t="shared" si="17"/>
        <v>0</v>
      </c>
      <c r="M274" s="2">
        <f t="shared" si="18"/>
        <v>0</v>
      </c>
      <c r="N274" s="2">
        <f t="shared" si="19"/>
        <v>0</v>
      </c>
      <c r="O274" s="2" cm="1">
        <f t="array" ref="O274">_xlfn.IFS(M274&lt;Data!$F$3,0,M274&lt;Data!$F$4,1,TRUE,2)</f>
        <v>0</v>
      </c>
      <c r="P274" s="2" cm="1">
        <f t="array" ref="P274">_xlfn.IFS(H274,3,N274&lt;Data!$F$3,0,N274&lt;Data!$F$4,1,TRUE,2)</f>
        <v>0</v>
      </c>
    </row>
    <row r="275" spans="4:16">
      <c r="D275" s="3"/>
      <c r="E275" s="3"/>
      <c r="F275" s="3"/>
      <c r="G275" s="2" t="str" cm="1">
        <f t="array" ref="G275">_xlfn.CONCAT(IFERROR(I275:K275,""))</f>
        <v>02000000FEFFFFFF</v>
      </c>
      <c r="I275" s="2" t="e">
        <f>_xlfn.LET(_xlpm.big,DEC2HEX(_xlfn.BITLSHIFT(M275-_xlfn.XLOOKUP(O275,Data!A:A,Data!F:F),4)+O275,8),_xlfn.CONCAT(MID(_xlpm.big,7,2),MID(_xlpm.big,5,2),MID(_xlpm.big,3,2),MID(_xlpm.big,1,2)))</f>
        <v>#NUM!</v>
      </c>
      <c r="J275" s="2" t="str">
        <f t="shared" si="16"/>
        <v>02000000</v>
      </c>
      <c r="K275" s="2" t="str">
        <f>_xlfn.LET(_xlpm.big,IF(H275,DEC2HEX(HEX2DEC(F275),8),DEC2HEX(N275-_xlfn.XLOOKUP(P275,Data!A:A,Data!F:F),8)),_xlfn.CONCAT(MID(_xlpm.big,7,2),MID(_xlpm.big,5,2),MID(_xlpm.big,3,2),MID(_xlpm.big,1,2)))</f>
        <v>FEFFFFFF</v>
      </c>
      <c r="L275" s="2">
        <f t="shared" si="17"/>
        <v>0</v>
      </c>
      <c r="M275" s="2">
        <f t="shared" si="18"/>
        <v>0</v>
      </c>
      <c r="N275" s="2">
        <f t="shared" si="19"/>
        <v>0</v>
      </c>
      <c r="O275" s="2" cm="1">
        <f t="array" ref="O275">_xlfn.IFS(M275&lt;Data!$F$3,0,M275&lt;Data!$F$4,1,TRUE,2)</f>
        <v>0</v>
      </c>
      <c r="P275" s="2" cm="1">
        <f t="array" ref="P275">_xlfn.IFS(H275,3,N275&lt;Data!$F$3,0,N275&lt;Data!$F$4,1,TRUE,2)</f>
        <v>0</v>
      </c>
    </row>
    <row r="276" spans="4:16">
      <c r="D276" s="3"/>
      <c r="E276" s="3"/>
      <c r="F276" s="3"/>
      <c r="G276" s="2" t="str" cm="1">
        <f t="array" ref="G276">_xlfn.CONCAT(IFERROR(I276:K276,""))</f>
        <v>02000000FEFFFFFF</v>
      </c>
      <c r="I276" s="2" t="e">
        <f>_xlfn.LET(_xlpm.big,DEC2HEX(_xlfn.BITLSHIFT(M276-_xlfn.XLOOKUP(O276,Data!A:A,Data!F:F),4)+O276,8),_xlfn.CONCAT(MID(_xlpm.big,7,2),MID(_xlpm.big,5,2),MID(_xlpm.big,3,2),MID(_xlpm.big,1,2)))</f>
        <v>#NUM!</v>
      </c>
      <c r="J276" s="2" t="str">
        <f t="shared" si="16"/>
        <v>02000000</v>
      </c>
      <c r="K276" s="2" t="str">
        <f>_xlfn.LET(_xlpm.big,IF(H276,DEC2HEX(HEX2DEC(F276),8),DEC2HEX(N276-_xlfn.XLOOKUP(P276,Data!A:A,Data!F:F),8)),_xlfn.CONCAT(MID(_xlpm.big,7,2),MID(_xlpm.big,5,2),MID(_xlpm.big,3,2),MID(_xlpm.big,1,2)))</f>
        <v>FEFFFFFF</v>
      </c>
      <c r="L276" s="2">
        <f t="shared" si="17"/>
        <v>0</v>
      </c>
      <c r="M276" s="2">
        <f t="shared" si="18"/>
        <v>0</v>
      </c>
      <c r="N276" s="2">
        <f t="shared" si="19"/>
        <v>0</v>
      </c>
      <c r="O276" s="2" cm="1">
        <f t="array" ref="O276">_xlfn.IFS(M276&lt;Data!$F$3,0,M276&lt;Data!$F$4,1,TRUE,2)</f>
        <v>0</v>
      </c>
      <c r="P276" s="2" cm="1">
        <f t="array" ref="P276">_xlfn.IFS(H276,3,N276&lt;Data!$F$3,0,N276&lt;Data!$F$4,1,TRUE,2)</f>
        <v>0</v>
      </c>
    </row>
    <row r="277" spans="4:16">
      <c r="D277" s="3"/>
      <c r="E277" s="3"/>
      <c r="F277" s="3"/>
      <c r="G277" s="2" t="str" cm="1">
        <f t="array" ref="G277">_xlfn.CONCAT(IFERROR(I277:K277,""))</f>
        <v>02000000FEFFFFFF</v>
      </c>
      <c r="I277" s="2" t="e">
        <f>_xlfn.LET(_xlpm.big,DEC2HEX(_xlfn.BITLSHIFT(M277-_xlfn.XLOOKUP(O277,Data!A:A,Data!F:F),4)+O277,8),_xlfn.CONCAT(MID(_xlpm.big,7,2),MID(_xlpm.big,5,2),MID(_xlpm.big,3,2),MID(_xlpm.big,1,2)))</f>
        <v>#NUM!</v>
      </c>
      <c r="J277" s="2" t="str">
        <f t="shared" si="16"/>
        <v>02000000</v>
      </c>
      <c r="K277" s="2" t="str">
        <f>_xlfn.LET(_xlpm.big,IF(H277,DEC2HEX(HEX2DEC(F277),8),DEC2HEX(N277-_xlfn.XLOOKUP(P277,Data!A:A,Data!F:F),8)),_xlfn.CONCAT(MID(_xlpm.big,7,2),MID(_xlpm.big,5,2),MID(_xlpm.big,3,2),MID(_xlpm.big,1,2)))</f>
        <v>FEFFFFFF</v>
      </c>
      <c r="L277" s="2">
        <f t="shared" si="17"/>
        <v>0</v>
      </c>
      <c r="M277" s="2">
        <f t="shared" si="18"/>
        <v>0</v>
      </c>
      <c r="N277" s="2">
        <f t="shared" si="19"/>
        <v>0</v>
      </c>
      <c r="O277" s="2" cm="1">
        <f t="array" ref="O277">_xlfn.IFS(M277&lt;Data!$F$3,0,M277&lt;Data!$F$4,1,TRUE,2)</f>
        <v>0</v>
      </c>
      <c r="P277" s="2" cm="1">
        <f t="array" ref="P277">_xlfn.IFS(H277,3,N277&lt;Data!$F$3,0,N277&lt;Data!$F$4,1,TRUE,2)</f>
        <v>0</v>
      </c>
    </row>
    <row r="278" spans="4:16">
      <c r="D278" s="3"/>
      <c r="E278" s="3"/>
      <c r="F278" s="3"/>
      <c r="G278" s="2" t="str" cm="1">
        <f t="array" ref="G278">_xlfn.CONCAT(IFERROR(I278:K278,""))</f>
        <v>02000000FEFFFFFF</v>
      </c>
      <c r="I278" s="2" t="e">
        <f>_xlfn.LET(_xlpm.big,DEC2HEX(_xlfn.BITLSHIFT(M278-_xlfn.XLOOKUP(O278,Data!A:A,Data!F:F),4)+O278,8),_xlfn.CONCAT(MID(_xlpm.big,7,2),MID(_xlpm.big,5,2),MID(_xlpm.big,3,2),MID(_xlpm.big,1,2)))</f>
        <v>#NUM!</v>
      </c>
      <c r="J278" s="2" t="str">
        <f t="shared" si="16"/>
        <v>02000000</v>
      </c>
      <c r="K278" s="2" t="str">
        <f>_xlfn.LET(_xlpm.big,IF(H278,DEC2HEX(HEX2DEC(F278),8),DEC2HEX(N278-_xlfn.XLOOKUP(P278,Data!A:A,Data!F:F),8)),_xlfn.CONCAT(MID(_xlpm.big,7,2),MID(_xlpm.big,5,2),MID(_xlpm.big,3,2),MID(_xlpm.big,1,2)))</f>
        <v>FEFFFFFF</v>
      </c>
      <c r="L278" s="2">
        <f t="shared" si="17"/>
        <v>0</v>
      </c>
      <c r="M278" s="2">
        <f t="shared" si="18"/>
        <v>0</v>
      </c>
      <c r="N278" s="2">
        <f t="shared" si="19"/>
        <v>0</v>
      </c>
      <c r="O278" s="2" cm="1">
        <f t="array" ref="O278">_xlfn.IFS(M278&lt;Data!$F$3,0,M278&lt;Data!$F$4,1,TRUE,2)</f>
        <v>0</v>
      </c>
      <c r="P278" s="2" cm="1">
        <f t="array" ref="P278">_xlfn.IFS(H278,3,N278&lt;Data!$F$3,0,N278&lt;Data!$F$4,1,TRUE,2)</f>
        <v>0</v>
      </c>
    </row>
    <row r="279" spans="4:16">
      <c r="D279" s="3"/>
      <c r="E279" s="3"/>
      <c r="F279" s="3"/>
      <c r="G279" s="2" t="str" cm="1">
        <f t="array" ref="G279">_xlfn.CONCAT(IFERROR(I279:K279,""))</f>
        <v>02000000FEFFFFFF</v>
      </c>
      <c r="I279" s="2" t="e">
        <f>_xlfn.LET(_xlpm.big,DEC2HEX(_xlfn.BITLSHIFT(M279-_xlfn.XLOOKUP(O279,Data!A:A,Data!F:F),4)+O279,8),_xlfn.CONCAT(MID(_xlpm.big,7,2),MID(_xlpm.big,5,2),MID(_xlpm.big,3,2),MID(_xlpm.big,1,2)))</f>
        <v>#NUM!</v>
      </c>
      <c r="J279" s="2" t="str">
        <f t="shared" si="16"/>
        <v>02000000</v>
      </c>
      <c r="K279" s="2" t="str">
        <f>_xlfn.LET(_xlpm.big,IF(H279,DEC2HEX(HEX2DEC(F279),8),DEC2HEX(N279-_xlfn.XLOOKUP(P279,Data!A:A,Data!F:F),8)),_xlfn.CONCAT(MID(_xlpm.big,7,2),MID(_xlpm.big,5,2),MID(_xlpm.big,3,2),MID(_xlpm.big,1,2)))</f>
        <v>FEFFFFFF</v>
      </c>
      <c r="L279" s="2">
        <f t="shared" si="17"/>
        <v>0</v>
      </c>
      <c r="M279" s="2">
        <f t="shared" si="18"/>
        <v>0</v>
      </c>
      <c r="N279" s="2">
        <f t="shared" si="19"/>
        <v>0</v>
      </c>
      <c r="O279" s="2" cm="1">
        <f t="array" ref="O279">_xlfn.IFS(M279&lt;Data!$F$3,0,M279&lt;Data!$F$4,1,TRUE,2)</f>
        <v>0</v>
      </c>
      <c r="P279" s="2" cm="1">
        <f t="array" ref="P279">_xlfn.IFS(H279,3,N279&lt;Data!$F$3,0,N279&lt;Data!$F$4,1,TRUE,2)</f>
        <v>0</v>
      </c>
    </row>
    <row r="280" spans="4:16">
      <c r="D280" s="3"/>
      <c r="E280" s="3"/>
      <c r="F280" s="3"/>
      <c r="G280" s="2" t="str" cm="1">
        <f t="array" ref="G280">_xlfn.CONCAT(IFERROR(I280:K280,""))</f>
        <v>02000000FEFFFFFF</v>
      </c>
      <c r="I280" s="2" t="e">
        <f>_xlfn.LET(_xlpm.big,DEC2HEX(_xlfn.BITLSHIFT(M280-_xlfn.XLOOKUP(O280,Data!A:A,Data!F:F),4)+O280,8),_xlfn.CONCAT(MID(_xlpm.big,7,2),MID(_xlpm.big,5,2),MID(_xlpm.big,3,2),MID(_xlpm.big,1,2)))</f>
        <v>#NUM!</v>
      </c>
      <c r="J280" s="2" t="str">
        <f t="shared" si="16"/>
        <v>02000000</v>
      </c>
      <c r="K280" s="2" t="str">
        <f>_xlfn.LET(_xlpm.big,IF(H280,DEC2HEX(HEX2DEC(F280),8),DEC2HEX(N280-_xlfn.XLOOKUP(P280,Data!A:A,Data!F:F),8)),_xlfn.CONCAT(MID(_xlpm.big,7,2),MID(_xlpm.big,5,2),MID(_xlpm.big,3,2),MID(_xlpm.big,1,2)))</f>
        <v>FEFFFFFF</v>
      </c>
      <c r="L280" s="2">
        <f t="shared" si="17"/>
        <v>0</v>
      </c>
      <c r="M280" s="2">
        <f t="shared" si="18"/>
        <v>0</v>
      </c>
      <c r="N280" s="2">
        <f t="shared" si="19"/>
        <v>0</v>
      </c>
      <c r="O280" s="2" cm="1">
        <f t="array" ref="O280">_xlfn.IFS(M280&lt;Data!$F$3,0,M280&lt;Data!$F$4,1,TRUE,2)</f>
        <v>0</v>
      </c>
      <c r="P280" s="2" cm="1">
        <f t="array" ref="P280">_xlfn.IFS(H280,3,N280&lt;Data!$F$3,0,N280&lt;Data!$F$4,1,TRUE,2)</f>
        <v>0</v>
      </c>
    </row>
    <row r="281" spans="4:16">
      <c r="D281" s="3"/>
      <c r="E281" s="3"/>
      <c r="F281" s="3"/>
      <c r="G281" s="2" t="str" cm="1">
        <f t="array" ref="G281">_xlfn.CONCAT(IFERROR(I281:K281,""))</f>
        <v>02000000FEFFFFFF</v>
      </c>
      <c r="I281" s="2" t="e">
        <f>_xlfn.LET(_xlpm.big,DEC2HEX(_xlfn.BITLSHIFT(M281-_xlfn.XLOOKUP(O281,Data!A:A,Data!F:F),4)+O281,8),_xlfn.CONCAT(MID(_xlpm.big,7,2),MID(_xlpm.big,5,2),MID(_xlpm.big,3,2),MID(_xlpm.big,1,2)))</f>
        <v>#NUM!</v>
      </c>
      <c r="J281" s="2" t="str">
        <f t="shared" si="16"/>
        <v>02000000</v>
      </c>
      <c r="K281" s="2" t="str">
        <f>_xlfn.LET(_xlpm.big,IF(H281,DEC2HEX(HEX2DEC(F281),8),DEC2HEX(N281-_xlfn.XLOOKUP(P281,Data!A:A,Data!F:F),8)),_xlfn.CONCAT(MID(_xlpm.big,7,2),MID(_xlpm.big,5,2),MID(_xlpm.big,3,2),MID(_xlpm.big,1,2)))</f>
        <v>FEFFFFFF</v>
      </c>
      <c r="L281" s="2">
        <f t="shared" si="17"/>
        <v>0</v>
      </c>
      <c r="M281" s="2">
        <f t="shared" si="18"/>
        <v>0</v>
      </c>
      <c r="N281" s="2">
        <f t="shared" si="19"/>
        <v>0</v>
      </c>
      <c r="O281" s="2" cm="1">
        <f t="array" ref="O281">_xlfn.IFS(M281&lt;Data!$F$3,0,M281&lt;Data!$F$4,1,TRUE,2)</f>
        <v>0</v>
      </c>
      <c r="P281" s="2" cm="1">
        <f t="array" ref="P281">_xlfn.IFS(H281,3,N281&lt;Data!$F$3,0,N281&lt;Data!$F$4,1,TRUE,2)</f>
        <v>0</v>
      </c>
    </row>
    <row r="282" spans="4:16">
      <c r="D282" s="3"/>
      <c r="E282" s="3"/>
      <c r="F282" s="3"/>
      <c r="G282" s="2" t="str" cm="1">
        <f t="array" ref="G282">_xlfn.CONCAT(IFERROR(I282:K282,""))</f>
        <v>02000000FEFFFFFF</v>
      </c>
      <c r="I282" s="2" t="e">
        <f>_xlfn.LET(_xlpm.big,DEC2HEX(_xlfn.BITLSHIFT(M282-_xlfn.XLOOKUP(O282,Data!A:A,Data!F:F),4)+O282,8),_xlfn.CONCAT(MID(_xlpm.big,7,2),MID(_xlpm.big,5,2),MID(_xlpm.big,3,2),MID(_xlpm.big,1,2)))</f>
        <v>#NUM!</v>
      </c>
      <c r="J282" s="2" t="str">
        <f t="shared" si="16"/>
        <v>02000000</v>
      </c>
      <c r="K282" s="2" t="str">
        <f>_xlfn.LET(_xlpm.big,IF(H282,DEC2HEX(HEX2DEC(F282),8),DEC2HEX(N282-_xlfn.XLOOKUP(P282,Data!A:A,Data!F:F),8)),_xlfn.CONCAT(MID(_xlpm.big,7,2),MID(_xlpm.big,5,2),MID(_xlpm.big,3,2),MID(_xlpm.big,1,2)))</f>
        <v>FEFFFFFF</v>
      </c>
      <c r="L282" s="2">
        <f t="shared" si="17"/>
        <v>0</v>
      </c>
      <c r="M282" s="2">
        <f t="shared" si="18"/>
        <v>0</v>
      </c>
      <c r="N282" s="2">
        <f t="shared" si="19"/>
        <v>0</v>
      </c>
      <c r="O282" s="2" cm="1">
        <f t="array" ref="O282">_xlfn.IFS(M282&lt;Data!$F$3,0,M282&lt;Data!$F$4,1,TRUE,2)</f>
        <v>0</v>
      </c>
      <c r="P282" s="2" cm="1">
        <f t="array" ref="P282">_xlfn.IFS(H282,3,N282&lt;Data!$F$3,0,N282&lt;Data!$F$4,1,TRUE,2)</f>
        <v>0</v>
      </c>
    </row>
    <row r="283" spans="4:16">
      <c r="D283" s="3"/>
      <c r="E283" s="3"/>
      <c r="F283" s="3"/>
      <c r="G283" s="2" t="str" cm="1">
        <f t="array" ref="G283">_xlfn.CONCAT(IFERROR(I283:K283,""))</f>
        <v>02000000FEFFFFFF</v>
      </c>
      <c r="I283" s="2" t="e">
        <f>_xlfn.LET(_xlpm.big,DEC2HEX(_xlfn.BITLSHIFT(M283-_xlfn.XLOOKUP(O283,Data!A:A,Data!F:F),4)+O283,8),_xlfn.CONCAT(MID(_xlpm.big,7,2),MID(_xlpm.big,5,2),MID(_xlpm.big,3,2),MID(_xlpm.big,1,2)))</f>
        <v>#NUM!</v>
      </c>
      <c r="J283" s="2" t="str">
        <f t="shared" si="16"/>
        <v>02000000</v>
      </c>
      <c r="K283" s="2" t="str">
        <f>_xlfn.LET(_xlpm.big,IF(H283,DEC2HEX(HEX2DEC(F283),8),DEC2HEX(N283-_xlfn.XLOOKUP(P283,Data!A:A,Data!F:F),8)),_xlfn.CONCAT(MID(_xlpm.big,7,2),MID(_xlpm.big,5,2),MID(_xlpm.big,3,2),MID(_xlpm.big,1,2)))</f>
        <v>FEFFFFFF</v>
      </c>
      <c r="L283" s="2">
        <f t="shared" si="17"/>
        <v>0</v>
      </c>
      <c r="M283" s="2">
        <f t="shared" si="18"/>
        <v>0</v>
      </c>
      <c r="N283" s="2">
        <f t="shared" si="19"/>
        <v>0</v>
      </c>
      <c r="O283" s="2" cm="1">
        <f t="array" ref="O283">_xlfn.IFS(M283&lt;Data!$F$3,0,M283&lt;Data!$F$4,1,TRUE,2)</f>
        <v>0</v>
      </c>
      <c r="P283" s="2" cm="1">
        <f t="array" ref="P283">_xlfn.IFS(H283,3,N283&lt;Data!$F$3,0,N283&lt;Data!$F$4,1,TRUE,2)</f>
        <v>0</v>
      </c>
    </row>
    <row r="284" spans="4:16">
      <c r="D284" s="3"/>
      <c r="E284" s="3"/>
      <c r="F284" s="3"/>
      <c r="G284" s="2" t="str" cm="1">
        <f t="array" ref="G284">_xlfn.CONCAT(IFERROR(I284:K284,""))</f>
        <v>02000000FEFFFFFF</v>
      </c>
      <c r="I284" s="2" t="e">
        <f>_xlfn.LET(_xlpm.big,DEC2HEX(_xlfn.BITLSHIFT(M284-_xlfn.XLOOKUP(O284,Data!A:A,Data!F:F),4)+O284,8),_xlfn.CONCAT(MID(_xlpm.big,7,2),MID(_xlpm.big,5,2),MID(_xlpm.big,3,2),MID(_xlpm.big,1,2)))</f>
        <v>#NUM!</v>
      </c>
      <c r="J284" s="2" t="str">
        <f t="shared" si="16"/>
        <v>02000000</v>
      </c>
      <c r="K284" s="2" t="str">
        <f>_xlfn.LET(_xlpm.big,IF(H284,DEC2HEX(HEX2DEC(F284),8),DEC2HEX(N284-_xlfn.XLOOKUP(P284,Data!A:A,Data!F:F),8)),_xlfn.CONCAT(MID(_xlpm.big,7,2),MID(_xlpm.big,5,2),MID(_xlpm.big,3,2),MID(_xlpm.big,1,2)))</f>
        <v>FEFFFFFF</v>
      </c>
      <c r="L284" s="2">
        <f t="shared" si="17"/>
        <v>0</v>
      </c>
      <c r="M284" s="2">
        <f t="shared" si="18"/>
        <v>0</v>
      </c>
      <c r="N284" s="2">
        <f t="shared" si="19"/>
        <v>0</v>
      </c>
      <c r="O284" s="2" cm="1">
        <f t="array" ref="O284">_xlfn.IFS(M284&lt;Data!$F$3,0,M284&lt;Data!$F$4,1,TRUE,2)</f>
        <v>0</v>
      </c>
      <c r="P284" s="2" cm="1">
        <f t="array" ref="P284">_xlfn.IFS(H284,3,N284&lt;Data!$F$3,0,N284&lt;Data!$F$4,1,TRUE,2)</f>
        <v>0</v>
      </c>
    </row>
    <row r="285" spans="4:16">
      <c r="D285" s="3"/>
      <c r="E285" s="3"/>
      <c r="F285" s="3"/>
      <c r="G285" s="2" t="str" cm="1">
        <f t="array" ref="G285">_xlfn.CONCAT(IFERROR(I285:K285,""))</f>
        <v>02000000FEFFFFFF</v>
      </c>
      <c r="I285" s="2" t="e">
        <f>_xlfn.LET(_xlpm.big,DEC2HEX(_xlfn.BITLSHIFT(M285-_xlfn.XLOOKUP(O285,Data!A:A,Data!F:F),4)+O285,8),_xlfn.CONCAT(MID(_xlpm.big,7,2),MID(_xlpm.big,5,2),MID(_xlpm.big,3,2),MID(_xlpm.big,1,2)))</f>
        <v>#NUM!</v>
      </c>
      <c r="J285" s="2" t="str">
        <f t="shared" si="16"/>
        <v>02000000</v>
      </c>
      <c r="K285" s="2" t="str">
        <f>_xlfn.LET(_xlpm.big,IF(H285,DEC2HEX(HEX2DEC(F285),8),DEC2HEX(N285-_xlfn.XLOOKUP(P285,Data!A:A,Data!F:F),8)),_xlfn.CONCAT(MID(_xlpm.big,7,2),MID(_xlpm.big,5,2),MID(_xlpm.big,3,2),MID(_xlpm.big,1,2)))</f>
        <v>FEFFFFFF</v>
      </c>
      <c r="L285" s="2">
        <f t="shared" si="17"/>
        <v>0</v>
      </c>
      <c r="M285" s="2">
        <f t="shared" si="18"/>
        <v>0</v>
      </c>
      <c r="N285" s="2">
        <f t="shared" si="19"/>
        <v>0</v>
      </c>
      <c r="O285" s="2" cm="1">
        <f t="array" ref="O285">_xlfn.IFS(M285&lt;Data!$F$3,0,M285&lt;Data!$F$4,1,TRUE,2)</f>
        <v>0</v>
      </c>
      <c r="P285" s="2" cm="1">
        <f t="array" ref="P285">_xlfn.IFS(H285,3,N285&lt;Data!$F$3,0,N285&lt;Data!$F$4,1,TRUE,2)</f>
        <v>0</v>
      </c>
    </row>
    <row r="286" spans="4:16">
      <c r="D286" s="3"/>
      <c r="E286" s="3"/>
      <c r="F286" s="3"/>
      <c r="G286" s="2" t="str" cm="1">
        <f t="array" ref="G286">_xlfn.CONCAT(IFERROR(I286:K286,""))</f>
        <v>02000000FEFFFFFF</v>
      </c>
      <c r="I286" s="2" t="e">
        <f>_xlfn.LET(_xlpm.big,DEC2HEX(_xlfn.BITLSHIFT(M286-_xlfn.XLOOKUP(O286,Data!A:A,Data!F:F),4)+O286,8),_xlfn.CONCAT(MID(_xlpm.big,7,2),MID(_xlpm.big,5,2),MID(_xlpm.big,3,2),MID(_xlpm.big,1,2)))</f>
        <v>#NUM!</v>
      </c>
      <c r="J286" s="2" t="str">
        <f t="shared" si="16"/>
        <v>02000000</v>
      </c>
      <c r="K286" s="2" t="str">
        <f>_xlfn.LET(_xlpm.big,IF(H286,DEC2HEX(HEX2DEC(F286),8),DEC2HEX(N286-_xlfn.XLOOKUP(P286,Data!A:A,Data!F:F),8)),_xlfn.CONCAT(MID(_xlpm.big,7,2),MID(_xlpm.big,5,2),MID(_xlpm.big,3,2),MID(_xlpm.big,1,2)))</f>
        <v>FEFFFFFF</v>
      </c>
      <c r="L286" s="2">
        <f t="shared" si="17"/>
        <v>0</v>
      </c>
      <c r="M286" s="2">
        <f t="shared" si="18"/>
        <v>0</v>
      </c>
      <c r="N286" s="2">
        <f t="shared" si="19"/>
        <v>0</v>
      </c>
      <c r="O286" s="2" cm="1">
        <f t="array" ref="O286">_xlfn.IFS(M286&lt;Data!$F$3,0,M286&lt;Data!$F$4,1,TRUE,2)</f>
        <v>0</v>
      </c>
      <c r="P286" s="2" cm="1">
        <f t="array" ref="P286">_xlfn.IFS(H286,3,N286&lt;Data!$F$3,0,N286&lt;Data!$F$4,1,TRUE,2)</f>
        <v>0</v>
      </c>
    </row>
    <row r="287" spans="4:16">
      <c r="D287" s="3"/>
      <c r="E287" s="3"/>
      <c r="F287" s="3"/>
      <c r="G287" s="2" t="str" cm="1">
        <f t="array" ref="G287">_xlfn.CONCAT(IFERROR(I287:K287,""))</f>
        <v>02000000FEFFFFFF</v>
      </c>
      <c r="I287" s="2" t="e">
        <f>_xlfn.LET(_xlpm.big,DEC2HEX(_xlfn.BITLSHIFT(M287-_xlfn.XLOOKUP(O287,Data!A:A,Data!F:F),4)+O287,8),_xlfn.CONCAT(MID(_xlpm.big,7,2),MID(_xlpm.big,5,2),MID(_xlpm.big,3,2),MID(_xlpm.big,1,2)))</f>
        <v>#NUM!</v>
      </c>
      <c r="J287" s="2" t="str">
        <f t="shared" si="16"/>
        <v>02000000</v>
      </c>
      <c r="K287" s="2" t="str">
        <f>_xlfn.LET(_xlpm.big,IF(H287,DEC2HEX(HEX2DEC(F287),8),DEC2HEX(N287-_xlfn.XLOOKUP(P287,Data!A:A,Data!F:F),8)),_xlfn.CONCAT(MID(_xlpm.big,7,2),MID(_xlpm.big,5,2),MID(_xlpm.big,3,2),MID(_xlpm.big,1,2)))</f>
        <v>FEFFFFFF</v>
      </c>
      <c r="L287" s="2">
        <f t="shared" si="17"/>
        <v>0</v>
      </c>
      <c r="M287" s="2">
        <f t="shared" si="18"/>
        <v>0</v>
      </c>
      <c r="N287" s="2">
        <f t="shared" si="19"/>
        <v>0</v>
      </c>
      <c r="O287" s="2" cm="1">
        <f t="array" ref="O287">_xlfn.IFS(M287&lt;Data!$F$3,0,M287&lt;Data!$F$4,1,TRUE,2)</f>
        <v>0</v>
      </c>
      <c r="P287" s="2" cm="1">
        <f t="array" ref="P287">_xlfn.IFS(H287,3,N287&lt;Data!$F$3,0,N287&lt;Data!$F$4,1,TRUE,2)</f>
        <v>0</v>
      </c>
    </row>
    <row r="288" spans="4:16">
      <c r="D288" s="3"/>
      <c r="E288" s="3"/>
      <c r="F288" s="3"/>
      <c r="G288" s="2" t="str" cm="1">
        <f t="array" ref="G288">_xlfn.CONCAT(IFERROR(I288:K288,""))</f>
        <v>02000000FEFFFFFF</v>
      </c>
      <c r="I288" s="2" t="e">
        <f>_xlfn.LET(_xlpm.big,DEC2HEX(_xlfn.BITLSHIFT(M288-_xlfn.XLOOKUP(O288,Data!A:A,Data!F:F),4)+O288,8),_xlfn.CONCAT(MID(_xlpm.big,7,2),MID(_xlpm.big,5,2),MID(_xlpm.big,3,2),MID(_xlpm.big,1,2)))</f>
        <v>#NUM!</v>
      </c>
      <c r="J288" s="2" t="str">
        <f t="shared" si="16"/>
        <v>02000000</v>
      </c>
      <c r="K288" s="2" t="str">
        <f>_xlfn.LET(_xlpm.big,IF(H288,DEC2HEX(HEX2DEC(F288),8),DEC2HEX(N288-_xlfn.XLOOKUP(P288,Data!A:A,Data!F:F),8)),_xlfn.CONCAT(MID(_xlpm.big,7,2),MID(_xlpm.big,5,2),MID(_xlpm.big,3,2),MID(_xlpm.big,1,2)))</f>
        <v>FEFFFFFF</v>
      </c>
      <c r="L288" s="2">
        <f t="shared" si="17"/>
        <v>0</v>
      </c>
      <c r="M288" s="2">
        <f t="shared" si="18"/>
        <v>0</v>
      </c>
      <c r="N288" s="2">
        <f t="shared" si="19"/>
        <v>0</v>
      </c>
      <c r="O288" s="2" cm="1">
        <f t="array" ref="O288">_xlfn.IFS(M288&lt;Data!$F$3,0,M288&lt;Data!$F$4,1,TRUE,2)</f>
        <v>0</v>
      </c>
      <c r="P288" s="2" cm="1">
        <f t="array" ref="P288">_xlfn.IFS(H288,3,N288&lt;Data!$F$3,0,N288&lt;Data!$F$4,1,TRUE,2)</f>
        <v>0</v>
      </c>
    </row>
    <row r="289" spans="4:16">
      <c r="D289" s="3"/>
      <c r="E289" s="3"/>
      <c r="F289" s="3"/>
      <c r="G289" s="2" t="str" cm="1">
        <f t="array" ref="G289">_xlfn.CONCAT(IFERROR(I289:K289,""))</f>
        <v>02000000FEFFFFFF</v>
      </c>
      <c r="I289" s="2" t="e">
        <f>_xlfn.LET(_xlpm.big,DEC2HEX(_xlfn.BITLSHIFT(M289-_xlfn.XLOOKUP(O289,Data!A:A,Data!F:F),4)+O289,8),_xlfn.CONCAT(MID(_xlpm.big,7,2),MID(_xlpm.big,5,2),MID(_xlpm.big,3,2),MID(_xlpm.big,1,2)))</f>
        <v>#NUM!</v>
      </c>
      <c r="J289" s="2" t="str">
        <f t="shared" si="16"/>
        <v>02000000</v>
      </c>
      <c r="K289" s="2" t="str">
        <f>_xlfn.LET(_xlpm.big,IF(H289,DEC2HEX(HEX2DEC(F289),8),DEC2HEX(N289-_xlfn.XLOOKUP(P289,Data!A:A,Data!F:F),8)),_xlfn.CONCAT(MID(_xlpm.big,7,2),MID(_xlpm.big,5,2),MID(_xlpm.big,3,2),MID(_xlpm.big,1,2)))</f>
        <v>FEFFFFFF</v>
      </c>
      <c r="L289" s="2">
        <f t="shared" si="17"/>
        <v>0</v>
      </c>
      <c r="M289" s="2">
        <f t="shared" si="18"/>
        <v>0</v>
      </c>
      <c r="N289" s="2">
        <f t="shared" si="19"/>
        <v>0</v>
      </c>
      <c r="O289" s="2" cm="1">
        <f t="array" ref="O289">_xlfn.IFS(M289&lt;Data!$F$3,0,M289&lt;Data!$F$4,1,TRUE,2)</f>
        <v>0</v>
      </c>
      <c r="P289" s="2" cm="1">
        <f t="array" ref="P289">_xlfn.IFS(H289,3,N289&lt;Data!$F$3,0,N289&lt;Data!$F$4,1,TRUE,2)</f>
        <v>0</v>
      </c>
    </row>
    <row r="290" spans="4:16">
      <c r="D290" s="3"/>
      <c r="E290" s="3"/>
      <c r="F290" s="3"/>
      <c r="G290" s="2" t="str" cm="1">
        <f t="array" ref="G290">_xlfn.CONCAT(IFERROR(I290:K290,""))</f>
        <v>02000000FEFFFFFF</v>
      </c>
      <c r="I290" s="2" t="e">
        <f>_xlfn.LET(_xlpm.big,DEC2HEX(_xlfn.BITLSHIFT(M290-_xlfn.XLOOKUP(O290,Data!A:A,Data!F:F),4)+O290,8),_xlfn.CONCAT(MID(_xlpm.big,7,2),MID(_xlpm.big,5,2),MID(_xlpm.big,3,2),MID(_xlpm.big,1,2)))</f>
        <v>#NUM!</v>
      </c>
      <c r="J290" s="2" t="str">
        <f t="shared" si="16"/>
        <v>02000000</v>
      </c>
      <c r="K290" s="2" t="str">
        <f>_xlfn.LET(_xlpm.big,IF(H290,DEC2HEX(HEX2DEC(F290),8),DEC2HEX(N290-_xlfn.XLOOKUP(P290,Data!A:A,Data!F:F),8)),_xlfn.CONCAT(MID(_xlpm.big,7,2),MID(_xlpm.big,5,2),MID(_xlpm.big,3,2),MID(_xlpm.big,1,2)))</f>
        <v>FEFFFFFF</v>
      </c>
      <c r="L290" s="2">
        <f t="shared" si="17"/>
        <v>0</v>
      </c>
      <c r="M290" s="2">
        <f t="shared" si="18"/>
        <v>0</v>
      </c>
      <c r="N290" s="2">
        <f t="shared" si="19"/>
        <v>0</v>
      </c>
      <c r="O290" s="2" cm="1">
        <f t="array" ref="O290">_xlfn.IFS(M290&lt;Data!$F$3,0,M290&lt;Data!$F$4,1,TRUE,2)</f>
        <v>0</v>
      </c>
      <c r="P290" s="2" cm="1">
        <f t="array" ref="P290">_xlfn.IFS(H290,3,N290&lt;Data!$F$3,0,N290&lt;Data!$F$4,1,TRUE,2)</f>
        <v>0</v>
      </c>
    </row>
    <row r="291" spans="4:16">
      <c r="D291" s="3"/>
      <c r="E291" s="3"/>
      <c r="F291" s="3"/>
      <c r="G291" s="2" t="str" cm="1">
        <f t="array" ref="G291">_xlfn.CONCAT(IFERROR(I291:K291,""))</f>
        <v>02000000FEFFFFFF</v>
      </c>
      <c r="I291" s="2" t="e">
        <f>_xlfn.LET(_xlpm.big,DEC2HEX(_xlfn.BITLSHIFT(M291-_xlfn.XLOOKUP(O291,Data!A:A,Data!F:F),4)+O291,8),_xlfn.CONCAT(MID(_xlpm.big,7,2),MID(_xlpm.big,5,2),MID(_xlpm.big,3,2),MID(_xlpm.big,1,2)))</f>
        <v>#NUM!</v>
      </c>
      <c r="J291" s="2" t="str">
        <f t="shared" si="16"/>
        <v>02000000</v>
      </c>
      <c r="K291" s="2" t="str">
        <f>_xlfn.LET(_xlpm.big,IF(H291,DEC2HEX(HEX2DEC(F291),8),DEC2HEX(N291-_xlfn.XLOOKUP(P291,Data!A:A,Data!F:F),8)),_xlfn.CONCAT(MID(_xlpm.big,7,2),MID(_xlpm.big,5,2),MID(_xlpm.big,3,2),MID(_xlpm.big,1,2)))</f>
        <v>FEFFFFFF</v>
      </c>
      <c r="L291" s="2">
        <f t="shared" si="17"/>
        <v>0</v>
      </c>
      <c r="M291" s="2">
        <f t="shared" si="18"/>
        <v>0</v>
      </c>
      <c r="N291" s="2">
        <f t="shared" si="19"/>
        <v>0</v>
      </c>
      <c r="O291" s="2" cm="1">
        <f t="array" ref="O291">_xlfn.IFS(M291&lt;Data!$F$3,0,M291&lt;Data!$F$4,1,TRUE,2)</f>
        <v>0</v>
      </c>
      <c r="P291" s="2" cm="1">
        <f t="array" ref="P291">_xlfn.IFS(H291,3,N291&lt;Data!$F$3,0,N291&lt;Data!$F$4,1,TRUE,2)</f>
        <v>0</v>
      </c>
    </row>
    <row r="292" spans="4:16">
      <c r="D292" s="3"/>
      <c r="E292" s="3"/>
      <c r="F292" s="3"/>
      <c r="G292" s="2" t="str" cm="1">
        <f t="array" ref="G292">_xlfn.CONCAT(IFERROR(I292:K292,""))</f>
        <v>02000000FEFFFFFF</v>
      </c>
      <c r="I292" s="2" t="e">
        <f>_xlfn.LET(_xlpm.big,DEC2HEX(_xlfn.BITLSHIFT(M292-_xlfn.XLOOKUP(O292,Data!A:A,Data!F:F),4)+O292,8),_xlfn.CONCAT(MID(_xlpm.big,7,2),MID(_xlpm.big,5,2),MID(_xlpm.big,3,2),MID(_xlpm.big,1,2)))</f>
        <v>#NUM!</v>
      </c>
      <c r="J292" s="2" t="str">
        <f t="shared" si="16"/>
        <v>02000000</v>
      </c>
      <c r="K292" s="2" t="str">
        <f>_xlfn.LET(_xlpm.big,IF(H292,DEC2HEX(HEX2DEC(F292),8),DEC2HEX(N292-_xlfn.XLOOKUP(P292,Data!A:A,Data!F:F),8)),_xlfn.CONCAT(MID(_xlpm.big,7,2),MID(_xlpm.big,5,2),MID(_xlpm.big,3,2),MID(_xlpm.big,1,2)))</f>
        <v>FEFFFFFF</v>
      </c>
      <c r="L292" s="2">
        <f t="shared" si="17"/>
        <v>0</v>
      </c>
      <c r="M292" s="2">
        <f t="shared" si="18"/>
        <v>0</v>
      </c>
      <c r="N292" s="2">
        <f t="shared" si="19"/>
        <v>0</v>
      </c>
      <c r="O292" s="2" cm="1">
        <f t="array" ref="O292">_xlfn.IFS(M292&lt;Data!$F$3,0,M292&lt;Data!$F$4,1,TRUE,2)</f>
        <v>0</v>
      </c>
      <c r="P292" s="2" cm="1">
        <f t="array" ref="P292">_xlfn.IFS(H292,3,N292&lt;Data!$F$3,0,N292&lt;Data!$F$4,1,TRUE,2)</f>
        <v>0</v>
      </c>
    </row>
    <row r="293" spans="4:16">
      <c r="D293" s="3"/>
      <c r="E293" s="3"/>
      <c r="F293" s="3"/>
      <c r="G293" s="2" t="str" cm="1">
        <f t="array" ref="G293">_xlfn.CONCAT(IFERROR(I293:K293,""))</f>
        <v>02000000FEFFFFFF</v>
      </c>
      <c r="I293" s="2" t="e">
        <f>_xlfn.LET(_xlpm.big,DEC2HEX(_xlfn.BITLSHIFT(M293-_xlfn.XLOOKUP(O293,Data!A:A,Data!F:F),4)+O293,8),_xlfn.CONCAT(MID(_xlpm.big,7,2),MID(_xlpm.big,5,2),MID(_xlpm.big,3,2),MID(_xlpm.big,1,2)))</f>
        <v>#NUM!</v>
      </c>
      <c r="J293" s="2" t="str">
        <f t="shared" si="16"/>
        <v>02000000</v>
      </c>
      <c r="K293" s="2" t="str">
        <f>_xlfn.LET(_xlpm.big,IF(H293,DEC2HEX(HEX2DEC(F293),8),DEC2HEX(N293-_xlfn.XLOOKUP(P293,Data!A:A,Data!F:F),8)),_xlfn.CONCAT(MID(_xlpm.big,7,2),MID(_xlpm.big,5,2),MID(_xlpm.big,3,2),MID(_xlpm.big,1,2)))</f>
        <v>FEFFFFFF</v>
      </c>
      <c r="L293" s="2">
        <f t="shared" si="17"/>
        <v>0</v>
      </c>
      <c r="M293" s="2">
        <f t="shared" si="18"/>
        <v>0</v>
      </c>
      <c r="N293" s="2">
        <f t="shared" si="19"/>
        <v>0</v>
      </c>
      <c r="O293" s="2" cm="1">
        <f t="array" ref="O293">_xlfn.IFS(M293&lt;Data!$F$3,0,M293&lt;Data!$F$4,1,TRUE,2)</f>
        <v>0</v>
      </c>
      <c r="P293" s="2" cm="1">
        <f t="array" ref="P293">_xlfn.IFS(H293,3,N293&lt;Data!$F$3,0,N293&lt;Data!$F$4,1,TRUE,2)</f>
        <v>0</v>
      </c>
    </row>
    <row r="294" spans="4:16">
      <c r="D294" s="3"/>
      <c r="E294" s="3"/>
      <c r="F294" s="3"/>
      <c r="G294" s="2" t="str" cm="1">
        <f t="array" ref="G294">_xlfn.CONCAT(IFERROR(I294:K294,""))</f>
        <v>02000000FEFFFFFF</v>
      </c>
      <c r="I294" s="2" t="e">
        <f>_xlfn.LET(_xlpm.big,DEC2HEX(_xlfn.BITLSHIFT(M294-_xlfn.XLOOKUP(O294,Data!A:A,Data!F:F),4)+O294,8),_xlfn.CONCAT(MID(_xlpm.big,7,2),MID(_xlpm.big,5,2),MID(_xlpm.big,3,2),MID(_xlpm.big,1,2)))</f>
        <v>#NUM!</v>
      </c>
      <c r="J294" s="2" t="str">
        <f t="shared" si="16"/>
        <v>02000000</v>
      </c>
      <c r="K294" s="2" t="str">
        <f>_xlfn.LET(_xlpm.big,IF(H294,DEC2HEX(HEX2DEC(F294),8),DEC2HEX(N294-_xlfn.XLOOKUP(P294,Data!A:A,Data!F:F),8)),_xlfn.CONCAT(MID(_xlpm.big,7,2),MID(_xlpm.big,5,2),MID(_xlpm.big,3,2),MID(_xlpm.big,1,2)))</f>
        <v>FEFFFFFF</v>
      </c>
      <c r="L294" s="2">
        <f t="shared" si="17"/>
        <v>0</v>
      </c>
      <c r="M294" s="2">
        <f t="shared" si="18"/>
        <v>0</v>
      </c>
      <c r="N294" s="2">
        <f t="shared" si="19"/>
        <v>0</v>
      </c>
      <c r="O294" s="2" cm="1">
        <f t="array" ref="O294">_xlfn.IFS(M294&lt;Data!$F$3,0,M294&lt;Data!$F$4,1,TRUE,2)</f>
        <v>0</v>
      </c>
      <c r="P294" s="2" cm="1">
        <f t="array" ref="P294">_xlfn.IFS(H294,3,N294&lt;Data!$F$3,0,N294&lt;Data!$F$4,1,TRUE,2)</f>
        <v>0</v>
      </c>
    </row>
    <row r="295" spans="4:16">
      <c r="D295" s="3"/>
      <c r="E295" s="3"/>
      <c r="F295" s="3"/>
      <c r="G295" s="2" t="str" cm="1">
        <f t="array" ref="G295">_xlfn.CONCAT(IFERROR(I295:K295,""))</f>
        <v>02000000FEFFFFFF</v>
      </c>
      <c r="I295" s="2" t="e">
        <f>_xlfn.LET(_xlpm.big,DEC2HEX(_xlfn.BITLSHIFT(M295-_xlfn.XLOOKUP(O295,Data!A:A,Data!F:F),4)+O295,8),_xlfn.CONCAT(MID(_xlpm.big,7,2),MID(_xlpm.big,5,2),MID(_xlpm.big,3,2),MID(_xlpm.big,1,2)))</f>
        <v>#NUM!</v>
      </c>
      <c r="J295" s="2" t="str">
        <f t="shared" si="16"/>
        <v>02000000</v>
      </c>
      <c r="K295" s="2" t="str">
        <f>_xlfn.LET(_xlpm.big,IF(H295,DEC2HEX(HEX2DEC(F295),8),DEC2HEX(N295-_xlfn.XLOOKUP(P295,Data!A:A,Data!F:F),8)),_xlfn.CONCAT(MID(_xlpm.big,7,2),MID(_xlpm.big,5,2),MID(_xlpm.big,3,2),MID(_xlpm.big,1,2)))</f>
        <v>FEFFFFFF</v>
      </c>
      <c r="L295" s="2">
        <f t="shared" si="17"/>
        <v>0</v>
      </c>
      <c r="M295" s="2">
        <f t="shared" si="18"/>
        <v>0</v>
      </c>
      <c r="N295" s="2">
        <f t="shared" si="19"/>
        <v>0</v>
      </c>
      <c r="O295" s="2" cm="1">
        <f t="array" ref="O295">_xlfn.IFS(M295&lt;Data!$F$3,0,M295&lt;Data!$F$4,1,TRUE,2)</f>
        <v>0</v>
      </c>
      <c r="P295" s="2" cm="1">
        <f t="array" ref="P295">_xlfn.IFS(H295,3,N295&lt;Data!$F$3,0,N295&lt;Data!$F$4,1,TRUE,2)</f>
        <v>0</v>
      </c>
    </row>
    <row r="296" spans="4:16">
      <c r="D296" s="3"/>
      <c r="E296" s="3"/>
      <c r="F296" s="3"/>
      <c r="G296" s="2" t="str" cm="1">
        <f t="array" ref="G296">_xlfn.CONCAT(IFERROR(I296:K296,""))</f>
        <v>02000000FEFFFFFF</v>
      </c>
      <c r="I296" s="2" t="e">
        <f>_xlfn.LET(_xlpm.big,DEC2HEX(_xlfn.BITLSHIFT(M296-_xlfn.XLOOKUP(O296,Data!A:A,Data!F:F),4)+O296,8),_xlfn.CONCAT(MID(_xlpm.big,7,2),MID(_xlpm.big,5,2),MID(_xlpm.big,3,2),MID(_xlpm.big,1,2)))</f>
        <v>#NUM!</v>
      </c>
      <c r="J296" s="2" t="str">
        <f t="shared" si="16"/>
        <v>02000000</v>
      </c>
      <c r="K296" s="2" t="str">
        <f>_xlfn.LET(_xlpm.big,IF(H296,DEC2HEX(HEX2DEC(F296),8),DEC2HEX(N296-_xlfn.XLOOKUP(P296,Data!A:A,Data!F:F),8)),_xlfn.CONCAT(MID(_xlpm.big,7,2),MID(_xlpm.big,5,2),MID(_xlpm.big,3,2),MID(_xlpm.big,1,2)))</f>
        <v>FEFFFFFF</v>
      </c>
      <c r="L296" s="2">
        <f t="shared" si="17"/>
        <v>0</v>
      </c>
      <c r="M296" s="2">
        <f t="shared" si="18"/>
        <v>0</v>
      </c>
      <c r="N296" s="2">
        <f t="shared" si="19"/>
        <v>0</v>
      </c>
      <c r="O296" s="2" cm="1">
        <f t="array" ref="O296">_xlfn.IFS(M296&lt;Data!$F$3,0,M296&lt;Data!$F$4,1,TRUE,2)</f>
        <v>0</v>
      </c>
      <c r="P296" s="2" cm="1">
        <f t="array" ref="P296">_xlfn.IFS(H296,3,N296&lt;Data!$F$3,0,N296&lt;Data!$F$4,1,TRUE,2)</f>
        <v>0</v>
      </c>
    </row>
    <row r="297" spans="4:16">
      <c r="D297" s="3"/>
      <c r="E297" s="3"/>
      <c r="F297" s="3"/>
      <c r="G297" s="2" t="str" cm="1">
        <f t="array" ref="G297">_xlfn.CONCAT(IFERROR(I297:K297,""))</f>
        <v>02000000FEFFFFFF</v>
      </c>
      <c r="I297" s="2" t="e">
        <f>_xlfn.LET(_xlpm.big,DEC2HEX(_xlfn.BITLSHIFT(M297-_xlfn.XLOOKUP(O297,Data!A:A,Data!F:F),4)+O297,8),_xlfn.CONCAT(MID(_xlpm.big,7,2),MID(_xlpm.big,5,2),MID(_xlpm.big,3,2),MID(_xlpm.big,1,2)))</f>
        <v>#NUM!</v>
      </c>
      <c r="J297" s="2" t="str">
        <f t="shared" si="16"/>
        <v>02000000</v>
      </c>
      <c r="K297" s="2" t="str">
        <f>_xlfn.LET(_xlpm.big,IF(H297,DEC2HEX(HEX2DEC(F297),8),DEC2HEX(N297-_xlfn.XLOOKUP(P297,Data!A:A,Data!F:F),8)),_xlfn.CONCAT(MID(_xlpm.big,7,2),MID(_xlpm.big,5,2),MID(_xlpm.big,3,2),MID(_xlpm.big,1,2)))</f>
        <v>FEFFFFFF</v>
      </c>
      <c r="L297" s="2">
        <f t="shared" si="17"/>
        <v>0</v>
      </c>
      <c r="M297" s="2">
        <f t="shared" si="18"/>
        <v>0</v>
      </c>
      <c r="N297" s="2">
        <f t="shared" si="19"/>
        <v>0</v>
      </c>
      <c r="O297" s="2" cm="1">
        <f t="array" ref="O297">_xlfn.IFS(M297&lt;Data!$F$3,0,M297&lt;Data!$F$4,1,TRUE,2)</f>
        <v>0</v>
      </c>
      <c r="P297" s="2" cm="1">
        <f t="array" ref="P297">_xlfn.IFS(H297,3,N297&lt;Data!$F$3,0,N297&lt;Data!$F$4,1,TRUE,2)</f>
        <v>0</v>
      </c>
    </row>
    <row r="298" spans="4:16">
      <c r="D298" s="3"/>
      <c r="E298" s="3"/>
      <c r="F298" s="3"/>
      <c r="G298" s="2" t="str" cm="1">
        <f t="array" ref="G298">_xlfn.CONCAT(IFERROR(I298:K298,""))</f>
        <v>02000000FEFFFFFF</v>
      </c>
      <c r="I298" s="2" t="e">
        <f>_xlfn.LET(_xlpm.big,DEC2HEX(_xlfn.BITLSHIFT(M298-_xlfn.XLOOKUP(O298,Data!A:A,Data!F:F),4)+O298,8),_xlfn.CONCAT(MID(_xlpm.big,7,2),MID(_xlpm.big,5,2),MID(_xlpm.big,3,2),MID(_xlpm.big,1,2)))</f>
        <v>#NUM!</v>
      </c>
      <c r="J298" s="2" t="str">
        <f t="shared" si="16"/>
        <v>02000000</v>
      </c>
      <c r="K298" s="2" t="str">
        <f>_xlfn.LET(_xlpm.big,IF(H298,DEC2HEX(HEX2DEC(F298),8),DEC2HEX(N298-_xlfn.XLOOKUP(P298,Data!A:A,Data!F:F),8)),_xlfn.CONCAT(MID(_xlpm.big,7,2),MID(_xlpm.big,5,2),MID(_xlpm.big,3,2),MID(_xlpm.big,1,2)))</f>
        <v>FEFFFFFF</v>
      </c>
      <c r="L298" s="2">
        <f t="shared" si="17"/>
        <v>0</v>
      </c>
      <c r="M298" s="2">
        <f t="shared" si="18"/>
        <v>0</v>
      </c>
      <c r="N298" s="2">
        <f t="shared" si="19"/>
        <v>0</v>
      </c>
      <c r="O298" s="2" cm="1">
        <f t="array" ref="O298">_xlfn.IFS(M298&lt;Data!$F$3,0,M298&lt;Data!$F$4,1,TRUE,2)</f>
        <v>0</v>
      </c>
      <c r="P298" s="2" cm="1">
        <f t="array" ref="P298">_xlfn.IFS(H298,3,N298&lt;Data!$F$3,0,N298&lt;Data!$F$4,1,TRUE,2)</f>
        <v>0</v>
      </c>
    </row>
    <row r="299" spans="4:16">
      <c r="D299" s="3"/>
      <c r="E299" s="3"/>
      <c r="F299" s="3"/>
      <c r="G299" s="2" t="str" cm="1">
        <f t="array" ref="G299">_xlfn.CONCAT(IFERROR(I299:K299,""))</f>
        <v>02000000FEFFFFFF</v>
      </c>
      <c r="I299" s="2" t="e">
        <f>_xlfn.LET(_xlpm.big,DEC2HEX(_xlfn.BITLSHIFT(M299-_xlfn.XLOOKUP(O299,Data!A:A,Data!F:F),4)+O299,8),_xlfn.CONCAT(MID(_xlpm.big,7,2),MID(_xlpm.big,5,2),MID(_xlpm.big,3,2),MID(_xlpm.big,1,2)))</f>
        <v>#NUM!</v>
      </c>
      <c r="J299" s="2" t="str">
        <f t="shared" si="16"/>
        <v>02000000</v>
      </c>
      <c r="K299" s="2" t="str">
        <f>_xlfn.LET(_xlpm.big,IF(H299,DEC2HEX(HEX2DEC(F299),8),DEC2HEX(N299-_xlfn.XLOOKUP(P299,Data!A:A,Data!F:F),8)),_xlfn.CONCAT(MID(_xlpm.big,7,2),MID(_xlpm.big,5,2),MID(_xlpm.big,3,2),MID(_xlpm.big,1,2)))</f>
        <v>FEFFFFFF</v>
      </c>
      <c r="L299" s="2">
        <f t="shared" si="17"/>
        <v>0</v>
      </c>
      <c r="M299" s="2">
        <f t="shared" si="18"/>
        <v>0</v>
      </c>
      <c r="N299" s="2">
        <f t="shared" si="19"/>
        <v>0</v>
      </c>
      <c r="O299" s="2" cm="1">
        <f t="array" ref="O299">_xlfn.IFS(M299&lt;Data!$F$3,0,M299&lt;Data!$F$4,1,TRUE,2)</f>
        <v>0</v>
      </c>
      <c r="P299" s="2" cm="1">
        <f t="array" ref="P299">_xlfn.IFS(H299,3,N299&lt;Data!$F$3,0,N299&lt;Data!$F$4,1,TRUE,2)</f>
        <v>0</v>
      </c>
    </row>
    <row r="300" spans="4:16">
      <c r="D300" s="3"/>
      <c r="E300" s="3"/>
      <c r="F300" s="3"/>
      <c r="G300" s="2" t="str" cm="1">
        <f t="array" ref="G300">_xlfn.CONCAT(IFERROR(I300:K300,""))</f>
        <v>02000000FEFFFFFF</v>
      </c>
      <c r="I300" s="2" t="e">
        <f>_xlfn.LET(_xlpm.big,DEC2HEX(_xlfn.BITLSHIFT(M300-_xlfn.XLOOKUP(O300,Data!A:A,Data!F:F),4)+O300,8),_xlfn.CONCAT(MID(_xlpm.big,7,2),MID(_xlpm.big,5,2),MID(_xlpm.big,3,2),MID(_xlpm.big,1,2)))</f>
        <v>#NUM!</v>
      </c>
      <c r="J300" s="2" t="str">
        <f t="shared" si="16"/>
        <v>02000000</v>
      </c>
      <c r="K300" s="2" t="str">
        <f>_xlfn.LET(_xlpm.big,IF(H300,DEC2HEX(HEX2DEC(F300),8),DEC2HEX(N300-_xlfn.XLOOKUP(P300,Data!A:A,Data!F:F),8)),_xlfn.CONCAT(MID(_xlpm.big,7,2),MID(_xlpm.big,5,2),MID(_xlpm.big,3,2),MID(_xlpm.big,1,2)))</f>
        <v>FEFFFFFF</v>
      </c>
      <c r="L300" s="2">
        <f t="shared" si="17"/>
        <v>0</v>
      </c>
      <c r="M300" s="2">
        <f t="shared" si="18"/>
        <v>0</v>
      </c>
      <c r="N300" s="2">
        <f t="shared" si="19"/>
        <v>0</v>
      </c>
      <c r="O300" s="2" cm="1">
        <f t="array" ref="O300">_xlfn.IFS(M300&lt;Data!$F$3,0,M300&lt;Data!$F$4,1,TRUE,2)</f>
        <v>0</v>
      </c>
      <c r="P300" s="2" cm="1">
        <f t="array" ref="P300">_xlfn.IFS(H300,3,N300&lt;Data!$F$3,0,N300&lt;Data!$F$4,1,TRUE,2)</f>
        <v>0</v>
      </c>
    </row>
    <row r="301" spans="4:16">
      <c r="D301" s="3"/>
      <c r="E301" s="3"/>
      <c r="F301" s="3"/>
      <c r="G301" s="2" t="str" cm="1">
        <f t="array" ref="G301">_xlfn.CONCAT(IFERROR(I301:K301,""))</f>
        <v>02000000FEFFFFFF</v>
      </c>
      <c r="I301" s="2" t="e">
        <f>_xlfn.LET(_xlpm.big,DEC2HEX(_xlfn.BITLSHIFT(M301-_xlfn.XLOOKUP(O301,Data!A:A,Data!F:F),4)+O301,8),_xlfn.CONCAT(MID(_xlpm.big,7,2),MID(_xlpm.big,5,2),MID(_xlpm.big,3,2),MID(_xlpm.big,1,2)))</f>
        <v>#NUM!</v>
      </c>
      <c r="J301" s="2" t="str">
        <f t="shared" si="16"/>
        <v>02000000</v>
      </c>
      <c r="K301" s="2" t="str">
        <f>_xlfn.LET(_xlpm.big,IF(H301,DEC2HEX(HEX2DEC(F301),8),DEC2HEX(N301-_xlfn.XLOOKUP(P301,Data!A:A,Data!F:F),8)),_xlfn.CONCAT(MID(_xlpm.big,7,2),MID(_xlpm.big,5,2),MID(_xlpm.big,3,2),MID(_xlpm.big,1,2)))</f>
        <v>FEFFFFFF</v>
      </c>
      <c r="L301" s="2">
        <f t="shared" si="17"/>
        <v>0</v>
      </c>
      <c r="M301" s="2">
        <f t="shared" si="18"/>
        <v>0</v>
      </c>
      <c r="N301" s="2">
        <f t="shared" si="19"/>
        <v>0</v>
      </c>
      <c r="O301" s="2" cm="1">
        <f t="array" ref="O301">_xlfn.IFS(M301&lt;Data!$F$3,0,M301&lt;Data!$F$4,1,TRUE,2)</f>
        <v>0</v>
      </c>
      <c r="P301" s="2" cm="1">
        <f t="array" ref="P301">_xlfn.IFS(H301,3,N301&lt;Data!$F$3,0,N301&lt;Data!$F$4,1,TRUE,2)</f>
        <v>0</v>
      </c>
    </row>
    <row r="302" spans="4:16">
      <c r="D302" s="3"/>
      <c r="E302" s="3"/>
      <c r="F302" s="3"/>
      <c r="G302" s="2" t="str" cm="1">
        <f t="array" ref="G302">_xlfn.CONCAT(IFERROR(I302:K302,""))</f>
        <v>02000000FEFFFFFF</v>
      </c>
      <c r="I302" s="2" t="e">
        <f>_xlfn.LET(_xlpm.big,DEC2HEX(_xlfn.BITLSHIFT(M302-_xlfn.XLOOKUP(O302,Data!A:A,Data!F:F),4)+O302,8),_xlfn.CONCAT(MID(_xlpm.big,7,2),MID(_xlpm.big,5,2),MID(_xlpm.big,3,2),MID(_xlpm.big,1,2)))</f>
        <v>#NUM!</v>
      </c>
      <c r="J302" s="2" t="str">
        <f t="shared" si="16"/>
        <v>02000000</v>
      </c>
      <c r="K302" s="2" t="str">
        <f>_xlfn.LET(_xlpm.big,IF(H302,DEC2HEX(HEX2DEC(F302),8),DEC2HEX(N302-_xlfn.XLOOKUP(P302,Data!A:A,Data!F:F),8)),_xlfn.CONCAT(MID(_xlpm.big,7,2),MID(_xlpm.big,5,2),MID(_xlpm.big,3,2),MID(_xlpm.big,1,2)))</f>
        <v>FEFFFFFF</v>
      </c>
      <c r="L302" s="2">
        <f t="shared" si="17"/>
        <v>0</v>
      </c>
      <c r="M302" s="2">
        <f t="shared" si="18"/>
        <v>0</v>
      </c>
      <c r="N302" s="2">
        <f t="shared" si="19"/>
        <v>0</v>
      </c>
      <c r="O302" s="2" cm="1">
        <f t="array" ref="O302">_xlfn.IFS(M302&lt;Data!$F$3,0,M302&lt;Data!$F$4,1,TRUE,2)</f>
        <v>0</v>
      </c>
      <c r="P302" s="2" cm="1">
        <f t="array" ref="P302">_xlfn.IFS(H302,3,N302&lt;Data!$F$3,0,N302&lt;Data!$F$4,1,TRUE,2)</f>
        <v>0</v>
      </c>
    </row>
    <row r="303" spans="4:16">
      <c r="D303" s="3"/>
      <c r="E303" s="3"/>
      <c r="F303" s="3"/>
      <c r="G303" s="2" t="str" cm="1">
        <f t="array" ref="G303">_xlfn.CONCAT(IFERROR(I303:K303,""))</f>
        <v>02000000FEFFFFFF</v>
      </c>
      <c r="I303" s="2" t="e">
        <f>_xlfn.LET(_xlpm.big,DEC2HEX(_xlfn.BITLSHIFT(M303-_xlfn.XLOOKUP(O303,Data!A:A,Data!F:F),4)+O303,8),_xlfn.CONCAT(MID(_xlpm.big,7,2),MID(_xlpm.big,5,2),MID(_xlpm.big,3,2),MID(_xlpm.big,1,2)))</f>
        <v>#NUM!</v>
      </c>
      <c r="J303" s="2" t="str">
        <f t="shared" si="16"/>
        <v>02000000</v>
      </c>
      <c r="K303" s="2" t="str">
        <f>_xlfn.LET(_xlpm.big,IF(H303,DEC2HEX(HEX2DEC(F303),8),DEC2HEX(N303-_xlfn.XLOOKUP(P303,Data!A:A,Data!F:F),8)),_xlfn.CONCAT(MID(_xlpm.big,7,2),MID(_xlpm.big,5,2),MID(_xlpm.big,3,2),MID(_xlpm.big,1,2)))</f>
        <v>FEFFFFFF</v>
      </c>
      <c r="L303" s="2">
        <f t="shared" si="17"/>
        <v>0</v>
      </c>
      <c r="M303" s="2">
        <f t="shared" si="18"/>
        <v>0</v>
      </c>
      <c r="N303" s="2">
        <f t="shared" si="19"/>
        <v>0</v>
      </c>
      <c r="O303" s="2" cm="1">
        <f t="array" ref="O303">_xlfn.IFS(M303&lt;Data!$F$3,0,M303&lt;Data!$F$4,1,TRUE,2)</f>
        <v>0</v>
      </c>
      <c r="P303" s="2" cm="1">
        <f t="array" ref="P303">_xlfn.IFS(H303,3,N303&lt;Data!$F$3,0,N303&lt;Data!$F$4,1,TRUE,2)</f>
        <v>0</v>
      </c>
    </row>
    <row r="304" spans="4:16">
      <c r="D304" s="3"/>
      <c r="E304" s="3"/>
      <c r="F304" s="3"/>
      <c r="G304" s="2" t="str" cm="1">
        <f t="array" ref="G304">_xlfn.CONCAT(IFERROR(I304:K304,""))</f>
        <v>02000000FEFFFFFF</v>
      </c>
      <c r="I304" s="2" t="e">
        <f>_xlfn.LET(_xlpm.big,DEC2HEX(_xlfn.BITLSHIFT(M304-_xlfn.XLOOKUP(O304,Data!A:A,Data!F:F),4)+O304,8),_xlfn.CONCAT(MID(_xlpm.big,7,2),MID(_xlpm.big,5,2),MID(_xlpm.big,3,2),MID(_xlpm.big,1,2)))</f>
        <v>#NUM!</v>
      </c>
      <c r="J304" s="2" t="str">
        <f t="shared" si="16"/>
        <v>02000000</v>
      </c>
      <c r="K304" s="2" t="str">
        <f>_xlfn.LET(_xlpm.big,IF(H304,DEC2HEX(HEX2DEC(F304),8),DEC2HEX(N304-_xlfn.XLOOKUP(P304,Data!A:A,Data!F:F),8)),_xlfn.CONCAT(MID(_xlpm.big,7,2),MID(_xlpm.big,5,2),MID(_xlpm.big,3,2),MID(_xlpm.big,1,2)))</f>
        <v>FEFFFFFF</v>
      </c>
      <c r="L304" s="2">
        <f t="shared" si="17"/>
        <v>0</v>
      </c>
      <c r="M304" s="2">
        <f t="shared" si="18"/>
        <v>0</v>
      </c>
      <c r="N304" s="2">
        <f t="shared" si="19"/>
        <v>0</v>
      </c>
      <c r="O304" s="2" cm="1">
        <f t="array" ref="O304">_xlfn.IFS(M304&lt;Data!$F$3,0,M304&lt;Data!$F$4,1,TRUE,2)</f>
        <v>0</v>
      </c>
      <c r="P304" s="2" cm="1">
        <f t="array" ref="P304">_xlfn.IFS(H304,3,N304&lt;Data!$F$3,0,N304&lt;Data!$F$4,1,TRUE,2)</f>
        <v>0</v>
      </c>
    </row>
    <row r="305" spans="4:16">
      <c r="D305" s="3"/>
      <c r="E305" s="3"/>
      <c r="F305" s="3"/>
      <c r="G305" s="2" t="str" cm="1">
        <f t="array" ref="G305">_xlfn.CONCAT(IFERROR(I305:K305,""))</f>
        <v>02000000FEFFFFFF</v>
      </c>
      <c r="I305" s="2" t="e">
        <f>_xlfn.LET(_xlpm.big,DEC2HEX(_xlfn.BITLSHIFT(M305-_xlfn.XLOOKUP(O305,Data!A:A,Data!F:F),4)+O305,8),_xlfn.CONCAT(MID(_xlpm.big,7,2),MID(_xlpm.big,5,2),MID(_xlpm.big,3,2),MID(_xlpm.big,1,2)))</f>
        <v>#NUM!</v>
      </c>
      <c r="J305" s="2" t="str">
        <f t="shared" si="16"/>
        <v>02000000</v>
      </c>
      <c r="K305" s="2" t="str">
        <f>_xlfn.LET(_xlpm.big,IF(H305,DEC2HEX(HEX2DEC(F305),8),DEC2HEX(N305-_xlfn.XLOOKUP(P305,Data!A:A,Data!F:F),8)),_xlfn.CONCAT(MID(_xlpm.big,7,2),MID(_xlpm.big,5,2),MID(_xlpm.big,3,2),MID(_xlpm.big,1,2)))</f>
        <v>FEFFFFFF</v>
      </c>
      <c r="L305" s="2">
        <f t="shared" si="17"/>
        <v>0</v>
      </c>
      <c r="M305" s="2">
        <f t="shared" si="18"/>
        <v>0</v>
      </c>
      <c r="N305" s="2">
        <f t="shared" si="19"/>
        <v>0</v>
      </c>
      <c r="O305" s="2" cm="1">
        <f t="array" ref="O305">_xlfn.IFS(M305&lt;Data!$F$3,0,M305&lt;Data!$F$4,1,TRUE,2)</f>
        <v>0</v>
      </c>
      <c r="P305" s="2" cm="1">
        <f t="array" ref="P305">_xlfn.IFS(H305,3,N305&lt;Data!$F$3,0,N305&lt;Data!$F$4,1,TRUE,2)</f>
        <v>0</v>
      </c>
    </row>
    <row r="306" spans="4:16">
      <c r="D306" s="3"/>
      <c r="E306" s="3"/>
      <c r="F306" s="3"/>
      <c r="G306" s="2" t="str" cm="1">
        <f t="array" ref="G306">_xlfn.CONCAT(IFERROR(I306:K306,""))</f>
        <v>02000000FEFFFFFF</v>
      </c>
      <c r="I306" s="2" t="e">
        <f>_xlfn.LET(_xlpm.big,DEC2HEX(_xlfn.BITLSHIFT(M306-_xlfn.XLOOKUP(O306,Data!A:A,Data!F:F),4)+O306,8),_xlfn.CONCAT(MID(_xlpm.big,7,2),MID(_xlpm.big,5,2),MID(_xlpm.big,3,2),MID(_xlpm.big,1,2)))</f>
        <v>#NUM!</v>
      </c>
      <c r="J306" s="2" t="str">
        <f t="shared" si="16"/>
        <v>02000000</v>
      </c>
      <c r="K306" s="2" t="str">
        <f>_xlfn.LET(_xlpm.big,IF(H306,DEC2HEX(HEX2DEC(F306),8),DEC2HEX(N306-_xlfn.XLOOKUP(P306,Data!A:A,Data!F:F),8)),_xlfn.CONCAT(MID(_xlpm.big,7,2),MID(_xlpm.big,5,2),MID(_xlpm.big,3,2),MID(_xlpm.big,1,2)))</f>
        <v>FEFFFFFF</v>
      </c>
      <c r="L306" s="2">
        <f t="shared" si="17"/>
        <v>0</v>
      </c>
      <c r="M306" s="2">
        <f t="shared" si="18"/>
        <v>0</v>
      </c>
      <c r="N306" s="2">
        <f t="shared" si="19"/>
        <v>0</v>
      </c>
      <c r="O306" s="2" cm="1">
        <f t="array" ref="O306">_xlfn.IFS(M306&lt;Data!$F$3,0,M306&lt;Data!$F$4,1,TRUE,2)</f>
        <v>0</v>
      </c>
      <c r="P306" s="2" cm="1">
        <f t="array" ref="P306">_xlfn.IFS(H306,3,N306&lt;Data!$F$3,0,N306&lt;Data!$F$4,1,TRUE,2)</f>
        <v>0</v>
      </c>
    </row>
    <row r="307" spans="4:16">
      <c r="D307" s="3"/>
      <c r="E307" s="3"/>
      <c r="F307" s="3"/>
      <c r="G307" s="2" t="str" cm="1">
        <f t="array" ref="G307">_xlfn.CONCAT(IFERROR(I307:K307,""))</f>
        <v>02000000FEFFFFFF</v>
      </c>
      <c r="I307" s="2" t="e">
        <f>_xlfn.LET(_xlpm.big,DEC2HEX(_xlfn.BITLSHIFT(M307-_xlfn.XLOOKUP(O307,Data!A:A,Data!F:F),4)+O307,8),_xlfn.CONCAT(MID(_xlpm.big,7,2),MID(_xlpm.big,5,2),MID(_xlpm.big,3,2),MID(_xlpm.big,1,2)))</f>
        <v>#NUM!</v>
      </c>
      <c r="J307" s="2" t="str">
        <f t="shared" si="16"/>
        <v>02000000</v>
      </c>
      <c r="K307" s="2" t="str">
        <f>_xlfn.LET(_xlpm.big,IF(H307,DEC2HEX(HEX2DEC(F307),8),DEC2HEX(N307-_xlfn.XLOOKUP(P307,Data!A:A,Data!F:F),8)),_xlfn.CONCAT(MID(_xlpm.big,7,2),MID(_xlpm.big,5,2),MID(_xlpm.big,3,2),MID(_xlpm.big,1,2)))</f>
        <v>FEFFFFFF</v>
      </c>
      <c r="L307" s="2">
        <f t="shared" si="17"/>
        <v>0</v>
      </c>
      <c r="M307" s="2">
        <f t="shared" si="18"/>
        <v>0</v>
      </c>
      <c r="N307" s="2">
        <f t="shared" si="19"/>
        <v>0</v>
      </c>
      <c r="O307" s="2" cm="1">
        <f t="array" ref="O307">_xlfn.IFS(M307&lt;Data!$F$3,0,M307&lt;Data!$F$4,1,TRUE,2)</f>
        <v>0</v>
      </c>
      <c r="P307" s="2" cm="1">
        <f t="array" ref="P307">_xlfn.IFS(H307,3,N307&lt;Data!$F$3,0,N307&lt;Data!$F$4,1,TRUE,2)</f>
        <v>0</v>
      </c>
    </row>
    <row r="308" spans="4:16">
      <c r="D308" s="3"/>
      <c r="E308" s="3"/>
      <c r="F308" s="3"/>
      <c r="G308" s="2" t="str" cm="1">
        <f t="array" ref="G308">_xlfn.CONCAT(IFERROR(I308:K308,""))</f>
        <v>02000000FEFFFFFF</v>
      </c>
      <c r="I308" s="2" t="e">
        <f>_xlfn.LET(_xlpm.big,DEC2HEX(_xlfn.BITLSHIFT(M308-_xlfn.XLOOKUP(O308,Data!A:A,Data!F:F),4)+O308,8),_xlfn.CONCAT(MID(_xlpm.big,7,2),MID(_xlpm.big,5,2),MID(_xlpm.big,3,2),MID(_xlpm.big,1,2)))</f>
        <v>#NUM!</v>
      </c>
      <c r="J308" s="2" t="str">
        <f t="shared" si="16"/>
        <v>02000000</v>
      </c>
      <c r="K308" s="2" t="str">
        <f>_xlfn.LET(_xlpm.big,IF(H308,DEC2HEX(HEX2DEC(F308),8),DEC2HEX(N308-_xlfn.XLOOKUP(P308,Data!A:A,Data!F:F),8)),_xlfn.CONCAT(MID(_xlpm.big,7,2),MID(_xlpm.big,5,2),MID(_xlpm.big,3,2),MID(_xlpm.big,1,2)))</f>
        <v>FEFFFFFF</v>
      </c>
      <c r="L308" s="2">
        <f t="shared" si="17"/>
        <v>0</v>
      </c>
      <c r="M308" s="2">
        <f t="shared" si="18"/>
        <v>0</v>
      </c>
      <c r="N308" s="2">
        <f t="shared" si="19"/>
        <v>0</v>
      </c>
      <c r="O308" s="2" cm="1">
        <f t="array" ref="O308">_xlfn.IFS(M308&lt;Data!$F$3,0,M308&lt;Data!$F$4,1,TRUE,2)</f>
        <v>0</v>
      </c>
      <c r="P308" s="2" cm="1">
        <f t="array" ref="P308">_xlfn.IFS(H308,3,N308&lt;Data!$F$3,0,N308&lt;Data!$F$4,1,TRUE,2)</f>
        <v>0</v>
      </c>
    </row>
    <row r="309" spans="4:16">
      <c r="D309" s="3"/>
      <c r="E309" s="3"/>
      <c r="F309" s="3"/>
      <c r="G309" s="2" t="str" cm="1">
        <f t="array" ref="G309">_xlfn.CONCAT(IFERROR(I309:K309,""))</f>
        <v>02000000FEFFFFFF</v>
      </c>
      <c r="I309" s="2" t="e">
        <f>_xlfn.LET(_xlpm.big,DEC2HEX(_xlfn.BITLSHIFT(M309-_xlfn.XLOOKUP(O309,Data!A:A,Data!F:F),4)+O309,8),_xlfn.CONCAT(MID(_xlpm.big,7,2),MID(_xlpm.big,5,2),MID(_xlpm.big,3,2),MID(_xlpm.big,1,2)))</f>
        <v>#NUM!</v>
      </c>
      <c r="J309" s="2" t="str">
        <f t="shared" si="16"/>
        <v>02000000</v>
      </c>
      <c r="K309" s="2" t="str">
        <f>_xlfn.LET(_xlpm.big,IF(H309,DEC2HEX(HEX2DEC(F309),8),DEC2HEX(N309-_xlfn.XLOOKUP(P309,Data!A:A,Data!F:F),8)),_xlfn.CONCAT(MID(_xlpm.big,7,2),MID(_xlpm.big,5,2),MID(_xlpm.big,3,2),MID(_xlpm.big,1,2)))</f>
        <v>FEFFFFFF</v>
      </c>
      <c r="L309" s="2">
        <f t="shared" si="17"/>
        <v>0</v>
      </c>
      <c r="M309" s="2">
        <f t="shared" si="18"/>
        <v>0</v>
      </c>
      <c r="N309" s="2">
        <f t="shared" si="19"/>
        <v>0</v>
      </c>
      <c r="O309" s="2" cm="1">
        <f t="array" ref="O309">_xlfn.IFS(M309&lt;Data!$F$3,0,M309&lt;Data!$F$4,1,TRUE,2)</f>
        <v>0</v>
      </c>
      <c r="P309" s="2" cm="1">
        <f t="array" ref="P309">_xlfn.IFS(H309,3,N309&lt;Data!$F$3,0,N309&lt;Data!$F$4,1,TRUE,2)</f>
        <v>0</v>
      </c>
    </row>
    <row r="310" spans="4:16">
      <c r="D310" s="3"/>
      <c r="E310" s="3"/>
      <c r="F310" s="3"/>
      <c r="G310" s="2" t="str" cm="1">
        <f t="array" ref="G310">_xlfn.CONCAT(IFERROR(I310:K310,""))</f>
        <v>02000000FEFFFFFF</v>
      </c>
      <c r="I310" s="2" t="e">
        <f>_xlfn.LET(_xlpm.big,DEC2HEX(_xlfn.BITLSHIFT(M310-_xlfn.XLOOKUP(O310,Data!A:A,Data!F:F),4)+O310,8),_xlfn.CONCAT(MID(_xlpm.big,7,2),MID(_xlpm.big,5,2),MID(_xlpm.big,3,2),MID(_xlpm.big,1,2)))</f>
        <v>#NUM!</v>
      </c>
      <c r="J310" s="2" t="str">
        <f t="shared" si="16"/>
        <v>02000000</v>
      </c>
      <c r="K310" s="2" t="str">
        <f>_xlfn.LET(_xlpm.big,IF(H310,DEC2HEX(HEX2DEC(F310),8),DEC2HEX(N310-_xlfn.XLOOKUP(P310,Data!A:A,Data!F:F),8)),_xlfn.CONCAT(MID(_xlpm.big,7,2),MID(_xlpm.big,5,2),MID(_xlpm.big,3,2),MID(_xlpm.big,1,2)))</f>
        <v>FEFFFFFF</v>
      </c>
      <c r="L310" s="2">
        <f t="shared" si="17"/>
        <v>0</v>
      </c>
      <c r="M310" s="2">
        <f t="shared" si="18"/>
        <v>0</v>
      </c>
      <c r="N310" s="2">
        <f t="shared" si="19"/>
        <v>0</v>
      </c>
      <c r="O310" s="2" cm="1">
        <f t="array" ref="O310">_xlfn.IFS(M310&lt;Data!$F$3,0,M310&lt;Data!$F$4,1,TRUE,2)</f>
        <v>0</v>
      </c>
      <c r="P310" s="2" cm="1">
        <f t="array" ref="P310">_xlfn.IFS(H310,3,N310&lt;Data!$F$3,0,N310&lt;Data!$F$4,1,TRUE,2)</f>
        <v>0</v>
      </c>
    </row>
    <row r="311" spans="4:16">
      <c r="D311" s="3"/>
      <c r="E311" s="3"/>
      <c r="F311" s="3"/>
      <c r="G311" s="2" t="str" cm="1">
        <f t="array" ref="G311">_xlfn.CONCAT(IFERROR(I311:K311,""))</f>
        <v>02000000FEFFFFFF</v>
      </c>
      <c r="I311" s="2" t="e">
        <f>_xlfn.LET(_xlpm.big,DEC2HEX(_xlfn.BITLSHIFT(M311-_xlfn.XLOOKUP(O311,Data!A:A,Data!F:F),4)+O311,8),_xlfn.CONCAT(MID(_xlpm.big,7,2),MID(_xlpm.big,5,2),MID(_xlpm.big,3,2),MID(_xlpm.big,1,2)))</f>
        <v>#NUM!</v>
      </c>
      <c r="J311" s="2" t="str">
        <f t="shared" si="16"/>
        <v>02000000</v>
      </c>
      <c r="K311" s="2" t="str">
        <f>_xlfn.LET(_xlpm.big,IF(H311,DEC2HEX(HEX2DEC(F311),8),DEC2HEX(N311-_xlfn.XLOOKUP(P311,Data!A:A,Data!F:F),8)),_xlfn.CONCAT(MID(_xlpm.big,7,2),MID(_xlpm.big,5,2),MID(_xlpm.big,3,2),MID(_xlpm.big,1,2)))</f>
        <v>FEFFFFFF</v>
      </c>
      <c r="L311" s="2">
        <f t="shared" si="17"/>
        <v>0</v>
      </c>
      <c r="M311" s="2">
        <f t="shared" si="18"/>
        <v>0</v>
      </c>
      <c r="N311" s="2">
        <f t="shared" si="19"/>
        <v>0</v>
      </c>
      <c r="O311" s="2" cm="1">
        <f t="array" ref="O311">_xlfn.IFS(M311&lt;Data!$F$3,0,M311&lt;Data!$F$4,1,TRUE,2)</f>
        <v>0</v>
      </c>
      <c r="P311" s="2" cm="1">
        <f t="array" ref="P311">_xlfn.IFS(H311,3,N311&lt;Data!$F$3,0,N311&lt;Data!$F$4,1,TRUE,2)</f>
        <v>0</v>
      </c>
    </row>
    <row r="312" spans="4:16">
      <c r="D312" s="3"/>
      <c r="E312" s="3"/>
      <c r="F312" s="3"/>
      <c r="G312" s="2" t="str" cm="1">
        <f t="array" ref="G312">_xlfn.CONCAT(IFERROR(I312:K312,""))</f>
        <v>02000000FEFFFFFF</v>
      </c>
      <c r="I312" s="2" t="e">
        <f>_xlfn.LET(_xlpm.big,DEC2HEX(_xlfn.BITLSHIFT(M312-_xlfn.XLOOKUP(O312,Data!A:A,Data!F:F),4)+O312,8),_xlfn.CONCAT(MID(_xlpm.big,7,2),MID(_xlpm.big,5,2),MID(_xlpm.big,3,2),MID(_xlpm.big,1,2)))</f>
        <v>#NUM!</v>
      </c>
      <c r="J312" s="2" t="str">
        <f t="shared" si="16"/>
        <v>02000000</v>
      </c>
      <c r="K312" s="2" t="str">
        <f>_xlfn.LET(_xlpm.big,IF(H312,DEC2HEX(HEX2DEC(F312),8),DEC2HEX(N312-_xlfn.XLOOKUP(P312,Data!A:A,Data!F:F),8)),_xlfn.CONCAT(MID(_xlpm.big,7,2),MID(_xlpm.big,5,2),MID(_xlpm.big,3,2),MID(_xlpm.big,1,2)))</f>
        <v>FEFFFFFF</v>
      </c>
      <c r="L312" s="2">
        <f t="shared" si="17"/>
        <v>0</v>
      </c>
      <c r="M312" s="2">
        <f t="shared" si="18"/>
        <v>0</v>
      </c>
      <c r="N312" s="2">
        <f t="shared" si="19"/>
        <v>0</v>
      </c>
      <c r="O312" s="2" cm="1">
        <f t="array" ref="O312">_xlfn.IFS(M312&lt;Data!$F$3,0,M312&lt;Data!$F$4,1,TRUE,2)</f>
        <v>0</v>
      </c>
      <c r="P312" s="2" cm="1">
        <f t="array" ref="P312">_xlfn.IFS(H312,3,N312&lt;Data!$F$3,0,N312&lt;Data!$F$4,1,TRUE,2)</f>
        <v>0</v>
      </c>
    </row>
    <row r="313" spans="4:16">
      <c r="D313" s="3"/>
      <c r="E313" s="3"/>
      <c r="F313" s="3"/>
      <c r="G313" s="2" t="str" cm="1">
        <f t="array" ref="G313">_xlfn.CONCAT(IFERROR(I313:K313,""))</f>
        <v>02000000FEFFFFFF</v>
      </c>
      <c r="I313" s="2" t="e">
        <f>_xlfn.LET(_xlpm.big,DEC2HEX(_xlfn.BITLSHIFT(M313-_xlfn.XLOOKUP(O313,Data!A:A,Data!F:F),4)+O313,8),_xlfn.CONCAT(MID(_xlpm.big,7,2),MID(_xlpm.big,5,2),MID(_xlpm.big,3,2),MID(_xlpm.big,1,2)))</f>
        <v>#NUM!</v>
      </c>
      <c r="J313" s="2" t="str">
        <f t="shared" si="16"/>
        <v>02000000</v>
      </c>
      <c r="K313" s="2" t="str">
        <f>_xlfn.LET(_xlpm.big,IF(H313,DEC2HEX(HEX2DEC(F313),8),DEC2HEX(N313-_xlfn.XLOOKUP(P313,Data!A:A,Data!F:F),8)),_xlfn.CONCAT(MID(_xlpm.big,7,2),MID(_xlpm.big,5,2),MID(_xlpm.big,3,2),MID(_xlpm.big,1,2)))</f>
        <v>FEFFFFFF</v>
      </c>
      <c r="L313" s="2">
        <f t="shared" si="17"/>
        <v>0</v>
      </c>
      <c r="M313" s="2">
        <f t="shared" si="18"/>
        <v>0</v>
      </c>
      <c r="N313" s="2">
        <f t="shared" si="19"/>
        <v>0</v>
      </c>
      <c r="O313" s="2" cm="1">
        <f t="array" ref="O313">_xlfn.IFS(M313&lt;Data!$F$3,0,M313&lt;Data!$F$4,1,TRUE,2)</f>
        <v>0</v>
      </c>
      <c r="P313" s="2" cm="1">
        <f t="array" ref="P313">_xlfn.IFS(H313,3,N313&lt;Data!$F$3,0,N313&lt;Data!$F$4,1,TRUE,2)</f>
        <v>0</v>
      </c>
    </row>
    <row r="314" spans="4:16">
      <c r="D314" s="3"/>
      <c r="E314" s="3"/>
      <c r="F314" s="3"/>
      <c r="G314" s="2" t="str" cm="1">
        <f t="array" ref="G314">_xlfn.CONCAT(IFERROR(I314:K314,""))</f>
        <v>02000000FEFFFFFF</v>
      </c>
      <c r="I314" s="2" t="e">
        <f>_xlfn.LET(_xlpm.big,DEC2HEX(_xlfn.BITLSHIFT(M314-_xlfn.XLOOKUP(O314,Data!A:A,Data!F:F),4)+O314,8),_xlfn.CONCAT(MID(_xlpm.big,7,2),MID(_xlpm.big,5,2),MID(_xlpm.big,3,2),MID(_xlpm.big,1,2)))</f>
        <v>#NUM!</v>
      </c>
      <c r="J314" s="2" t="str">
        <f t="shared" si="16"/>
        <v>02000000</v>
      </c>
      <c r="K314" s="2" t="str">
        <f>_xlfn.LET(_xlpm.big,IF(H314,DEC2HEX(HEX2DEC(F314),8),DEC2HEX(N314-_xlfn.XLOOKUP(P314,Data!A:A,Data!F:F),8)),_xlfn.CONCAT(MID(_xlpm.big,7,2),MID(_xlpm.big,5,2),MID(_xlpm.big,3,2),MID(_xlpm.big,1,2)))</f>
        <v>FEFFFFFF</v>
      </c>
      <c r="L314" s="2">
        <f t="shared" si="17"/>
        <v>0</v>
      </c>
      <c r="M314" s="2">
        <f t="shared" si="18"/>
        <v>0</v>
      </c>
      <c r="N314" s="2">
        <f t="shared" si="19"/>
        <v>0</v>
      </c>
      <c r="O314" s="2" cm="1">
        <f t="array" ref="O314">_xlfn.IFS(M314&lt;Data!$F$3,0,M314&lt;Data!$F$4,1,TRUE,2)</f>
        <v>0</v>
      </c>
      <c r="P314" s="2" cm="1">
        <f t="array" ref="P314">_xlfn.IFS(H314,3,N314&lt;Data!$F$3,0,N314&lt;Data!$F$4,1,TRUE,2)</f>
        <v>0</v>
      </c>
    </row>
    <row r="315" spans="4:16">
      <c r="D315" s="3"/>
      <c r="E315" s="3"/>
      <c r="F315" s="3"/>
      <c r="G315" s="2" t="str" cm="1">
        <f t="array" ref="G315">_xlfn.CONCAT(IFERROR(I315:K315,""))</f>
        <v>02000000FEFFFFFF</v>
      </c>
      <c r="I315" s="2" t="e">
        <f>_xlfn.LET(_xlpm.big,DEC2HEX(_xlfn.BITLSHIFT(M315-_xlfn.XLOOKUP(O315,Data!A:A,Data!F:F),4)+O315,8),_xlfn.CONCAT(MID(_xlpm.big,7,2),MID(_xlpm.big,5,2),MID(_xlpm.big,3,2),MID(_xlpm.big,1,2)))</f>
        <v>#NUM!</v>
      </c>
      <c r="J315" s="2" t="str">
        <f t="shared" si="16"/>
        <v>02000000</v>
      </c>
      <c r="K315" s="2" t="str">
        <f>_xlfn.LET(_xlpm.big,IF(H315,DEC2HEX(HEX2DEC(F315),8),DEC2HEX(N315-_xlfn.XLOOKUP(P315,Data!A:A,Data!F:F),8)),_xlfn.CONCAT(MID(_xlpm.big,7,2),MID(_xlpm.big,5,2),MID(_xlpm.big,3,2),MID(_xlpm.big,1,2)))</f>
        <v>FEFFFFFF</v>
      </c>
      <c r="L315" s="2">
        <f t="shared" si="17"/>
        <v>0</v>
      </c>
      <c r="M315" s="2">
        <f t="shared" si="18"/>
        <v>0</v>
      </c>
      <c r="N315" s="2">
        <f t="shared" si="19"/>
        <v>0</v>
      </c>
      <c r="O315" s="2" cm="1">
        <f t="array" ref="O315">_xlfn.IFS(M315&lt;Data!$F$3,0,M315&lt;Data!$F$4,1,TRUE,2)</f>
        <v>0</v>
      </c>
      <c r="P315" s="2" cm="1">
        <f t="array" ref="P315">_xlfn.IFS(H315,3,N315&lt;Data!$F$3,0,N315&lt;Data!$F$4,1,TRUE,2)</f>
        <v>0</v>
      </c>
    </row>
    <row r="316" spans="4:16">
      <c r="D316" s="3"/>
      <c r="E316" s="3"/>
      <c r="F316" s="3"/>
      <c r="G316" s="2" t="str" cm="1">
        <f t="array" ref="G316">_xlfn.CONCAT(IFERROR(I316:K316,""))</f>
        <v>02000000FEFFFFFF</v>
      </c>
      <c r="I316" s="2" t="e">
        <f>_xlfn.LET(_xlpm.big,DEC2HEX(_xlfn.BITLSHIFT(M316-_xlfn.XLOOKUP(O316,Data!A:A,Data!F:F),4)+O316,8),_xlfn.CONCAT(MID(_xlpm.big,7,2),MID(_xlpm.big,5,2),MID(_xlpm.big,3,2),MID(_xlpm.big,1,2)))</f>
        <v>#NUM!</v>
      </c>
      <c r="J316" s="2" t="str">
        <f t="shared" si="16"/>
        <v>02000000</v>
      </c>
      <c r="K316" s="2" t="str">
        <f>_xlfn.LET(_xlpm.big,IF(H316,DEC2HEX(HEX2DEC(F316),8),DEC2HEX(N316-_xlfn.XLOOKUP(P316,Data!A:A,Data!F:F),8)),_xlfn.CONCAT(MID(_xlpm.big,7,2),MID(_xlpm.big,5,2),MID(_xlpm.big,3,2),MID(_xlpm.big,1,2)))</f>
        <v>FEFFFFFF</v>
      </c>
      <c r="L316" s="2">
        <f t="shared" si="17"/>
        <v>0</v>
      </c>
      <c r="M316" s="2">
        <f t="shared" si="18"/>
        <v>0</v>
      </c>
      <c r="N316" s="2">
        <f t="shared" si="19"/>
        <v>0</v>
      </c>
      <c r="O316" s="2" cm="1">
        <f t="array" ref="O316">_xlfn.IFS(M316&lt;Data!$F$3,0,M316&lt;Data!$F$4,1,TRUE,2)</f>
        <v>0</v>
      </c>
      <c r="P316" s="2" cm="1">
        <f t="array" ref="P316">_xlfn.IFS(H316,3,N316&lt;Data!$F$3,0,N316&lt;Data!$F$4,1,TRUE,2)</f>
        <v>0</v>
      </c>
    </row>
    <row r="317" spans="4:16">
      <c r="D317" s="3"/>
      <c r="E317" s="3"/>
      <c r="F317" s="3"/>
      <c r="G317" s="2" t="str" cm="1">
        <f t="array" ref="G317">_xlfn.CONCAT(IFERROR(I317:K317,""))</f>
        <v>02000000FEFFFFFF</v>
      </c>
      <c r="I317" s="2" t="e">
        <f>_xlfn.LET(_xlpm.big,DEC2HEX(_xlfn.BITLSHIFT(M317-_xlfn.XLOOKUP(O317,Data!A:A,Data!F:F),4)+O317,8),_xlfn.CONCAT(MID(_xlpm.big,7,2),MID(_xlpm.big,5,2),MID(_xlpm.big,3,2),MID(_xlpm.big,1,2)))</f>
        <v>#NUM!</v>
      </c>
      <c r="J317" s="2" t="str">
        <f t="shared" si="16"/>
        <v>02000000</v>
      </c>
      <c r="K317" s="2" t="str">
        <f>_xlfn.LET(_xlpm.big,IF(H317,DEC2HEX(HEX2DEC(F317),8),DEC2HEX(N317-_xlfn.XLOOKUP(P317,Data!A:A,Data!F:F),8)),_xlfn.CONCAT(MID(_xlpm.big,7,2),MID(_xlpm.big,5,2),MID(_xlpm.big,3,2),MID(_xlpm.big,1,2)))</f>
        <v>FEFFFFFF</v>
      </c>
      <c r="L317" s="2">
        <f t="shared" si="17"/>
        <v>0</v>
      </c>
      <c r="M317" s="2">
        <f t="shared" si="18"/>
        <v>0</v>
      </c>
      <c r="N317" s="2">
        <f t="shared" si="19"/>
        <v>0</v>
      </c>
      <c r="O317" s="2" cm="1">
        <f t="array" ref="O317">_xlfn.IFS(M317&lt;Data!$F$3,0,M317&lt;Data!$F$4,1,TRUE,2)</f>
        <v>0</v>
      </c>
      <c r="P317" s="2" cm="1">
        <f t="array" ref="P317">_xlfn.IFS(H317,3,N317&lt;Data!$F$3,0,N317&lt;Data!$F$4,1,TRUE,2)</f>
        <v>0</v>
      </c>
    </row>
    <row r="318" spans="4:16">
      <c r="D318" s="3"/>
      <c r="E318" s="3"/>
      <c r="F318" s="3"/>
      <c r="G318" s="2" t="str" cm="1">
        <f t="array" ref="G318">_xlfn.CONCAT(IFERROR(I318:K318,""))</f>
        <v>02000000FEFFFFFF</v>
      </c>
      <c r="I318" s="2" t="e">
        <f>_xlfn.LET(_xlpm.big,DEC2HEX(_xlfn.BITLSHIFT(M318-_xlfn.XLOOKUP(O318,Data!A:A,Data!F:F),4)+O318,8),_xlfn.CONCAT(MID(_xlpm.big,7,2),MID(_xlpm.big,5,2),MID(_xlpm.big,3,2),MID(_xlpm.big,1,2)))</f>
        <v>#NUM!</v>
      </c>
      <c r="J318" s="2" t="str">
        <f t="shared" si="16"/>
        <v>02000000</v>
      </c>
      <c r="K318" s="2" t="str">
        <f>_xlfn.LET(_xlpm.big,IF(H318,DEC2HEX(HEX2DEC(F318),8),DEC2HEX(N318-_xlfn.XLOOKUP(P318,Data!A:A,Data!F:F),8)),_xlfn.CONCAT(MID(_xlpm.big,7,2),MID(_xlpm.big,5,2),MID(_xlpm.big,3,2),MID(_xlpm.big,1,2)))</f>
        <v>FEFFFFFF</v>
      </c>
      <c r="L318" s="2">
        <f t="shared" si="17"/>
        <v>0</v>
      </c>
      <c r="M318" s="2">
        <f t="shared" si="18"/>
        <v>0</v>
      </c>
      <c r="N318" s="2">
        <f t="shared" si="19"/>
        <v>0</v>
      </c>
      <c r="O318" s="2" cm="1">
        <f t="array" ref="O318">_xlfn.IFS(M318&lt;Data!$F$3,0,M318&lt;Data!$F$4,1,TRUE,2)</f>
        <v>0</v>
      </c>
      <c r="P318" s="2" cm="1">
        <f t="array" ref="P318">_xlfn.IFS(H318,3,N318&lt;Data!$F$3,0,N318&lt;Data!$F$4,1,TRUE,2)</f>
        <v>0</v>
      </c>
    </row>
    <row r="319" spans="4:16">
      <c r="D319" s="3"/>
      <c r="E319" s="3"/>
      <c r="F319" s="3"/>
      <c r="G319" s="2" t="str" cm="1">
        <f t="array" ref="G319">_xlfn.CONCAT(IFERROR(I319:K319,""))</f>
        <v>02000000FEFFFFFF</v>
      </c>
      <c r="I319" s="2" t="e">
        <f>_xlfn.LET(_xlpm.big,DEC2HEX(_xlfn.BITLSHIFT(M319-_xlfn.XLOOKUP(O319,Data!A:A,Data!F:F),4)+O319,8),_xlfn.CONCAT(MID(_xlpm.big,7,2),MID(_xlpm.big,5,2),MID(_xlpm.big,3,2),MID(_xlpm.big,1,2)))</f>
        <v>#NUM!</v>
      </c>
      <c r="J319" s="2" t="str">
        <f t="shared" si="16"/>
        <v>02000000</v>
      </c>
      <c r="K319" s="2" t="str">
        <f>_xlfn.LET(_xlpm.big,IF(H319,DEC2HEX(HEX2DEC(F319),8),DEC2HEX(N319-_xlfn.XLOOKUP(P319,Data!A:A,Data!F:F),8)),_xlfn.CONCAT(MID(_xlpm.big,7,2),MID(_xlpm.big,5,2),MID(_xlpm.big,3,2),MID(_xlpm.big,1,2)))</f>
        <v>FEFFFFFF</v>
      </c>
      <c r="L319" s="2">
        <f t="shared" si="17"/>
        <v>0</v>
      </c>
      <c r="M319" s="2">
        <f t="shared" si="18"/>
        <v>0</v>
      </c>
      <c r="N319" s="2">
        <f t="shared" si="19"/>
        <v>0</v>
      </c>
      <c r="O319" s="2" cm="1">
        <f t="array" ref="O319">_xlfn.IFS(M319&lt;Data!$F$3,0,M319&lt;Data!$F$4,1,TRUE,2)</f>
        <v>0</v>
      </c>
      <c r="P319" s="2" cm="1">
        <f t="array" ref="P319">_xlfn.IFS(H319,3,N319&lt;Data!$F$3,0,N319&lt;Data!$F$4,1,TRUE,2)</f>
        <v>0</v>
      </c>
    </row>
    <row r="320" spans="4:16">
      <c r="D320" s="3"/>
      <c r="E320" s="3"/>
      <c r="F320" s="3"/>
      <c r="G320" s="2" t="str" cm="1">
        <f t="array" ref="G320">_xlfn.CONCAT(IFERROR(I320:K320,""))</f>
        <v>0203000000000000</v>
      </c>
      <c r="H320" s="2" t="b">
        <v>1</v>
      </c>
      <c r="I320" s="2" t="e">
        <f>_xlfn.LET(_xlpm.big,DEC2HEX(_xlfn.BITLSHIFT(M320-_xlfn.XLOOKUP(O320,Data!A:A,Data!F:F),4)+O320,8),_xlfn.CONCAT(MID(_xlpm.big,7,2),MID(_xlpm.big,5,2),MID(_xlpm.big,3,2),MID(_xlpm.big,1,2)))</f>
        <v>#NUM!</v>
      </c>
      <c r="J320" s="2" t="str">
        <f t="shared" si="16"/>
        <v>02030000</v>
      </c>
      <c r="K320" s="2" t="str">
        <f>_xlfn.LET(_xlpm.big,IF(H320,DEC2HEX(HEX2DEC(F320),8),DEC2HEX(N320-_xlfn.XLOOKUP(P320,Data!A:A,Data!F:F),8)),_xlfn.CONCAT(MID(_xlpm.big,7,2),MID(_xlpm.big,5,2),MID(_xlpm.big,3,2),MID(_xlpm.big,1,2)))</f>
        <v>00000000</v>
      </c>
      <c r="L320" s="2">
        <f t="shared" si="17"/>
        <v>0</v>
      </c>
      <c r="M320" s="2">
        <f t="shared" si="18"/>
        <v>0</v>
      </c>
      <c r="N320" s="2">
        <f t="shared" si="19"/>
        <v>0</v>
      </c>
      <c r="O320" s="2" cm="1">
        <f t="array" ref="O320">_xlfn.IFS(M320&lt;Data!$F$3,0,M320&lt;Data!$F$4,1,TRUE,2)</f>
        <v>0</v>
      </c>
      <c r="P320" s="2" cm="1">
        <f t="array" ref="P320">_xlfn.IFS(H320,3,N320&lt;Data!$F$3,0,N320&lt;Data!$F$4,1,TRUE,2)</f>
        <v>3</v>
      </c>
    </row>
    <row r="321" spans="4:16">
      <c r="D321" s="3"/>
      <c r="E321" s="3"/>
      <c r="F321" s="3"/>
      <c r="G321" s="2" t="str" cm="1">
        <f t="array" ref="G321">_xlfn.CONCAT(IFERROR(I321:K321,""))</f>
        <v>0203000000000000</v>
      </c>
      <c r="H321" s="2" t="b">
        <v>1</v>
      </c>
      <c r="I321" s="2" t="e">
        <f>_xlfn.LET(_xlpm.big,DEC2HEX(_xlfn.BITLSHIFT(M321-_xlfn.XLOOKUP(O321,Data!A:A,Data!F:F),4)+O321,8),_xlfn.CONCAT(MID(_xlpm.big,7,2),MID(_xlpm.big,5,2),MID(_xlpm.big,3,2),MID(_xlpm.big,1,2)))</f>
        <v>#NUM!</v>
      </c>
      <c r="J321" s="2" t="str">
        <f t="shared" si="16"/>
        <v>02030000</v>
      </c>
      <c r="K321" s="2" t="str">
        <f>_xlfn.LET(_xlpm.big,IF(H321,DEC2HEX(HEX2DEC(F321),8),DEC2HEX(N321-_xlfn.XLOOKUP(P321,Data!A:A,Data!F:F),8)),_xlfn.CONCAT(MID(_xlpm.big,7,2),MID(_xlpm.big,5,2),MID(_xlpm.big,3,2),MID(_xlpm.big,1,2)))</f>
        <v>00000000</v>
      </c>
      <c r="L321" s="2">
        <f t="shared" si="17"/>
        <v>0</v>
      </c>
      <c r="M321" s="2">
        <f t="shared" si="18"/>
        <v>0</v>
      </c>
      <c r="N321" s="2">
        <f t="shared" si="19"/>
        <v>0</v>
      </c>
      <c r="O321" s="2" cm="1">
        <f t="array" ref="O321">_xlfn.IFS(M321&lt;Data!$F$3,0,M321&lt;Data!$F$4,1,TRUE,2)</f>
        <v>0</v>
      </c>
      <c r="P321" s="2" cm="1">
        <f t="array" ref="P321">_xlfn.IFS(H321,3,N321&lt;Data!$F$3,0,N321&lt;Data!$F$4,1,TRUE,2)</f>
        <v>3</v>
      </c>
    </row>
    <row r="322" spans="4:16">
      <c r="D322" s="3"/>
      <c r="E322" s="3"/>
      <c r="F322" s="3"/>
      <c r="G322" s="2" t="str" cm="1">
        <f t="array" ref="G322">_xlfn.CONCAT(IFERROR(I322:K322,""))</f>
        <v>02000000FEFFFFFF</v>
      </c>
      <c r="I322" s="2" t="e">
        <f>_xlfn.LET(_xlpm.big,DEC2HEX(_xlfn.BITLSHIFT(M322-_xlfn.XLOOKUP(O322,Data!A:A,Data!F:F),4)+O322,8),_xlfn.CONCAT(MID(_xlpm.big,7,2),MID(_xlpm.big,5,2),MID(_xlpm.big,3,2),MID(_xlpm.big,1,2)))</f>
        <v>#NUM!</v>
      </c>
      <c r="J322" s="2" t="str">
        <f t="shared" ref="J322:J385" si="20">_xlfn.CONCAT("02",DEC2HEX(P322,2),"0000")</f>
        <v>02000000</v>
      </c>
      <c r="K322" s="2" t="str">
        <f>_xlfn.LET(_xlpm.big,IF(H322,DEC2HEX(HEX2DEC(F322),8),DEC2HEX(N322-_xlfn.XLOOKUP(P322,Data!A:A,Data!F:F),8)),_xlfn.CONCAT(MID(_xlpm.big,7,2),MID(_xlpm.big,5,2),MID(_xlpm.big,3,2),MID(_xlpm.big,1,2)))</f>
        <v>FEFFFFFF</v>
      </c>
      <c r="L322" s="2">
        <f t="shared" ref="L322:L385" si="21">HEX2DEC(D322)</f>
        <v>0</v>
      </c>
      <c r="M322" s="2">
        <f t="shared" ref="M322:M385" si="22">HEX2DEC(E322)</f>
        <v>0</v>
      </c>
      <c r="N322" s="2">
        <f t="shared" ref="N322:N385" si="23">HEX2DEC(F322)</f>
        <v>0</v>
      </c>
      <c r="O322" s="2" cm="1">
        <f t="array" ref="O322">_xlfn.IFS(M322&lt;Data!$F$3,0,M322&lt;Data!$F$4,1,TRUE,2)</f>
        <v>0</v>
      </c>
      <c r="P322" s="2" cm="1">
        <f t="array" ref="P322">_xlfn.IFS(H322,3,N322&lt;Data!$F$3,0,N322&lt;Data!$F$4,1,TRUE,2)</f>
        <v>0</v>
      </c>
    </row>
    <row r="323" spans="4:16">
      <c r="D323" s="3"/>
      <c r="E323" s="3"/>
      <c r="F323" s="3"/>
      <c r="G323" s="2" t="str" cm="1">
        <f t="array" ref="G323">_xlfn.CONCAT(IFERROR(I323:K323,""))</f>
        <v>02000000FEFFFFFF</v>
      </c>
      <c r="I323" s="2" t="e">
        <f>_xlfn.LET(_xlpm.big,DEC2HEX(_xlfn.BITLSHIFT(M323-_xlfn.XLOOKUP(O323,Data!A:A,Data!F:F),4)+O323,8),_xlfn.CONCAT(MID(_xlpm.big,7,2),MID(_xlpm.big,5,2),MID(_xlpm.big,3,2),MID(_xlpm.big,1,2)))</f>
        <v>#NUM!</v>
      </c>
      <c r="J323" s="2" t="str">
        <f t="shared" si="20"/>
        <v>02000000</v>
      </c>
      <c r="K323" s="2" t="str">
        <f>_xlfn.LET(_xlpm.big,IF(H323,DEC2HEX(HEX2DEC(F323),8),DEC2HEX(N323-_xlfn.XLOOKUP(P323,Data!A:A,Data!F:F),8)),_xlfn.CONCAT(MID(_xlpm.big,7,2),MID(_xlpm.big,5,2),MID(_xlpm.big,3,2),MID(_xlpm.big,1,2)))</f>
        <v>FEFFFFFF</v>
      </c>
      <c r="L323" s="2">
        <f t="shared" si="21"/>
        <v>0</v>
      </c>
      <c r="M323" s="2">
        <f t="shared" si="22"/>
        <v>0</v>
      </c>
      <c r="N323" s="2">
        <f t="shared" si="23"/>
        <v>0</v>
      </c>
      <c r="O323" s="2" cm="1">
        <f t="array" ref="O323">_xlfn.IFS(M323&lt;Data!$F$3,0,M323&lt;Data!$F$4,1,TRUE,2)</f>
        <v>0</v>
      </c>
      <c r="P323" s="2" cm="1">
        <f t="array" ref="P323">_xlfn.IFS(H323,3,N323&lt;Data!$F$3,0,N323&lt;Data!$F$4,1,TRUE,2)</f>
        <v>0</v>
      </c>
    </row>
    <row r="324" spans="4:16">
      <c r="D324" s="3"/>
      <c r="E324" s="3"/>
      <c r="F324" s="3"/>
      <c r="G324" s="2" t="str" cm="1">
        <f t="array" ref="G324">_xlfn.CONCAT(IFERROR(I324:K324,""))</f>
        <v>02000000FEFFFFFF</v>
      </c>
      <c r="I324" s="2" t="e">
        <f>_xlfn.LET(_xlpm.big,DEC2HEX(_xlfn.BITLSHIFT(M324-_xlfn.XLOOKUP(O324,Data!A:A,Data!F:F),4)+O324,8),_xlfn.CONCAT(MID(_xlpm.big,7,2),MID(_xlpm.big,5,2),MID(_xlpm.big,3,2),MID(_xlpm.big,1,2)))</f>
        <v>#NUM!</v>
      </c>
      <c r="J324" s="2" t="str">
        <f t="shared" si="20"/>
        <v>02000000</v>
      </c>
      <c r="K324" s="2" t="str">
        <f>_xlfn.LET(_xlpm.big,IF(H324,DEC2HEX(HEX2DEC(F324),8),DEC2HEX(N324-_xlfn.XLOOKUP(P324,Data!A:A,Data!F:F),8)),_xlfn.CONCAT(MID(_xlpm.big,7,2),MID(_xlpm.big,5,2),MID(_xlpm.big,3,2),MID(_xlpm.big,1,2)))</f>
        <v>FEFFFFFF</v>
      </c>
      <c r="L324" s="2">
        <f t="shared" si="21"/>
        <v>0</v>
      </c>
      <c r="M324" s="2">
        <f t="shared" si="22"/>
        <v>0</v>
      </c>
      <c r="N324" s="2">
        <f t="shared" si="23"/>
        <v>0</v>
      </c>
      <c r="O324" s="2" cm="1">
        <f t="array" ref="O324">_xlfn.IFS(M324&lt;Data!$F$3,0,M324&lt;Data!$F$4,1,TRUE,2)</f>
        <v>0</v>
      </c>
      <c r="P324" s="2" cm="1">
        <f t="array" ref="P324">_xlfn.IFS(H324,3,N324&lt;Data!$F$3,0,N324&lt;Data!$F$4,1,TRUE,2)</f>
        <v>0</v>
      </c>
    </row>
    <row r="325" spans="4:16">
      <c r="D325" s="3"/>
      <c r="E325" s="3"/>
      <c r="F325" s="3"/>
      <c r="G325" s="2" t="str" cm="1">
        <f t="array" ref="G325">_xlfn.CONCAT(IFERROR(I325:K325,""))</f>
        <v>02000000FEFFFFFF</v>
      </c>
      <c r="I325" s="2" t="e">
        <f>_xlfn.LET(_xlpm.big,DEC2HEX(_xlfn.BITLSHIFT(M325-_xlfn.XLOOKUP(O325,Data!A:A,Data!F:F),4)+O325,8),_xlfn.CONCAT(MID(_xlpm.big,7,2),MID(_xlpm.big,5,2),MID(_xlpm.big,3,2),MID(_xlpm.big,1,2)))</f>
        <v>#NUM!</v>
      </c>
      <c r="J325" s="2" t="str">
        <f t="shared" si="20"/>
        <v>02000000</v>
      </c>
      <c r="K325" s="2" t="str">
        <f>_xlfn.LET(_xlpm.big,IF(H325,DEC2HEX(HEX2DEC(F325),8),DEC2HEX(N325-_xlfn.XLOOKUP(P325,Data!A:A,Data!F:F),8)),_xlfn.CONCAT(MID(_xlpm.big,7,2),MID(_xlpm.big,5,2),MID(_xlpm.big,3,2),MID(_xlpm.big,1,2)))</f>
        <v>FEFFFFFF</v>
      </c>
      <c r="L325" s="2">
        <f t="shared" si="21"/>
        <v>0</v>
      </c>
      <c r="M325" s="2">
        <f t="shared" si="22"/>
        <v>0</v>
      </c>
      <c r="N325" s="2">
        <f t="shared" si="23"/>
        <v>0</v>
      </c>
      <c r="O325" s="2" cm="1">
        <f t="array" ref="O325">_xlfn.IFS(M325&lt;Data!$F$3,0,M325&lt;Data!$F$4,1,TRUE,2)</f>
        <v>0</v>
      </c>
      <c r="P325" s="2" cm="1">
        <f t="array" ref="P325">_xlfn.IFS(H325,3,N325&lt;Data!$F$3,0,N325&lt;Data!$F$4,1,TRUE,2)</f>
        <v>0</v>
      </c>
    </row>
    <row r="326" spans="4:16">
      <c r="D326" s="3"/>
      <c r="E326" s="3"/>
      <c r="F326" s="3"/>
      <c r="G326" s="2" t="str" cm="1">
        <f t="array" ref="G326">_xlfn.CONCAT(IFERROR(I326:K326,""))</f>
        <v>02000000FEFFFFFF</v>
      </c>
      <c r="I326" s="2" t="e">
        <f>_xlfn.LET(_xlpm.big,DEC2HEX(_xlfn.BITLSHIFT(M326-_xlfn.XLOOKUP(O326,Data!A:A,Data!F:F),4)+O326,8),_xlfn.CONCAT(MID(_xlpm.big,7,2),MID(_xlpm.big,5,2),MID(_xlpm.big,3,2),MID(_xlpm.big,1,2)))</f>
        <v>#NUM!</v>
      </c>
      <c r="J326" s="2" t="str">
        <f t="shared" si="20"/>
        <v>02000000</v>
      </c>
      <c r="K326" s="2" t="str">
        <f>_xlfn.LET(_xlpm.big,IF(H326,DEC2HEX(HEX2DEC(F326),8),DEC2HEX(N326-_xlfn.XLOOKUP(P326,Data!A:A,Data!F:F),8)),_xlfn.CONCAT(MID(_xlpm.big,7,2),MID(_xlpm.big,5,2),MID(_xlpm.big,3,2),MID(_xlpm.big,1,2)))</f>
        <v>FEFFFFFF</v>
      </c>
      <c r="L326" s="2">
        <f t="shared" si="21"/>
        <v>0</v>
      </c>
      <c r="M326" s="2">
        <f t="shared" si="22"/>
        <v>0</v>
      </c>
      <c r="N326" s="2">
        <f t="shared" si="23"/>
        <v>0</v>
      </c>
      <c r="O326" s="2" cm="1">
        <f t="array" ref="O326">_xlfn.IFS(M326&lt;Data!$F$3,0,M326&lt;Data!$F$4,1,TRUE,2)</f>
        <v>0</v>
      </c>
      <c r="P326" s="2" cm="1">
        <f t="array" ref="P326">_xlfn.IFS(H326,3,N326&lt;Data!$F$3,0,N326&lt;Data!$F$4,1,TRUE,2)</f>
        <v>0</v>
      </c>
    </row>
    <row r="327" spans="4:16">
      <c r="D327" s="3"/>
      <c r="E327" s="3"/>
      <c r="F327" s="3"/>
      <c r="G327" s="2" t="str" cm="1">
        <f t="array" ref="G327">_xlfn.CONCAT(IFERROR(I327:K327,""))</f>
        <v>02000000FEFFFFFF</v>
      </c>
      <c r="I327" s="2" t="e">
        <f>_xlfn.LET(_xlpm.big,DEC2HEX(_xlfn.BITLSHIFT(M327-_xlfn.XLOOKUP(O327,Data!A:A,Data!F:F),4)+O327,8),_xlfn.CONCAT(MID(_xlpm.big,7,2),MID(_xlpm.big,5,2),MID(_xlpm.big,3,2),MID(_xlpm.big,1,2)))</f>
        <v>#NUM!</v>
      </c>
      <c r="J327" s="2" t="str">
        <f t="shared" si="20"/>
        <v>02000000</v>
      </c>
      <c r="K327" s="2" t="str">
        <f>_xlfn.LET(_xlpm.big,IF(H327,DEC2HEX(HEX2DEC(F327),8),DEC2HEX(N327-_xlfn.XLOOKUP(P327,Data!A:A,Data!F:F),8)),_xlfn.CONCAT(MID(_xlpm.big,7,2),MID(_xlpm.big,5,2),MID(_xlpm.big,3,2),MID(_xlpm.big,1,2)))</f>
        <v>FEFFFFFF</v>
      </c>
      <c r="L327" s="2">
        <f t="shared" si="21"/>
        <v>0</v>
      </c>
      <c r="M327" s="2">
        <f t="shared" si="22"/>
        <v>0</v>
      </c>
      <c r="N327" s="2">
        <f t="shared" si="23"/>
        <v>0</v>
      </c>
      <c r="O327" s="2" cm="1">
        <f t="array" ref="O327">_xlfn.IFS(M327&lt;Data!$F$3,0,M327&lt;Data!$F$4,1,TRUE,2)</f>
        <v>0</v>
      </c>
      <c r="P327" s="2" cm="1">
        <f t="array" ref="P327">_xlfn.IFS(H327,3,N327&lt;Data!$F$3,0,N327&lt;Data!$F$4,1,TRUE,2)</f>
        <v>0</v>
      </c>
    </row>
    <row r="328" spans="4:16">
      <c r="D328" s="3"/>
      <c r="E328" s="3"/>
      <c r="F328" s="3"/>
      <c r="G328" s="2" t="str" cm="1">
        <f t="array" ref="G328">_xlfn.CONCAT(IFERROR(I328:K328,""))</f>
        <v>02000000FEFFFFFF</v>
      </c>
      <c r="I328" s="2" t="e">
        <f>_xlfn.LET(_xlpm.big,DEC2HEX(_xlfn.BITLSHIFT(M328-_xlfn.XLOOKUP(O328,Data!A:A,Data!F:F),4)+O328,8),_xlfn.CONCAT(MID(_xlpm.big,7,2),MID(_xlpm.big,5,2),MID(_xlpm.big,3,2),MID(_xlpm.big,1,2)))</f>
        <v>#NUM!</v>
      </c>
      <c r="J328" s="2" t="str">
        <f t="shared" si="20"/>
        <v>02000000</v>
      </c>
      <c r="K328" s="2" t="str">
        <f>_xlfn.LET(_xlpm.big,IF(H328,DEC2HEX(HEX2DEC(F328),8),DEC2HEX(N328-_xlfn.XLOOKUP(P328,Data!A:A,Data!F:F),8)),_xlfn.CONCAT(MID(_xlpm.big,7,2),MID(_xlpm.big,5,2),MID(_xlpm.big,3,2),MID(_xlpm.big,1,2)))</f>
        <v>FEFFFFFF</v>
      </c>
      <c r="L328" s="2">
        <f t="shared" si="21"/>
        <v>0</v>
      </c>
      <c r="M328" s="2">
        <f t="shared" si="22"/>
        <v>0</v>
      </c>
      <c r="N328" s="2">
        <f t="shared" si="23"/>
        <v>0</v>
      </c>
      <c r="O328" s="2" cm="1">
        <f t="array" ref="O328">_xlfn.IFS(M328&lt;Data!$F$3,0,M328&lt;Data!$F$4,1,TRUE,2)</f>
        <v>0</v>
      </c>
      <c r="P328" s="2" cm="1">
        <f t="array" ref="P328">_xlfn.IFS(H328,3,N328&lt;Data!$F$3,0,N328&lt;Data!$F$4,1,TRUE,2)</f>
        <v>0</v>
      </c>
    </row>
    <row r="329" spans="4:16">
      <c r="D329" s="3"/>
      <c r="E329" s="3"/>
      <c r="F329" s="3"/>
      <c r="G329" s="2" t="str" cm="1">
        <f t="array" ref="G329">_xlfn.CONCAT(IFERROR(I329:K329,""))</f>
        <v>02000000FEFFFFFF</v>
      </c>
      <c r="I329" s="2" t="e">
        <f>_xlfn.LET(_xlpm.big,DEC2HEX(_xlfn.BITLSHIFT(M329-_xlfn.XLOOKUP(O329,Data!A:A,Data!F:F),4)+O329,8),_xlfn.CONCAT(MID(_xlpm.big,7,2),MID(_xlpm.big,5,2),MID(_xlpm.big,3,2),MID(_xlpm.big,1,2)))</f>
        <v>#NUM!</v>
      </c>
      <c r="J329" s="2" t="str">
        <f t="shared" si="20"/>
        <v>02000000</v>
      </c>
      <c r="K329" s="2" t="str">
        <f>_xlfn.LET(_xlpm.big,IF(H329,DEC2HEX(HEX2DEC(F329),8),DEC2HEX(N329-_xlfn.XLOOKUP(P329,Data!A:A,Data!F:F),8)),_xlfn.CONCAT(MID(_xlpm.big,7,2),MID(_xlpm.big,5,2),MID(_xlpm.big,3,2),MID(_xlpm.big,1,2)))</f>
        <v>FEFFFFFF</v>
      </c>
      <c r="L329" s="2">
        <f t="shared" si="21"/>
        <v>0</v>
      </c>
      <c r="M329" s="2">
        <f t="shared" si="22"/>
        <v>0</v>
      </c>
      <c r="N329" s="2">
        <f t="shared" si="23"/>
        <v>0</v>
      </c>
      <c r="O329" s="2" cm="1">
        <f t="array" ref="O329">_xlfn.IFS(M329&lt;Data!$F$3,0,M329&lt;Data!$F$4,1,TRUE,2)</f>
        <v>0</v>
      </c>
      <c r="P329" s="2" cm="1">
        <f t="array" ref="P329">_xlfn.IFS(H329,3,N329&lt;Data!$F$3,0,N329&lt;Data!$F$4,1,TRUE,2)</f>
        <v>0</v>
      </c>
    </row>
    <row r="330" spans="4:16">
      <c r="D330" s="3"/>
      <c r="E330" s="3"/>
      <c r="F330" s="3"/>
      <c r="G330" s="2" t="str" cm="1">
        <f t="array" ref="G330">_xlfn.CONCAT(IFERROR(I330:K330,""))</f>
        <v>02000000FEFFFFFF</v>
      </c>
      <c r="I330" s="2" t="e">
        <f>_xlfn.LET(_xlpm.big,DEC2HEX(_xlfn.BITLSHIFT(M330-_xlfn.XLOOKUP(O330,Data!A:A,Data!F:F),4)+O330,8),_xlfn.CONCAT(MID(_xlpm.big,7,2),MID(_xlpm.big,5,2),MID(_xlpm.big,3,2),MID(_xlpm.big,1,2)))</f>
        <v>#NUM!</v>
      </c>
      <c r="J330" s="2" t="str">
        <f t="shared" si="20"/>
        <v>02000000</v>
      </c>
      <c r="K330" s="2" t="str">
        <f>_xlfn.LET(_xlpm.big,IF(H330,DEC2HEX(HEX2DEC(F330),8),DEC2HEX(N330-_xlfn.XLOOKUP(P330,Data!A:A,Data!F:F),8)),_xlfn.CONCAT(MID(_xlpm.big,7,2),MID(_xlpm.big,5,2),MID(_xlpm.big,3,2),MID(_xlpm.big,1,2)))</f>
        <v>FEFFFFFF</v>
      </c>
      <c r="L330" s="2">
        <f t="shared" si="21"/>
        <v>0</v>
      </c>
      <c r="M330" s="2">
        <f t="shared" si="22"/>
        <v>0</v>
      </c>
      <c r="N330" s="2">
        <f t="shared" si="23"/>
        <v>0</v>
      </c>
      <c r="O330" s="2" cm="1">
        <f t="array" ref="O330">_xlfn.IFS(M330&lt;Data!$F$3,0,M330&lt;Data!$F$4,1,TRUE,2)</f>
        <v>0</v>
      </c>
      <c r="P330" s="2" cm="1">
        <f t="array" ref="P330">_xlfn.IFS(H330,3,N330&lt;Data!$F$3,0,N330&lt;Data!$F$4,1,TRUE,2)</f>
        <v>0</v>
      </c>
    </row>
    <row r="331" spans="4:16">
      <c r="D331" s="3"/>
      <c r="E331" s="3"/>
      <c r="F331" s="3"/>
      <c r="G331" s="2" t="str" cm="1">
        <f t="array" ref="G331">_xlfn.CONCAT(IFERROR(I331:K331,""))</f>
        <v>02000000FEFFFFFF</v>
      </c>
      <c r="I331" s="2" t="e">
        <f>_xlfn.LET(_xlpm.big,DEC2HEX(_xlfn.BITLSHIFT(M331-_xlfn.XLOOKUP(O331,Data!A:A,Data!F:F),4)+O331,8),_xlfn.CONCAT(MID(_xlpm.big,7,2),MID(_xlpm.big,5,2),MID(_xlpm.big,3,2),MID(_xlpm.big,1,2)))</f>
        <v>#NUM!</v>
      </c>
      <c r="J331" s="2" t="str">
        <f t="shared" si="20"/>
        <v>02000000</v>
      </c>
      <c r="K331" s="2" t="str">
        <f>_xlfn.LET(_xlpm.big,IF(H331,DEC2HEX(HEX2DEC(F331),8),DEC2HEX(N331-_xlfn.XLOOKUP(P331,Data!A:A,Data!F:F),8)),_xlfn.CONCAT(MID(_xlpm.big,7,2),MID(_xlpm.big,5,2),MID(_xlpm.big,3,2),MID(_xlpm.big,1,2)))</f>
        <v>FEFFFFFF</v>
      </c>
      <c r="L331" s="2">
        <f t="shared" si="21"/>
        <v>0</v>
      </c>
      <c r="M331" s="2">
        <f t="shared" si="22"/>
        <v>0</v>
      </c>
      <c r="N331" s="2">
        <f t="shared" si="23"/>
        <v>0</v>
      </c>
      <c r="O331" s="2" cm="1">
        <f t="array" ref="O331">_xlfn.IFS(M331&lt;Data!$F$3,0,M331&lt;Data!$F$4,1,TRUE,2)</f>
        <v>0</v>
      </c>
      <c r="P331" s="2" cm="1">
        <f t="array" ref="P331">_xlfn.IFS(H331,3,N331&lt;Data!$F$3,0,N331&lt;Data!$F$4,1,TRUE,2)</f>
        <v>0</v>
      </c>
    </row>
    <row r="332" spans="4:16">
      <c r="D332" s="3"/>
      <c r="E332" s="3"/>
      <c r="F332" s="3"/>
      <c r="G332" s="2" t="str" cm="1">
        <f t="array" ref="G332">_xlfn.CONCAT(IFERROR(I332:K332,""))</f>
        <v>02000000FEFFFFFF</v>
      </c>
      <c r="I332" s="2" t="e">
        <f>_xlfn.LET(_xlpm.big,DEC2HEX(_xlfn.BITLSHIFT(M332-_xlfn.XLOOKUP(O332,Data!A:A,Data!F:F),4)+O332,8),_xlfn.CONCAT(MID(_xlpm.big,7,2),MID(_xlpm.big,5,2),MID(_xlpm.big,3,2),MID(_xlpm.big,1,2)))</f>
        <v>#NUM!</v>
      </c>
      <c r="J332" s="2" t="str">
        <f t="shared" si="20"/>
        <v>02000000</v>
      </c>
      <c r="K332" s="2" t="str">
        <f>_xlfn.LET(_xlpm.big,IF(H332,DEC2HEX(HEX2DEC(F332),8),DEC2HEX(N332-_xlfn.XLOOKUP(P332,Data!A:A,Data!F:F),8)),_xlfn.CONCAT(MID(_xlpm.big,7,2),MID(_xlpm.big,5,2),MID(_xlpm.big,3,2),MID(_xlpm.big,1,2)))</f>
        <v>FEFFFFFF</v>
      </c>
      <c r="L332" s="2">
        <f t="shared" si="21"/>
        <v>0</v>
      </c>
      <c r="M332" s="2">
        <f t="shared" si="22"/>
        <v>0</v>
      </c>
      <c r="N332" s="2">
        <f t="shared" si="23"/>
        <v>0</v>
      </c>
      <c r="O332" s="2" cm="1">
        <f t="array" ref="O332">_xlfn.IFS(M332&lt;Data!$F$3,0,M332&lt;Data!$F$4,1,TRUE,2)</f>
        <v>0</v>
      </c>
      <c r="P332" s="2" cm="1">
        <f t="array" ref="P332">_xlfn.IFS(H332,3,N332&lt;Data!$F$3,0,N332&lt;Data!$F$4,1,TRUE,2)</f>
        <v>0</v>
      </c>
    </row>
    <row r="333" spans="4:16">
      <c r="D333" s="3"/>
      <c r="E333" s="3"/>
      <c r="F333" s="3"/>
      <c r="G333" s="2" t="str" cm="1">
        <f t="array" ref="G333">_xlfn.CONCAT(IFERROR(I333:K333,""))</f>
        <v>02000000FEFFFFFF</v>
      </c>
      <c r="I333" s="2" t="e">
        <f>_xlfn.LET(_xlpm.big,DEC2HEX(_xlfn.BITLSHIFT(M333-_xlfn.XLOOKUP(O333,Data!A:A,Data!F:F),4)+O333,8),_xlfn.CONCAT(MID(_xlpm.big,7,2),MID(_xlpm.big,5,2),MID(_xlpm.big,3,2),MID(_xlpm.big,1,2)))</f>
        <v>#NUM!</v>
      </c>
      <c r="J333" s="2" t="str">
        <f t="shared" si="20"/>
        <v>02000000</v>
      </c>
      <c r="K333" s="2" t="str">
        <f>_xlfn.LET(_xlpm.big,IF(H333,DEC2HEX(HEX2DEC(F333),8),DEC2HEX(N333-_xlfn.XLOOKUP(P333,Data!A:A,Data!F:F),8)),_xlfn.CONCAT(MID(_xlpm.big,7,2),MID(_xlpm.big,5,2),MID(_xlpm.big,3,2),MID(_xlpm.big,1,2)))</f>
        <v>FEFFFFFF</v>
      </c>
      <c r="L333" s="2">
        <f t="shared" si="21"/>
        <v>0</v>
      </c>
      <c r="M333" s="2">
        <f t="shared" si="22"/>
        <v>0</v>
      </c>
      <c r="N333" s="2">
        <f t="shared" si="23"/>
        <v>0</v>
      </c>
      <c r="O333" s="2" cm="1">
        <f t="array" ref="O333">_xlfn.IFS(M333&lt;Data!$F$3,0,M333&lt;Data!$F$4,1,TRUE,2)</f>
        <v>0</v>
      </c>
      <c r="P333" s="2" cm="1">
        <f t="array" ref="P333">_xlfn.IFS(H333,3,N333&lt;Data!$F$3,0,N333&lt;Data!$F$4,1,TRUE,2)</f>
        <v>0</v>
      </c>
    </row>
    <row r="334" spans="4:16">
      <c r="D334" s="3"/>
      <c r="E334" s="3"/>
      <c r="F334" s="3"/>
      <c r="G334" s="2" t="str" cm="1">
        <f t="array" ref="G334">_xlfn.CONCAT(IFERROR(I334:K334,""))</f>
        <v>0203000000000000</v>
      </c>
      <c r="H334" s="2" t="b">
        <v>1</v>
      </c>
      <c r="I334" s="2" t="e">
        <f>_xlfn.LET(_xlpm.big,DEC2HEX(_xlfn.BITLSHIFT(M334-_xlfn.XLOOKUP(O334,Data!A:A,Data!F:F),4)+O334,8),_xlfn.CONCAT(MID(_xlpm.big,7,2),MID(_xlpm.big,5,2),MID(_xlpm.big,3,2),MID(_xlpm.big,1,2)))</f>
        <v>#NUM!</v>
      </c>
      <c r="J334" s="2" t="str">
        <f t="shared" si="20"/>
        <v>02030000</v>
      </c>
      <c r="K334" s="2" t="str">
        <f>_xlfn.LET(_xlpm.big,IF(H334,DEC2HEX(HEX2DEC(F334),8),DEC2HEX(N334-_xlfn.XLOOKUP(P334,Data!A:A,Data!F:F),8)),_xlfn.CONCAT(MID(_xlpm.big,7,2),MID(_xlpm.big,5,2),MID(_xlpm.big,3,2),MID(_xlpm.big,1,2)))</f>
        <v>00000000</v>
      </c>
      <c r="L334" s="2">
        <f t="shared" si="21"/>
        <v>0</v>
      </c>
      <c r="M334" s="2">
        <f t="shared" si="22"/>
        <v>0</v>
      </c>
      <c r="N334" s="2">
        <f t="shared" si="23"/>
        <v>0</v>
      </c>
      <c r="O334" s="2" cm="1">
        <f t="array" ref="O334">_xlfn.IFS(M334&lt;Data!$F$3,0,M334&lt;Data!$F$4,1,TRUE,2)</f>
        <v>0</v>
      </c>
      <c r="P334" s="2" cm="1">
        <f t="array" ref="P334">_xlfn.IFS(H334,3,N334&lt;Data!$F$3,0,N334&lt;Data!$F$4,1,TRUE,2)</f>
        <v>3</v>
      </c>
    </row>
    <row r="335" spans="4:16">
      <c r="D335" s="3"/>
      <c r="E335" s="3"/>
      <c r="F335" s="3"/>
      <c r="G335" s="2" t="str" cm="1">
        <f t="array" ref="G335">_xlfn.CONCAT(IFERROR(I335:K335,""))</f>
        <v>02000000FEFFFFFF</v>
      </c>
      <c r="I335" s="2" t="e">
        <f>_xlfn.LET(_xlpm.big,DEC2HEX(_xlfn.BITLSHIFT(M335-_xlfn.XLOOKUP(O335,Data!A:A,Data!F:F),4)+O335,8),_xlfn.CONCAT(MID(_xlpm.big,7,2),MID(_xlpm.big,5,2),MID(_xlpm.big,3,2),MID(_xlpm.big,1,2)))</f>
        <v>#NUM!</v>
      </c>
      <c r="J335" s="2" t="str">
        <f t="shared" si="20"/>
        <v>02000000</v>
      </c>
      <c r="K335" s="2" t="str">
        <f>_xlfn.LET(_xlpm.big,IF(H335,DEC2HEX(HEX2DEC(F335),8),DEC2HEX(N335-_xlfn.XLOOKUP(P335,Data!A:A,Data!F:F),8)),_xlfn.CONCAT(MID(_xlpm.big,7,2),MID(_xlpm.big,5,2),MID(_xlpm.big,3,2),MID(_xlpm.big,1,2)))</f>
        <v>FEFFFFFF</v>
      </c>
      <c r="L335" s="2">
        <f t="shared" si="21"/>
        <v>0</v>
      </c>
      <c r="M335" s="2">
        <f t="shared" si="22"/>
        <v>0</v>
      </c>
      <c r="N335" s="2">
        <f t="shared" si="23"/>
        <v>0</v>
      </c>
      <c r="O335" s="2" cm="1">
        <f t="array" ref="O335">_xlfn.IFS(M335&lt;Data!$F$3,0,M335&lt;Data!$F$4,1,TRUE,2)</f>
        <v>0</v>
      </c>
      <c r="P335" s="2" cm="1">
        <f t="array" ref="P335">_xlfn.IFS(H335,3,N335&lt;Data!$F$3,0,N335&lt;Data!$F$4,1,TRUE,2)</f>
        <v>0</v>
      </c>
    </row>
    <row r="336" spans="4:16">
      <c r="D336" s="3"/>
      <c r="E336" s="3"/>
      <c r="F336" s="3"/>
      <c r="G336" s="2" t="str" cm="1">
        <f t="array" ref="G336">_xlfn.CONCAT(IFERROR(I336:K336,""))</f>
        <v>02000000FEFFFFFF</v>
      </c>
      <c r="I336" s="2" t="e">
        <f>_xlfn.LET(_xlpm.big,DEC2HEX(_xlfn.BITLSHIFT(M336-_xlfn.XLOOKUP(O336,Data!A:A,Data!F:F),4)+O336,8),_xlfn.CONCAT(MID(_xlpm.big,7,2),MID(_xlpm.big,5,2),MID(_xlpm.big,3,2),MID(_xlpm.big,1,2)))</f>
        <v>#NUM!</v>
      </c>
      <c r="J336" s="2" t="str">
        <f t="shared" si="20"/>
        <v>02000000</v>
      </c>
      <c r="K336" s="2" t="str">
        <f>_xlfn.LET(_xlpm.big,IF(H336,DEC2HEX(HEX2DEC(F336),8),DEC2HEX(N336-_xlfn.XLOOKUP(P336,Data!A:A,Data!F:F),8)),_xlfn.CONCAT(MID(_xlpm.big,7,2),MID(_xlpm.big,5,2),MID(_xlpm.big,3,2),MID(_xlpm.big,1,2)))</f>
        <v>FEFFFFFF</v>
      </c>
      <c r="L336" s="2">
        <f t="shared" si="21"/>
        <v>0</v>
      </c>
      <c r="M336" s="2">
        <f t="shared" si="22"/>
        <v>0</v>
      </c>
      <c r="N336" s="2">
        <f t="shared" si="23"/>
        <v>0</v>
      </c>
      <c r="O336" s="2" cm="1">
        <f t="array" ref="O336">_xlfn.IFS(M336&lt;Data!$F$3,0,M336&lt;Data!$F$4,1,TRUE,2)</f>
        <v>0</v>
      </c>
      <c r="P336" s="2" cm="1">
        <f t="array" ref="P336">_xlfn.IFS(H336,3,N336&lt;Data!$F$3,0,N336&lt;Data!$F$4,1,TRUE,2)</f>
        <v>0</v>
      </c>
    </row>
    <row r="337" spans="4:16">
      <c r="D337" s="3"/>
      <c r="E337" s="3"/>
      <c r="F337" s="3"/>
      <c r="G337" s="2" t="str" cm="1">
        <f t="array" ref="G337">_xlfn.CONCAT(IFERROR(I337:K337,""))</f>
        <v>02000000FEFFFFFF</v>
      </c>
      <c r="I337" s="2" t="e">
        <f>_xlfn.LET(_xlpm.big,DEC2HEX(_xlfn.BITLSHIFT(M337-_xlfn.XLOOKUP(O337,Data!A:A,Data!F:F),4)+O337,8),_xlfn.CONCAT(MID(_xlpm.big,7,2),MID(_xlpm.big,5,2),MID(_xlpm.big,3,2),MID(_xlpm.big,1,2)))</f>
        <v>#NUM!</v>
      </c>
      <c r="J337" s="2" t="str">
        <f t="shared" si="20"/>
        <v>02000000</v>
      </c>
      <c r="K337" s="2" t="str">
        <f>_xlfn.LET(_xlpm.big,IF(H337,DEC2HEX(HEX2DEC(F337),8),DEC2HEX(N337-_xlfn.XLOOKUP(P337,Data!A:A,Data!F:F),8)),_xlfn.CONCAT(MID(_xlpm.big,7,2),MID(_xlpm.big,5,2),MID(_xlpm.big,3,2),MID(_xlpm.big,1,2)))</f>
        <v>FEFFFFFF</v>
      </c>
      <c r="L337" s="2">
        <f t="shared" si="21"/>
        <v>0</v>
      </c>
      <c r="M337" s="2">
        <f t="shared" si="22"/>
        <v>0</v>
      </c>
      <c r="N337" s="2">
        <f t="shared" si="23"/>
        <v>0</v>
      </c>
      <c r="O337" s="2" cm="1">
        <f t="array" ref="O337">_xlfn.IFS(M337&lt;Data!$F$3,0,M337&lt;Data!$F$4,1,TRUE,2)</f>
        <v>0</v>
      </c>
      <c r="P337" s="2" cm="1">
        <f t="array" ref="P337">_xlfn.IFS(H337,3,N337&lt;Data!$F$3,0,N337&lt;Data!$F$4,1,TRUE,2)</f>
        <v>0</v>
      </c>
    </row>
    <row r="338" spans="4:16">
      <c r="D338" s="3"/>
      <c r="E338" s="3"/>
      <c r="F338" s="3"/>
      <c r="G338" s="2" t="str" cm="1">
        <f t="array" ref="G338">_xlfn.CONCAT(IFERROR(I338:K338,""))</f>
        <v>02000000FEFFFFFF</v>
      </c>
      <c r="I338" s="2" t="e">
        <f>_xlfn.LET(_xlpm.big,DEC2HEX(_xlfn.BITLSHIFT(M338-_xlfn.XLOOKUP(O338,Data!A:A,Data!F:F),4)+O338,8),_xlfn.CONCAT(MID(_xlpm.big,7,2),MID(_xlpm.big,5,2),MID(_xlpm.big,3,2),MID(_xlpm.big,1,2)))</f>
        <v>#NUM!</v>
      </c>
      <c r="J338" s="2" t="str">
        <f t="shared" si="20"/>
        <v>02000000</v>
      </c>
      <c r="K338" s="2" t="str">
        <f>_xlfn.LET(_xlpm.big,IF(H338,DEC2HEX(HEX2DEC(F338),8),DEC2HEX(N338-_xlfn.XLOOKUP(P338,Data!A:A,Data!F:F),8)),_xlfn.CONCAT(MID(_xlpm.big,7,2),MID(_xlpm.big,5,2),MID(_xlpm.big,3,2),MID(_xlpm.big,1,2)))</f>
        <v>FEFFFFFF</v>
      </c>
      <c r="L338" s="2">
        <f t="shared" si="21"/>
        <v>0</v>
      </c>
      <c r="M338" s="2">
        <f t="shared" si="22"/>
        <v>0</v>
      </c>
      <c r="N338" s="2">
        <f t="shared" si="23"/>
        <v>0</v>
      </c>
      <c r="O338" s="2" cm="1">
        <f t="array" ref="O338">_xlfn.IFS(M338&lt;Data!$F$3,0,M338&lt;Data!$F$4,1,TRUE,2)</f>
        <v>0</v>
      </c>
      <c r="P338" s="2" cm="1">
        <f t="array" ref="P338">_xlfn.IFS(H338,3,N338&lt;Data!$F$3,0,N338&lt;Data!$F$4,1,TRUE,2)</f>
        <v>0</v>
      </c>
    </row>
    <row r="339" spans="4:16">
      <c r="D339" s="3"/>
      <c r="E339" s="3"/>
      <c r="F339" s="3"/>
      <c r="G339" s="2" t="str" cm="1">
        <f t="array" ref="G339">_xlfn.CONCAT(IFERROR(I339:K339,""))</f>
        <v>02000000FEFFFFFF</v>
      </c>
      <c r="I339" s="2" t="e">
        <f>_xlfn.LET(_xlpm.big,DEC2HEX(_xlfn.BITLSHIFT(M339-_xlfn.XLOOKUP(O339,Data!A:A,Data!F:F),4)+O339,8),_xlfn.CONCAT(MID(_xlpm.big,7,2),MID(_xlpm.big,5,2),MID(_xlpm.big,3,2),MID(_xlpm.big,1,2)))</f>
        <v>#NUM!</v>
      </c>
      <c r="J339" s="2" t="str">
        <f t="shared" si="20"/>
        <v>02000000</v>
      </c>
      <c r="K339" s="2" t="str">
        <f>_xlfn.LET(_xlpm.big,IF(H339,DEC2HEX(HEX2DEC(F339),8),DEC2HEX(N339-_xlfn.XLOOKUP(P339,Data!A:A,Data!F:F),8)),_xlfn.CONCAT(MID(_xlpm.big,7,2),MID(_xlpm.big,5,2),MID(_xlpm.big,3,2),MID(_xlpm.big,1,2)))</f>
        <v>FEFFFFFF</v>
      </c>
      <c r="L339" s="2">
        <f t="shared" si="21"/>
        <v>0</v>
      </c>
      <c r="M339" s="2">
        <f t="shared" si="22"/>
        <v>0</v>
      </c>
      <c r="N339" s="2">
        <f t="shared" si="23"/>
        <v>0</v>
      </c>
      <c r="O339" s="2" cm="1">
        <f t="array" ref="O339">_xlfn.IFS(M339&lt;Data!$F$3,0,M339&lt;Data!$F$4,1,TRUE,2)</f>
        <v>0</v>
      </c>
      <c r="P339" s="2" cm="1">
        <f t="array" ref="P339">_xlfn.IFS(H339,3,N339&lt;Data!$F$3,0,N339&lt;Data!$F$4,1,TRUE,2)</f>
        <v>0</v>
      </c>
    </row>
    <row r="340" spans="4:16">
      <c r="D340" s="3"/>
      <c r="E340" s="3"/>
      <c r="F340" s="3"/>
      <c r="G340" s="2" t="str" cm="1">
        <f t="array" ref="G340">_xlfn.CONCAT(IFERROR(I340:K340,""))</f>
        <v>02000000FEFFFFFF</v>
      </c>
      <c r="I340" s="2" t="e">
        <f>_xlfn.LET(_xlpm.big,DEC2HEX(_xlfn.BITLSHIFT(M340-_xlfn.XLOOKUP(O340,Data!A:A,Data!F:F),4)+O340,8),_xlfn.CONCAT(MID(_xlpm.big,7,2),MID(_xlpm.big,5,2),MID(_xlpm.big,3,2),MID(_xlpm.big,1,2)))</f>
        <v>#NUM!</v>
      </c>
      <c r="J340" s="2" t="str">
        <f t="shared" si="20"/>
        <v>02000000</v>
      </c>
      <c r="K340" s="2" t="str">
        <f>_xlfn.LET(_xlpm.big,IF(H340,DEC2HEX(HEX2DEC(F340),8),DEC2HEX(N340-_xlfn.XLOOKUP(P340,Data!A:A,Data!F:F),8)),_xlfn.CONCAT(MID(_xlpm.big,7,2),MID(_xlpm.big,5,2),MID(_xlpm.big,3,2),MID(_xlpm.big,1,2)))</f>
        <v>FEFFFFFF</v>
      </c>
      <c r="L340" s="2">
        <f t="shared" si="21"/>
        <v>0</v>
      </c>
      <c r="M340" s="2">
        <f t="shared" si="22"/>
        <v>0</v>
      </c>
      <c r="N340" s="2">
        <f t="shared" si="23"/>
        <v>0</v>
      </c>
      <c r="O340" s="2" cm="1">
        <f t="array" ref="O340">_xlfn.IFS(M340&lt;Data!$F$3,0,M340&lt;Data!$F$4,1,TRUE,2)</f>
        <v>0</v>
      </c>
      <c r="P340" s="2" cm="1">
        <f t="array" ref="P340">_xlfn.IFS(H340,3,N340&lt;Data!$F$3,0,N340&lt;Data!$F$4,1,TRUE,2)</f>
        <v>0</v>
      </c>
    </row>
    <row r="341" spans="4:16">
      <c r="D341" s="3"/>
      <c r="E341" s="3"/>
      <c r="F341" s="3"/>
      <c r="G341" s="2" t="str" cm="1">
        <f t="array" ref="G341">_xlfn.CONCAT(IFERROR(I341:K341,""))</f>
        <v>02000000FEFFFFFF</v>
      </c>
      <c r="I341" s="2" t="e">
        <f>_xlfn.LET(_xlpm.big,DEC2HEX(_xlfn.BITLSHIFT(M341-_xlfn.XLOOKUP(O341,Data!A:A,Data!F:F),4)+O341,8),_xlfn.CONCAT(MID(_xlpm.big,7,2),MID(_xlpm.big,5,2),MID(_xlpm.big,3,2),MID(_xlpm.big,1,2)))</f>
        <v>#NUM!</v>
      </c>
      <c r="J341" s="2" t="str">
        <f t="shared" si="20"/>
        <v>02000000</v>
      </c>
      <c r="K341" s="2" t="str">
        <f>_xlfn.LET(_xlpm.big,IF(H341,DEC2HEX(HEX2DEC(F341),8),DEC2HEX(N341-_xlfn.XLOOKUP(P341,Data!A:A,Data!F:F),8)),_xlfn.CONCAT(MID(_xlpm.big,7,2),MID(_xlpm.big,5,2),MID(_xlpm.big,3,2),MID(_xlpm.big,1,2)))</f>
        <v>FEFFFFFF</v>
      </c>
      <c r="L341" s="2">
        <f t="shared" si="21"/>
        <v>0</v>
      </c>
      <c r="M341" s="2">
        <f t="shared" si="22"/>
        <v>0</v>
      </c>
      <c r="N341" s="2">
        <f t="shared" si="23"/>
        <v>0</v>
      </c>
      <c r="O341" s="2" cm="1">
        <f t="array" ref="O341">_xlfn.IFS(M341&lt;Data!$F$3,0,M341&lt;Data!$F$4,1,TRUE,2)</f>
        <v>0</v>
      </c>
      <c r="P341" s="2" cm="1">
        <f t="array" ref="P341">_xlfn.IFS(H341,3,N341&lt;Data!$F$3,0,N341&lt;Data!$F$4,1,TRUE,2)</f>
        <v>0</v>
      </c>
    </row>
    <row r="342" spans="4:16">
      <c r="D342" s="3"/>
      <c r="E342" s="3"/>
      <c r="F342" s="3"/>
      <c r="G342" s="2" t="str" cm="1">
        <f t="array" ref="G342">_xlfn.CONCAT(IFERROR(I342:K342,""))</f>
        <v>02000000FEFFFFFF</v>
      </c>
      <c r="I342" s="2" t="e">
        <f>_xlfn.LET(_xlpm.big,DEC2HEX(_xlfn.BITLSHIFT(M342-_xlfn.XLOOKUP(O342,Data!A:A,Data!F:F),4)+O342,8),_xlfn.CONCAT(MID(_xlpm.big,7,2),MID(_xlpm.big,5,2),MID(_xlpm.big,3,2),MID(_xlpm.big,1,2)))</f>
        <v>#NUM!</v>
      </c>
      <c r="J342" s="2" t="str">
        <f t="shared" si="20"/>
        <v>02000000</v>
      </c>
      <c r="K342" s="2" t="str">
        <f>_xlfn.LET(_xlpm.big,IF(H342,DEC2HEX(HEX2DEC(F342),8),DEC2HEX(N342-_xlfn.XLOOKUP(P342,Data!A:A,Data!F:F),8)),_xlfn.CONCAT(MID(_xlpm.big,7,2),MID(_xlpm.big,5,2),MID(_xlpm.big,3,2),MID(_xlpm.big,1,2)))</f>
        <v>FEFFFFFF</v>
      </c>
      <c r="L342" s="2">
        <f t="shared" si="21"/>
        <v>0</v>
      </c>
      <c r="M342" s="2">
        <f t="shared" si="22"/>
        <v>0</v>
      </c>
      <c r="N342" s="2">
        <f t="shared" si="23"/>
        <v>0</v>
      </c>
      <c r="O342" s="2" cm="1">
        <f t="array" ref="O342">_xlfn.IFS(M342&lt;Data!$F$3,0,M342&lt;Data!$F$4,1,TRUE,2)</f>
        <v>0</v>
      </c>
      <c r="P342" s="2" cm="1">
        <f t="array" ref="P342">_xlfn.IFS(H342,3,N342&lt;Data!$F$3,0,N342&lt;Data!$F$4,1,TRUE,2)</f>
        <v>0</v>
      </c>
    </row>
    <row r="343" spans="4:16">
      <c r="D343" s="3"/>
      <c r="E343" s="3"/>
      <c r="F343" s="3"/>
      <c r="G343" s="2" t="str" cm="1">
        <f t="array" ref="G343">_xlfn.CONCAT(IFERROR(I343:K343,""))</f>
        <v>02000000FEFFFFFF</v>
      </c>
      <c r="I343" s="2" t="e">
        <f>_xlfn.LET(_xlpm.big,DEC2HEX(_xlfn.BITLSHIFT(M343-_xlfn.XLOOKUP(O343,Data!A:A,Data!F:F),4)+O343,8),_xlfn.CONCAT(MID(_xlpm.big,7,2),MID(_xlpm.big,5,2),MID(_xlpm.big,3,2),MID(_xlpm.big,1,2)))</f>
        <v>#NUM!</v>
      </c>
      <c r="J343" s="2" t="str">
        <f t="shared" si="20"/>
        <v>02000000</v>
      </c>
      <c r="K343" s="2" t="str">
        <f>_xlfn.LET(_xlpm.big,IF(H343,DEC2HEX(HEX2DEC(F343),8),DEC2HEX(N343-_xlfn.XLOOKUP(P343,Data!A:A,Data!F:F),8)),_xlfn.CONCAT(MID(_xlpm.big,7,2),MID(_xlpm.big,5,2),MID(_xlpm.big,3,2),MID(_xlpm.big,1,2)))</f>
        <v>FEFFFFFF</v>
      </c>
      <c r="L343" s="2">
        <f t="shared" si="21"/>
        <v>0</v>
      </c>
      <c r="M343" s="2">
        <f t="shared" si="22"/>
        <v>0</v>
      </c>
      <c r="N343" s="2">
        <f t="shared" si="23"/>
        <v>0</v>
      </c>
      <c r="O343" s="2" cm="1">
        <f t="array" ref="O343">_xlfn.IFS(M343&lt;Data!$F$3,0,M343&lt;Data!$F$4,1,TRUE,2)</f>
        <v>0</v>
      </c>
      <c r="P343" s="2" cm="1">
        <f t="array" ref="P343">_xlfn.IFS(H343,3,N343&lt;Data!$F$3,0,N343&lt;Data!$F$4,1,TRUE,2)</f>
        <v>0</v>
      </c>
    </row>
    <row r="344" spans="4:16">
      <c r="D344" s="3"/>
      <c r="E344" s="3"/>
      <c r="F344" s="3"/>
      <c r="G344" s="2" t="str" cm="1">
        <f t="array" ref="G344">_xlfn.CONCAT(IFERROR(I344:K344,""))</f>
        <v>02000000FEFFFFFF</v>
      </c>
      <c r="I344" s="2" t="e">
        <f>_xlfn.LET(_xlpm.big,DEC2HEX(_xlfn.BITLSHIFT(M344-_xlfn.XLOOKUP(O344,Data!A:A,Data!F:F),4)+O344,8),_xlfn.CONCAT(MID(_xlpm.big,7,2),MID(_xlpm.big,5,2),MID(_xlpm.big,3,2),MID(_xlpm.big,1,2)))</f>
        <v>#NUM!</v>
      </c>
      <c r="J344" s="2" t="str">
        <f t="shared" si="20"/>
        <v>02000000</v>
      </c>
      <c r="K344" s="2" t="str">
        <f>_xlfn.LET(_xlpm.big,IF(H344,DEC2HEX(HEX2DEC(F344),8),DEC2HEX(N344-_xlfn.XLOOKUP(P344,Data!A:A,Data!F:F),8)),_xlfn.CONCAT(MID(_xlpm.big,7,2),MID(_xlpm.big,5,2),MID(_xlpm.big,3,2),MID(_xlpm.big,1,2)))</f>
        <v>FEFFFFFF</v>
      </c>
      <c r="L344" s="2">
        <f t="shared" si="21"/>
        <v>0</v>
      </c>
      <c r="M344" s="2">
        <f t="shared" si="22"/>
        <v>0</v>
      </c>
      <c r="N344" s="2">
        <f t="shared" si="23"/>
        <v>0</v>
      </c>
      <c r="O344" s="2" cm="1">
        <f t="array" ref="O344">_xlfn.IFS(M344&lt;Data!$F$3,0,M344&lt;Data!$F$4,1,TRUE,2)</f>
        <v>0</v>
      </c>
      <c r="P344" s="2" cm="1">
        <f t="array" ref="P344">_xlfn.IFS(H344,3,N344&lt;Data!$F$3,0,N344&lt;Data!$F$4,1,TRUE,2)</f>
        <v>0</v>
      </c>
    </row>
    <row r="345" spans="4:16">
      <c r="D345" s="3"/>
      <c r="E345" s="3"/>
      <c r="F345" s="3"/>
      <c r="G345" s="2" t="str" cm="1">
        <f t="array" ref="G345">_xlfn.CONCAT(IFERROR(I345:K345,""))</f>
        <v>02000000FEFFFFFF</v>
      </c>
      <c r="I345" s="2" t="e">
        <f>_xlfn.LET(_xlpm.big,DEC2HEX(_xlfn.BITLSHIFT(M345-_xlfn.XLOOKUP(O345,Data!A:A,Data!F:F),4)+O345,8),_xlfn.CONCAT(MID(_xlpm.big,7,2),MID(_xlpm.big,5,2),MID(_xlpm.big,3,2),MID(_xlpm.big,1,2)))</f>
        <v>#NUM!</v>
      </c>
      <c r="J345" s="2" t="str">
        <f t="shared" si="20"/>
        <v>02000000</v>
      </c>
      <c r="K345" s="2" t="str">
        <f>_xlfn.LET(_xlpm.big,IF(H345,DEC2HEX(HEX2DEC(F345),8),DEC2HEX(N345-_xlfn.XLOOKUP(P345,Data!A:A,Data!F:F),8)),_xlfn.CONCAT(MID(_xlpm.big,7,2),MID(_xlpm.big,5,2),MID(_xlpm.big,3,2),MID(_xlpm.big,1,2)))</f>
        <v>FEFFFFFF</v>
      </c>
      <c r="L345" s="2">
        <f t="shared" si="21"/>
        <v>0</v>
      </c>
      <c r="M345" s="2">
        <f t="shared" si="22"/>
        <v>0</v>
      </c>
      <c r="N345" s="2">
        <f t="shared" si="23"/>
        <v>0</v>
      </c>
      <c r="O345" s="2" cm="1">
        <f t="array" ref="O345">_xlfn.IFS(M345&lt;Data!$F$3,0,M345&lt;Data!$F$4,1,TRUE,2)</f>
        <v>0</v>
      </c>
      <c r="P345" s="2" cm="1">
        <f t="array" ref="P345">_xlfn.IFS(H345,3,N345&lt;Data!$F$3,0,N345&lt;Data!$F$4,1,TRUE,2)</f>
        <v>0</v>
      </c>
    </row>
    <row r="346" spans="4:16">
      <c r="D346" s="3"/>
      <c r="E346" s="3"/>
      <c r="F346" s="3"/>
      <c r="G346" s="2" t="str" cm="1">
        <f t="array" ref="G346">_xlfn.CONCAT(IFERROR(I346:K346,""))</f>
        <v>02000000FEFFFFFF</v>
      </c>
      <c r="I346" s="2" t="e">
        <f>_xlfn.LET(_xlpm.big,DEC2HEX(_xlfn.BITLSHIFT(M346-_xlfn.XLOOKUP(O346,Data!A:A,Data!F:F),4)+O346,8),_xlfn.CONCAT(MID(_xlpm.big,7,2),MID(_xlpm.big,5,2),MID(_xlpm.big,3,2),MID(_xlpm.big,1,2)))</f>
        <v>#NUM!</v>
      </c>
      <c r="J346" s="2" t="str">
        <f t="shared" si="20"/>
        <v>02000000</v>
      </c>
      <c r="K346" s="2" t="str">
        <f>_xlfn.LET(_xlpm.big,IF(H346,DEC2HEX(HEX2DEC(F346),8),DEC2HEX(N346-_xlfn.XLOOKUP(P346,Data!A:A,Data!F:F),8)),_xlfn.CONCAT(MID(_xlpm.big,7,2),MID(_xlpm.big,5,2),MID(_xlpm.big,3,2),MID(_xlpm.big,1,2)))</f>
        <v>FEFFFFFF</v>
      </c>
      <c r="L346" s="2">
        <f t="shared" si="21"/>
        <v>0</v>
      </c>
      <c r="M346" s="2">
        <f t="shared" si="22"/>
        <v>0</v>
      </c>
      <c r="N346" s="2">
        <f t="shared" si="23"/>
        <v>0</v>
      </c>
      <c r="O346" s="2" cm="1">
        <f t="array" ref="O346">_xlfn.IFS(M346&lt;Data!$F$3,0,M346&lt;Data!$F$4,1,TRUE,2)</f>
        <v>0</v>
      </c>
      <c r="P346" s="2" cm="1">
        <f t="array" ref="P346">_xlfn.IFS(H346,3,N346&lt;Data!$F$3,0,N346&lt;Data!$F$4,1,TRUE,2)</f>
        <v>0</v>
      </c>
    </row>
    <row r="347" spans="4:16">
      <c r="D347" s="3"/>
      <c r="E347" s="3"/>
      <c r="F347" s="3"/>
      <c r="G347" s="2" t="str" cm="1">
        <f t="array" ref="G347">_xlfn.CONCAT(IFERROR(I347:K347,""))</f>
        <v>02000000FEFFFFFF</v>
      </c>
      <c r="I347" s="2" t="e">
        <f>_xlfn.LET(_xlpm.big,DEC2HEX(_xlfn.BITLSHIFT(M347-_xlfn.XLOOKUP(O347,Data!A:A,Data!F:F),4)+O347,8),_xlfn.CONCAT(MID(_xlpm.big,7,2),MID(_xlpm.big,5,2),MID(_xlpm.big,3,2),MID(_xlpm.big,1,2)))</f>
        <v>#NUM!</v>
      </c>
      <c r="J347" s="2" t="str">
        <f t="shared" si="20"/>
        <v>02000000</v>
      </c>
      <c r="K347" s="2" t="str">
        <f>_xlfn.LET(_xlpm.big,IF(H347,DEC2HEX(HEX2DEC(F347),8),DEC2HEX(N347-_xlfn.XLOOKUP(P347,Data!A:A,Data!F:F),8)),_xlfn.CONCAT(MID(_xlpm.big,7,2),MID(_xlpm.big,5,2),MID(_xlpm.big,3,2),MID(_xlpm.big,1,2)))</f>
        <v>FEFFFFFF</v>
      </c>
      <c r="L347" s="2">
        <f t="shared" si="21"/>
        <v>0</v>
      </c>
      <c r="M347" s="2">
        <f t="shared" si="22"/>
        <v>0</v>
      </c>
      <c r="N347" s="2">
        <f t="shared" si="23"/>
        <v>0</v>
      </c>
      <c r="O347" s="2" cm="1">
        <f t="array" ref="O347">_xlfn.IFS(M347&lt;Data!$F$3,0,M347&lt;Data!$F$4,1,TRUE,2)</f>
        <v>0</v>
      </c>
      <c r="P347" s="2" cm="1">
        <f t="array" ref="P347">_xlfn.IFS(H347,3,N347&lt;Data!$F$3,0,N347&lt;Data!$F$4,1,TRUE,2)</f>
        <v>0</v>
      </c>
    </row>
    <row r="348" spans="4:16">
      <c r="D348" s="3"/>
      <c r="E348" s="3"/>
      <c r="F348" s="3"/>
      <c r="G348" s="2" t="str" cm="1">
        <f t="array" ref="G348">_xlfn.CONCAT(IFERROR(I348:K348,""))</f>
        <v>02000000FEFFFFFF</v>
      </c>
      <c r="I348" s="2" t="e">
        <f>_xlfn.LET(_xlpm.big,DEC2HEX(_xlfn.BITLSHIFT(M348-_xlfn.XLOOKUP(O348,Data!A:A,Data!F:F),4)+O348,8),_xlfn.CONCAT(MID(_xlpm.big,7,2),MID(_xlpm.big,5,2),MID(_xlpm.big,3,2),MID(_xlpm.big,1,2)))</f>
        <v>#NUM!</v>
      </c>
      <c r="J348" s="2" t="str">
        <f t="shared" si="20"/>
        <v>02000000</v>
      </c>
      <c r="K348" s="2" t="str">
        <f>_xlfn.LET(_xlpm.big,IF(H348,DEC2HEX(HEX2DEC(F348),8),DEC2HEX(N348-_xlfn.XLOOKUP(P348,Data!A:A,Data!F:F),8)),_xlfn.CONCAT(MID(_xlpm.big,7,2),MID(_xlpm.big,5,2),MID(_xlpm.big,3,2),MID(_xlpm.big,1,2)))</f>
        <v>FEFFFFFF</v>
      </c>
      <c r="L348" s="2">
        <f t="shared" si="21"/>
        <v>0</v>
      </c>
      <c r="M348" s="2">
        <f t="shared" si="22"/>
        <v>0</v>
      </c>
      <c r="N348" s="2">
        <f t="shared" si="23"/>
        <v>0</v>
      </c>
      <c r="O348" s="2" cm="1">
        <f t="array" ref="O348">_xlfn.IFS(M348&lt;Data!$F$3,0,M348&lt;Data!$F$4,1,TRUE,2)</f>
        <v>0</v>
      </c>
      <c r="P348" s="2" cm="1">
        <f t="array" ref="P348">_xlfn.IFS(H348,3,N348&lt;Data!$F$3,0,N348&lt;Data!$F$4,1,TRUE,2)</f>
        <v>0</v>
      </c>
    </row>
    <row r="349" spans="4:16">
      <c r="D349" s="3"/>
      <c r="E349" s="3"/>
      <c r="F349" s="3"/>
      <c r="G349" s="2" t="str" cm="1">
        <f t="array" ref="G349">_xlfn.CONCAT(IFERROR(I349:K349,""))</f>
        <v>02000000FEFFFFFF</v>
      </c>
      <c r="I349" s="2" t="e">
        <f>_xlfn.LET(_xlpm.big,DEC2HEX(_xlfn.BITLSHIFT(M349-_xlfn.XLOOKUP(O349,Data!A:A,Data!F:F),4)+O349,8),_xlfn.CONCAT(MID(_xlpm.big,7,2),MID(_xlpm.big,5,2),MID(_xlpm.big,3,2),MID(_xlpm.big,1,2)))</f>
        <v>#NUM!</v>
      </c>
      <c r="J349" s="2" t="str">
        <f t="shared" si="20"/>
        <v>02000000</v>
      </c>
      <c r="K349" s="2" t="str">
        <f>_xlfn.LET(_xlpm.big,IF(H349,DEC2HEX(HEX2DEC(F349),8),DEC2HEX(N349-_xlfn.XLOOKUP(P349,Data!A:A,Data!F:F),8)),_xlfn.CONCAT(MID(_xlpm.big,7,2),MID(_xlpm.big,5,2),MID(_xlpm.big,3,2),MID(_xlpm.big,1,2)))</f>
        <v>FEFFFFFF</v>
      </c>
      <c r="L349" s="2">
        <f t="shared" si="21"/>
        <v>0</v>
      </c>
      <c r="M349" s="2">
        <f t="shared" si="22"/>
        <v>0</v>
      </c>
      <c r="N349" s="2">
        <f t="shared" si="23"/>
        <v>0</v>
      </c>
      <c r="O349" s="2" cm="1">
        <f t="array" ref="O349">_xlfn.IFS(M349&lt;Data!$F$3,0,M349&lt;Data!$F$4,1,TRUE,2)</f>
        <v>0</v>
      </c>
      <c r="P349" s="2" cm="1">
        <f t="array" ref="P349">_xlfn.IFS(H349,3,N349&lt;Data!$F$3,0,N349&lt;Data!$F$4,1,TRUE,2)</f>
        <v>0</v>
      </c>
    </row>
    <row r="350" spans="4:16">
      <c r="D350" s="3"/>
      <c r="E350" s="3"/>
      <c r="F350" s="3"/>
      <c r="G350" s="2" t="str" cm="1">
        <f t="array" ref="G350">_xlfn.CONCAT(IFERROR(I350:K350,""))</f>
        <v>0203000000000000</v>
      </c>
      <c r="H350" s="2" t="b">
        <v>1</v>
      </c>
      <c r="I350" s="2" t="e">
        <f>_xlfn.LET(_xlpm.big,DEC2HEX(_xlfn.BITLSHIFT(M350-_xlfn.XLOOKUP(O350,Data!A:A,Data!F:F),4)+O350,8),_xlfn.CONCAT(MID(_xlpm.big,7,2),MID(_xlpm.big,5,2),MID(_xlpm.big,3,2),MID(_xlpm.big,1,2)))</f>
        <v>#NUM!</v>
      </c>
      <c r="J350" s="2" t="str">
        <f t="shared" si="20"/>
        <v>02030000</v>
      </c>
      <c r="K350" s="2" t="str">
        <f>_xlfn.LET(_xlpm.big,IF(H350,DEC2HEX(HEX2DEC(F350),8),DEC2HEX(N350-_xlfn.XLOOKUP(P350,Data!A:A,Data!F:F),8)),_xlfn.CONCAT(MID(_xlpm.big,7,2),MID(_xlpm.big,5,2),MID(_xlpm.big,3,2),MID(_xlpm.big,1,2)))</f>
        <v>00000000</v>
      </c>
      <c r="L350" s="2">
        <f t="shared" si="21"/>
        <v>0</v>
      </c>
      <c r="M350" s="2">
        <f t="shared" si="22"/>
        <v>0</v>
      </c>
      <c r="N350" s="2">
        <f t="shared" si="23"/>
        <v>0</v>
      </c>
      <c r="O350" s="2" cm="1">
        <f t="array" ref="O350">_xlfn.IFS(M350&lt;Data!$F$3,0,M350&lt;Data!$F$4,1,TRUE,2)</f>
        <v>0</v>
      </c>
      <c r="P350" s="2" cm="1">
        <f t="array" ref="P350">_xlfn.IFS(H350,3,N350&lt;Data!$F$3,0,N350&lt;Data!$F$4,1,TRUE,2)</f>
        <v>3</v>
      </c>
    </row>
    <row r="351" spans="4:16">
      <c r="D351" s="3"/>
      <c r="E351" s="3"/>
      <c r="F351" s="3"/>
      <c r="G351" s="2" t="str" cm="1">
        <f t="array" ref="G351">_xlfn.CONCAT(IFERROR(I351:K351,""))</f>
        <v>0203000000000000</v>
      </c>
      <c r="H351" s="2" t="b">
        <v>1</v>
      </c>
      <c r="I351" s="2" t="e">
        <f>_xlfn.LET(_xlpm.big,DEC2HEX(_xlfn.BITLSHIFT(M351-_xlfn.XLOOKUP(O351,Data!A:A,Data!F:F),4)+O351,8),_xlfn.CONCAT(MID(_xlpm.big,7,2),MID(_xlpm.big,5,2),MID(_xlpm.big,3,2),MID(_xlpm.big,1,2)))</f>
        <v>#NUM!</v>
      </c>
      <c r="J351" s="2" t="str">
        <f t="shared" si="20"/>
        <v>02030000</v>
      </c>
      <c r="K351" s="2" t="str">
        <f>_xlfn.LET(_xlpm.big,IF(H351,DEC2HEX(HEX2DEC(F351),8),DEC2HEX(N351-_xlfn.XLOOKUP(P351,Data!A:A,Data!F:F),8)),_xlfn.CONCAT(MID(_xlpm.big,7,2),MID(_xlpm.big,5,2),MID(_xlpm.big,3,2),MID(_xlpm.big,1,2)))</f>
        <v>00000000</v>
      </c>
      <c r="L351" s="2">
        <f t="shared" si="21"/>
        <v>0</v>
      </c>
      <c r="M351" s="2">
        <f t="shared" si="22"/>
        <v>0</v>
      </c>
      <c r="N351" s="2">
        <f t="shared" si="23"/>
        <v>0</v>
      </c>
      <c r="O351" s="2" cm="1">
        <f t="array" ref="O351">_xlfn.IFS(M351&lt;Data!$F$3,0,M351&lt;Data!$F$4,1,TRUE,2)</f>
        <v>0</v>
      </c>
      <c r="P351" s="2" cm="1">
        <f t="array" ref="P351">_xlfn.IFS(H351,3,N351&lt;Data!$F$3,0,N351&lt;Data!$F$4,1,TRUE,2)</f>
        <v>3</v>
      </c>
    </row>
    <row r="352" spans="4:16">
      <c r="D352" s="3"/>
      <c r="E352" s="3"/>
      <c r="F352" s="3"/>
      <c r="G352" s="2" t="str" cm="1">
        <f t="array" ref="G352">_xlfn.CONCAT(IFERROR(I352:K352,""))</f>
        <v>0203000000000000</v>
      </c>
      <c r="H352" s="2" t="b">
        <v>1</v>
      </c>
      <c r="I352" s="2" t="e">
        <f>_xlfn.LET(_xlpm.big,DEC2HEX(_xlfn.BITLSHIFT(M352-_xlfn.XLOOKUP(O352,Data!A:A,Data!F:F),4)+O352,8),_xlfn.CONCAT(MID(_xlpm.big,7,2),MID(_xlpm.big,5,2),MID(_xlpm.big,3,2),MID(_xlpm.big,1,2)))</f>
        <v>#NUM!</v>
      </c>
      <c r="J352" s="2" t="str">
        <f t="shared" si="20"/>
        <v>02030000</v>
      </c>
      <c r="K352" s="2" t="str">
        <f>_xlfn.LET(_xlpm.big,IF(H352,DEC2HEX(HEX2DEC(F352),8),DEC2HEX(N352-_xlfn.XLOOKUP(P352,Data!A:A,Data!F:F),8)),_xlfn.CONCAT(MID(_xlpm.big,7,2),MID(_xlpm.big,5,2),MID(_xlpm.big,3,2),MID(_xlpm.big,1,2)))</f>
        <v>00000000</v>
      </c>
      <c r="L352" s="2">
        <f t="shared" si="21"/>
        <v>0</v>
      </c>
      <c r="M352" s="2">
        <f t="shared" si="22"/>
        <v>0</v>
      </c>
      <c r="N352" s="2">
        <f t="shared" si="23"/>
        <v>0</v>
      </c>
      <c r="O352" s="2" cm="1">
        <f t="array" ref="O352">_xlfn.IFS(M352&lt;Data!$F$3,0,M352&lt;Data!$F$4,1,TRUE,2)</f>
        <v>0</v>
      </c>
      <c r="P352" s="2" cm="1">
        <f t="array" ref="P352">_xlfn.IFS(H352,3,N352&lt;Data!$F$3,0,N352&lt;Data!$F$4,1,TRUE,2)</f>
        <v>3</v>
      </c>
    </row>
    <row r="353" spans="4:16">
      <c r="D353" s="3"/>
      <c r="E353" s="3"/>
      <c r="F353" s="3"/>
      <c r="G353" s="2" t="str" cm="1">
        <f t="array" ref="G353">_xlfn.CONCAT(IFERROR(I353:K353,""))</f>
        <v>0203000000000000</v>
      </c>
      <c r="H353" s="2" t="b">
        <v>1</v>
      </c>
      <c r="I353" s="2" t="e">
        <f>_xlfn.LET(_xlpm.big,DEC2HEX(_xlfn.BITLSHIFT(M353-_xlfn.XLOOKUP(O353,Data!A:A,Data!F:F),4)+O353,8),_xlfn.CONCAT(MID(_xlpm.big,7,2),MID(_xlpm.big,5,2),MID(_xlpm.big,3,2),MID(_xlpm.big,1,2)))</f>
        <v>#NUM!</v>
      </c>
      <c r="J353" s="2" t="str">
        <f t="shared" si="20"/>
        <v>02030000</v>
      </c>
      <c r="K353" s="2" t="str">
        <f>_xlfn.LET(_xlpm.big,IF(H353,DEC2HEX(HEX2DEC(F353),8),DEC2HEX(N353-_xlfn.XLOOKUP(P353,Data!A:A,Data!F:F),8)),_xlfn.CONCAT(MID(_xlpm.big,7,2),MID(_xlpm.big,5,2),MID(_xlpm.big,3,2),MID(_xlpm.big,1,2)))</f>
        <v>00000000</v>
      </c>
      <c r="L353" s="2">
        <f t="shared" si="21"/>
        <v>0</v>
      </c>
      <c r="M353" s="2">
        <f t="shared" si="22"/>
        <v>0</v>
      </c>
      <c r="N353" s="2">
        <f t="shared" si="23"/>
        <v>0</v>
      </c>
      <c r="O353" s="2" cm="1">
        <f t="array" ref="O353">_xlfn.IFS(M353&lt;Data!$F$3,0,M353&lt;Data!$F$4,1,TRUE,2)</f>
        <v>0</v>
      </c>
      <c r="P353" s="2" cm="1">
        <f t="array" ref="P353">_xlfn.IFS(H353,3,N353&lt;Data!$F$3,0,N353&lt;Data!$F$4,1,TRUE,2)</f>
        <v>3</v>
      </c>
    </row>
    <row r="354" spans="4:16">
      <c r="D354" s="3"/>
      <c r="E354" s="3"/>
      <c r="F354" s="3"/>
      <c r="G354" s="2" t="str" cm="1">
        <f t="array" ref="G354">_xlfn.CONCAT(IFERROR(I354:K354,""))</f>
        <v>02000000FEFFFFFF</v>
      </c>
      <c r="I354" s="2" t="e">
        <f>_xlfn.LET(_xlpm.big,DEC2HEX(_xlfn.BITLSHIFT(M354-_xlfn.XLOOKUP(O354,Data!A:A,Data!F:F),4)+O354,8),_xlfn.CONCAT(MID(_xlpm.big,7,2),MID(_xlpm.big,5,2),MID(_xlpm.big,3,2),MID(_xlpm.big,1,2)))</f>
        <v>#NUM!</v>
      </c>
      <c r="J354" s="2" t="str">
        <f t="shared" si="20"/>
        <v>02000000</v>
      </c>
      <c r="K354" s="2" t="str">
        <f>_xlfn.LET(_xlpm.big,IF(H354,DEC2HEX(HEX2DEC(F354),8),DEC2HEX(N354-_xlfn.XLOOKUP(P354,Data!A:A,Data!F:F),8)),_xlfn.CONCAT(MID(_xlpm.big,7,2),MID(_xlpm.big,5,2),MID(_xlpm.big,3,2),MID(_xlpm.big,1,2)))</f>
        <v>FEFFFFFF</v>
      </c>
      <c r="L354" s="2">
        <f t="shared" si="21"/>
        <v>0</v>
      </c>
      <c r="M354" s="2">
        <f t="shared" si="22"/>
        <v>0</v>
      </c>
      <c r="N354" s="2">
        <f t="shared" si="23"/>
        <v>0</v>
      </c>
      <c r="O354" s="2" cm="1">
        <f t="array" ref="O354">_xlfn.IFS(M354&lt;Data!$F$3,0,M354&lt;Data!$F$4,1,TRUE,2)</f>
        <v>0</v>
      </c>
      <c r="P354" s="2" cm="1">
        <f t="array" ref="P354">_xlfn.IFS(H354,3,N354&lt;Data!$F$3,0,N354&lt;Data!$F$4,1,TRUE,2)</f>
        <v>0</v>
      </c>
    </row>
    <row r="355" spans="4:16">
      <c r="D355" s="3"/>
      <c r="E355" s="3"/>
      <c r="F355" s="3"/>
      <c r="G355" s="2" t="str" cm="1">
        <f t="array" ref="G355">_xlfn.CONCAT(IFERROR(I355:K355,""))</f>
        <v>02000000FEFFFFFF</v>
      </c>
      <c r="I355" s="2" t="e">
        <f>_xlfn.LET(_xlpm.big,DEC2HEX(_xlfn.BITLSHIFT(M355-_xlfn.XLOOKUP(O355,Data!A:A,Data!F:F),4)+O355,8),_xlfn.CONCAT(MID(_xlpm.big,7,2),MID(_xlpm.big,5,2),MID(_xlpm.big,3,2),MID(_xlpm.big,1,2)))</f>
        <v>#NUM!</v>
      </c>
      <c r="J355" s="2" t="str">
        <f t="shared" si="20"/>
        <v>02000000</v>
      </c>
      <c r="K355" s="2" t="str">
        <f>_xlfn.LET(_xlpm.big,IF(H355,DEC2HEX(HEX2DEC(F355),8),DEC2HEX(N355-_xlfn.XLOOKUP(P355,Data!A:A,Data!F:F),8)),_xlfn.CONCAT(MID(_xlpm.big,7,2),MID(_xlpm.big,5,2),MID(_xlpm.big,3,2),MID(_xlpm.big,1,2)))</f>
        <v>FEFFFFFF</v>
      </c>
      <c r="L355" s="2">
        <f t="shared" si="21"/>
        <v>0</v>
      </c>
      <c r="M355" s="2">
        <f t="shared" si="22"/>
        <v>0</v>
      </c>
      <c r="N355" s="2">
        <f t="shared" si="23"/>
        <v>0</v>
      </c>
      <c r="O355" s="2" cm="1">
        <f t="array" ref="O355">_xlfn.IFS(M355&lt;Data!$F$3,0,M355&lt;Data!$F$4,1,TRUE,2)</f>
        <v>0</v>
      </c>
      <c r="P355" s="2" cm="1">
        <f t="array" ref="P355">_xlfn.IFS(H355,3,N355&lt;Data!$F$3,0,N355&lt;Data!$F$4,1,TRUE,2)</f>
        <v>0</v>
      </c>
    </row>
    <row r="356" spans="4:16">
      <c r="D356" s="3"/>
      <c r="E356" s="3"/>
      <c r="F356" s="3"/>
      <c r="G356" s="2" t="str" cm="1">
        <f t="array" ref="G356">_xlfn.CONCAT(IFERROR(I356:K356,""))</f>
        <v>02000000FEFFFFFF</v>
      </c>
      <c r="I356" s="2" t="e">
        <f>_xlfn.LET(_xlpm.big,DEC2HEX(_xlfn.BITLSHIFT(M356-_xlfn.XLOOKUP(O356,Data!A:A,Data!F:F),4)+O356,8),_xlfn.CONCAT(MID(_xlpm.big,7,2),MID(_xlpm.big,5,2),MID(_xlpm.big,3,2),MID(_xlpm.big,1,2)))</f>
        <v>#NUM!</v>
      </c>
      <c r="J356" s="2" t="str">
        <f t="shared" si="20"/>
        <v>02000000</v>
      </c>
      <c r="K356" s="2" t="str">
        <f>_xlfn.LET(_xlpm.big,IF(H356,DEC2HEX(HEX2DEC(F356),8),DEC2HEX(N356-_xlfn.XLOOKUP(P356,Data!A:A,Data!F:F),8)),_xlfn.CONCAT(MID(_xlpm.big,7,2),MID(_xlpm.big,5,2),MID(_xlpm.big,3,2),MID(_xlpm.big,1,2)))</f>
        <v>FEFFFFFF</v>
      </c>
      <c r="L356" s="2">
        <f t="shared" si="21"/>
        <v>0</v>
      </c>
      <c r="M356" s="2">
        <f t="shared" si="22"/>
        <v>0</v>
      </c>
      <c r="N356" s="2">
        <f t="shared" si="23"/>
        <v>0</v>
      </c>
      <c r="O356" s="2" cm="1">
        <f t="array" ref="O356">_xlfn.IFS(M356&lt;Data!$F$3,0,M356&lt;Data!$F$4,1,TRUE,2)</f>
        <v>0</v>
      </c>
      <c r="P356" s="2" cm="1">
        <f t="array" ref="P356">_xlfn.IFS(H356,3,N356&lt;Data!$F$3,0,N356&lt;Data!$F$4,1,TRUE,2)</f>
        <v>0</v>
      </c>
    </row>
    <row r="357" spans="4:16">
      <c r="D357" s="3"/>
      <c r="E357" s="3"/>
      <c r="F357" s="3"/>
      <c r="G357" s="2" t="str" cm="1">
        <f t="array" ref="G357">_xlfn.CONCAT(IFERROR(I357:K357,""))</f>
        <v>0203000000000000</v>
      </c>
      <c r="H357" s="2" t="b">
        <v>1</v>
      </c>
      <c r="I357" s="2" t="e">
        <f>_xlfn.LET(_xlpm.big,DEC2HEX(_xlfn.BITLSHIFT(M357-_xlfn.XLOOKUP(O357,Data!A:A,Data!F:F),4)+O357,8),_xlfn.CONCAT(MID(_xlpm.big,7,2),MID(_xlpm.big,5,2),MID(_xlpm.big,3,2),MID(_xlpm.big,1,2)))</f>
        <v>#NUM!</v>
      </c>
      <c r="J357" s="2" t="str">
        <f t="shared" si="20"/>
        <v>02030000</v>
      </c>
      <c r="K357" s="2" t="str">
        <f>_xlfn.LET(_xlpm.big,IF(H357,DEC2HEX(HEX2DEC(F357),8),DEC2HEX(N357-_xlfn.XLOOKUP(P357,Data!A:A,Data!F:F),8)),_xlfn.CONCAT(MID(_xlpm.big,7,2),MID(_xlpm.big,5,2),MID(_xlpm.big,3,2),MID(_xlpm.big,1,2)))</f>
        <v>00000000</v>
      </c>
      <c r="L357" s="2">
        <f t="shared" si="21"/>
        <v>0</v>
      </c>
      <c r="M357" s="2">
        <f t="shared" si="22"/>
        <v>0</v>
      </c>
      <c r="N357" s="2">
        <f t="shared" si="23"/>
        <v>0</v>
      </c>
      <c r="O357" s="2" cm="1">
        <f t="array" ref="O357">_xlfn.IFS(M357&lt;Data!$F$3,0,M357&lt;Data!$F$4,1,TRUE,2)</f>
        <v>0</v>
      </c>
      <c r="P357" s="2" cm="1">
        <f t="array" ref="P357">_xlfn.IFS(H357,3,N357&lt;Data!$F$3,0,N357&lt;Data!$F$4,1,TRUE,2)</f>
        <v>3</v>
      </c>
    </row>
    <row r="358" spans="4:16">
      <c r="D358" s="3"/>
      <c r="E358" s="3"/>
      <c r="F358" s="3"/>
      <c r="G358" s="2" t="str" cm="1">
        <f t="array" ref="G358">_xlfn.CONCAT(IFERROR(I358:K358,""))</f>
        <v>02000000FEFFFFFF</v>
      </c>
      <c r="I358" s="2" t="e">
        <f>_xlfn.LET(_xlpm.big,DEC2HEX(_xlfn.BITLSHIFT(M358-_xlfn.XLOOKUP(O358,Data!A:A,Data!F:F),4)+O358,8),_xlfn.CONCAT(MID(_xlpm.big,7,2),MID(_xlpm.big,5,2),MID(_xlpm.big,3,2),MID(_xlpm.big,1,2)))</f>
        <v>#NUM!</v>
      </c>
      <c r="J358" s="2" t="str">
        <f t="shared" si="20"/>
        <v>02000000</v>
      </c>
      <c r="K358" s="2" t="str">
        <f>_xlfn.LET(_xlpm.big,IF(H358,DEC2HEX(HEX2DEC(F358),8),DEC2HEX(N358-_xlfn.XLOOKUP(P358,Data!A:A,Data!F:F),8)),_xlfn.CONCAT(MID(_xlpm.big,7,2),MID(_xlpm.big,5,2),MID(_xlpm.big,3,2),MID(_xlpm.big,1,2)))</f>
        <v>FEFFFFFF</v>
      </c>
      <c r="L358" s="2">
        <f t="shared" si="21"/>
        <v>0</v>
      </c>
      <c r="M358" s="2">
        <f t="shared" si="22"/>
        <v>0</v>
      </c>
      <c r="N358" s="2">
        <f t="shared" si="23"/>
        <v>0</v>
      </c>
      <c r="O358" s="2" cm="1">
        <f t="array" ref="O358">_xlfn.IFS(M358&lt;Data!$F$3,0,M358&lt;Data!$F$4,1,TRUE,2)</f>
        <v>0</v>
      </c>
      <c r="P358" s="2" cm="1">
        <f t="array" ref="P358">_xlfn.IFS(H358,3,N358&lt;Data!$F$3,0,N358&lt;Data!$F$4,1,TRUE,2)</f>
        <v>0</v>
      </c>
    </row>
    <row r="359" spans="4:16">
      <c r="D359" s="3"/>
      <c r="E359" s="3"/>
      <c r="F359" s="3"/>
      <c r="G359" s="2" t="str" cm="1">
        <f t="array" ref="G359">_xlfn.CONCAT(IFERROR(I359:K359,""))</f>
        <v>02000000FEFFFFFF</v>
      </c>
      <c r="I359" s="2" t="e">
        <f>_xlfn.LET(_xlpm.big,DEC2HEX(_xlfn.BITLSHIFT(M359-_xlfn.XLOOKUP(O359,Data!A:A,Data!F:F),4)+O359,8),_xlfn.CONCAT(MID(_xlpm.big,7,2),MID(_xlpm.big,5,2),MID(_xlpm.big,3,2),MID(_xlpm.big,1,2)))</f>
        <v>#NUM!</v>
      </c>
      <c r="J359" s="2" t="str">
        <f t="shared" si="20"/>
        <v>02000000</v>
      </c>
      <c r="K359" s="2" t="str">
        <f>_xlfn.LET(_xlpm.big,IF(H359,DEC2HEX(HEX2DEC(F359),8),DEC2HEX(N359-_xlfn.XLOOKUP(P359,Data!A:A,Data!F:F),8)),_xlfn.CONCAT(MID(_xlpm.big,7,2),MID(_xlpm.big,5,2),MID(_xlpm.big,3,2),MID(_xlpm.big,1,2)))</f>
        <v>FEFFFFFF</v>
      </c>
      <c r="L359" s="2">
        <f t="shared" si="21"/>
        <v>0</v>
      </c>
      <c r="M359" s="2">
        <f t="shared" si="22"/>
        <v>0</v>
      </c>
      <c r="N359" s="2">
        <f t="shared" si="23"/>
        <v>0</v>
      </c>
      <c r="O359" s="2" cm="1">
        <f t="array" ref="O359">_xlfn.IFS(M359&lt;Data!$F$3,0,M359&lt;Data!$F$4,1,TRUE,2)</f>
        <v>0</v>
      </c>
      <c r="P359" s="2" cm="1">
        <f t="array" ref="P359">_xlfn.IFS(H359,3,N359&lt;Data!$F$3,0,N359&lt;Data!$F$4,1,TRUE,2)</f>
        <v>0</v>
      </c>
    </row>
    <row r="360" spans="4:16">
      <c r="D360" s="3"/>
      <c r="E360" s="3"/>
      <c r="F360" s="3"/>
      <c r="G360" s="2" t="str" cm="1">
        <f t="array" ref="G360">_xlfn.CONCAT(IFERROR(I360:K360,""))</f>
        <v>02000000FEFFFFFF</v>
      </c>
      <c r="I360" s="2" t="e">
        <f>_xlfn.LET(_xlpm.big,DEC2HEX(_xlfn.BITLSHIFT(M360-_xlfn.XLOOKUP(O360,Data!A:A,Data!F:F),4)+O360,8),_xlfn.CONCAT(MID(_xlpm.big,7,2),MID(_xlpm.big,5,2),MID(_xlpm.big,3,2),MID(_xlpm.big,1,2)))</f>
        <v>#NUM!</v>
      </c>
      <c r="J360" s="2" t="str">
        <f t="shared" si="20"/>
        <v>02000000</v>
      </c>
      <c r="K360" s="2" t="str">
        <f>_xlfn.LET(_xlpm.big,IF(H360,DEC2HEX(HEX2DEC(F360),8),DEC2HEX(N360-_xlfn.XLOOKUP(P360,Data!A:A,Data!F:F),8)),_xlfn.CONCAT(MID(_xlpm.big,7,2),MID(_xlpm.big,5,2),MID(_xlpm.big,3,2),MID(_xlpm.big,1,2)))</f>
        <v>FEFFFFFF</v>
      </c>
      <c r="L360" s="2">
        <f t="shared" si="21"/>
        <v>0</v>
      </c>
      <c r="M360" s="2">
        <f t="shared" si="22"/>
        <v>0</v>
      </c>
      <c r="N360" s="2">
        <f t="shared" si="23"/>
        <v>0</v>
      </c>
      <c r="O360" s="2" cm="1">
        <f t="array" ref="O360">_xlfn.IFS(M360&lt;Data!$F$3,0,M360&lt;Data!$F$4,1,TRUE,2)</f>
        <v>0</v>
      </c>
      <c r="P360" s="2" cm="1">
        <f t="array" ref="P360">_xlfn.IFS(H360,3,N360&lt;Data!$F$3,0,N360&lt;Data!$F$4,1,TRUE,2)</f>
        <v>0</v>
      </c>
    </row>
    <row r="361" spans="4:16">
      <c r="D361" s="3"/>
      <c r="E361" s="3"/>
      <c r="F361" s="3"/>
      <c r="G361" s="2" t="str" cm="1">
        <f t="array" ref="G361">_xlfn.CONCAT(IFERROR(I361:K361,""))</f>
        <v>02000000FEFFFFFF</v>
      </c>
      <c r="I361" s="2" t="e">
        <f>_xlfn.LET(_xlpm.big,DEC2HEX(_xlfn.BITLSHIFT(M361-_xlfn.XLOOKUP(O361,Data!A:A,Data!F:F),4)+O361,8),_xlfn.CONCAT(MID(_xlpm.big,7,2),MID(_xlpm.big,5,2),MID(_xlpm.big,3,2),MID(_xlpm.big,1,2)))</f>
        <v>#NUM!</v>
      </c>
      <c r="J361" s="2" t="str">
        <f t="shared" si="20"/>
        <v>02000000</v>
      </c>
      <c r="K361" s="2" t="str">
        <f>_xlfn.LET(_xlpm.big,IF(H361,DEC2HEX(HEX2DEC(F361),8),DEC2HEX(N361-_xlfn.XLOOKUP(P361,Data!A:A,Data!F:F),8)),_xlfn.CONCAT(MID(_xlpm.big,7,2),MID(_xlpm.big,5,2),MID(_xlpm.big,3,2),MID(_xlpm.big,1,2)))</f>
        <v>FEFFFFFF</v>
      </c>
      <c r="L361" s="2">
        <f t="shared" si="21"/>
        <v>0</v>
      </c>
      <c r="M361" s="2">
        <f t="shared" si="22"/>
        <v>0</v>
      </c>
      <c r="N361" s="2">
        <f t="shared" si="23"/>
        <v>0</v>
      </c>
      <c r="O361" s="2" cm="1">
        <f t="array" ref="O361">_xlfn.IFS(M361&lt;Data!$F$3,0,M361&lt;Data!$F$4,1,TRUE,2)</f>
        <v>0</v>
      </c>
      <c r="P361" s="2" cm="1">
        <f t="array" ref="P361">_xlfn.IFS(H361,3,N361&lt;Data!$F$3,0,N361&lt;Data!$F$4,1,TRUE,2)</f>
        <v>0</v>
      </c>
    </row>
    <row r="362" spans="4:16">
      <c r="D362" s="3"/>
      <c r="E362" s="3"/>
      <c r="F362" s="3"/>
      <c r="G362" s="2" t="str" cm="1">
        <f t="array" ref="G362">_xlfn.CONCAT(IFERROR(I362:K362,""))</f>
        <v>0203000000000000</v>
      </c>
      <c r="H362" s="2" t="b">
        <v>1</v>
      </c>
      <c r="I362" s="2" t="e">
        <f>_xlfn.LET(_xlpm.big,DEC2HEX(_xlfn.BITLSHIFT(M362-_xlfn.XLOOKUP(O362,Data!A:A,Data!F:F),4)+O362,8),_xlfn.CONCAT(MID(_xlpm.big,7,2),MID(_xlpm.big,5,2),MID(_xlpm.big,3,2),MID(_xlpm.big,1,2)))</f>
        <v>#NUM!</v>
      </c>
      <c r="J362" s="2" t="str">
        <f t="shared" si="20"/>
        <v>02030000</v>
      </c>
      <c r="K362" s="2" t="str">
        <f>_xlfn.LET(_xlpm.big,IF(H362,DEC2HEX(HEX2DEC(F362),8),DEC2HEX(N362-_xlfn.XLOOKUP(P362,Data!A:A,Data!F:F),8)),_xlfn.CONCAT(MID(_xlpm.big,7,2),MID(_xlpm.big,5,2),MID(_xlpm.big,3,2),MID(_xlpm.big,1,2)))</f>
        <v>00000000</v>
      </c>
      <c r="L362" s="2">
        <f t="shared" si="21"/>
        <v>0</v>
      </c>
      <c r="M362" s="2">
        <f t="shared" si="22"/>
        <v>0</v>
      </c>
      <c r="N362" s="2">
        <f t="shared" si="23"/>
        <v>0</v>
      </c>
      <c r="O362" s="2" cm="1">
        <f t="array" ref="O362">_xlfn.IFS(M362&lt;Data!$F$3,0,M362&lt;Data!$F$4,1,TRUE,2)</f>
        <v>0</v>
      </c>
      <c r="P362" s="2" cm="1">
        <f t="array" ref="P362">_xlfn.IFS(H362,3,N362&lt;Data!$F$3,0,N362&lt;Data!$F$4,1,TRUE,2)</f>
        <v>3</v>
      </c>
    </row>
    <row r="363" spans="4:16">
      <c r="D363" s="3"/>
      <c r="E363" s="3"/>
      <c r="F363" s="3"/>
      <c r="G363" s="2" t="str" cm="1">
        <f t="array" ref="G363">_xlfn.CONCAT(IFERROR(I363:K363,""))</f>
        <v>02000000FEFFFFFF</v>
      </c>
      <c r="I363" s="2" t="e">
        <f>_xlfn.LET(_xlpm.big,DEC2HEX(_xlfn.BITLSHIFT(M363-_xlfn.XLOOKUP(O363,Data!A:A,Data!F:F),4)+O363,8),_xlfn.CONCAT(MID(_xlpm.big,7,2),MID(_xlpm.big,5,2),MID(_xlpm.big,3,2),MID(_xlpm.big,1,2)))</f>
        <v>#NUM!</v>
      </c>
      <c r="J363" s="2" t="str">
        <f t="shared" si="20"/>
        <v>02000000</v>
      </c>
      <c r="K363" s="2" t="str">
        <f>_xlfn.LET(_xlpm.big,IF(H363,DEC2HEX(HEX2DEC(F363),8),DEC2HEX(N363-_xlfn.XLOOKUP(P363,Data!A:A,Data!F:F),8)),_xlfn.CONCAT(MID(_xlpm.big,7,2),MID(_xlpm.big,5,2),MID(_xlpm.big,3,2),MID(_xlpm.big,1,2)))</f>
        <v>FEFFFFFF</v>
      </c>
      <c r="L363" s="2">
        <f t="shared" si="21"/>
        <v>0</v>
      </c>
      <c r="M363" s="2">
        <f t="shared" si="22"/>
        <v>0</v>
      </c>
      <c r="N363" s="2">
        <f t="shared" si="23"/>
        <v>0</v>
      </c>
      <c r="O363" s="2" cm="1">
        <f t="array" ref="O363">_xlfn.IFS(M363&lt;Data!$F$3,0,M363&lt;Data!$F$4,1,TRUE,2)</f>
        <v>0</v>
      </c>
      <c r="P363" s="2" cm="1">
        <f t="array" ref="P363">_xlfn.IFS(H363,3,N363&lt;Data!$F$3,0,N363&lt;Data!$F$4,1,TRUE,2)</f>
        <v>0</v>
      </c>
    </row>
    <row r="364" spans="4:16">
      <c r="D364" s="3"/>
      <c r="E364" s="3"/>
      <c r="F364" s="3"/>
      <c r="G364" s="2" t="str" cm="1">
        <f t="array" ref="G364">_xlfn.CONCAT(IFERROR(I364:K364,""))</f>
        <v>02000000FEFFFFFF</v>
      </c>
      <c r="I364" s="2" t="e">
        <f>_xlfn.LET(_xlpm.big,DEC2HEX(_xlfn.BITLSHIFT(M364-_xlfn.XLOOKUP(O364,Data!A:A,Data!F:F),4)+O364,8),_xlfn.CONCAT(MID(_xlpm.big,7,2),MID(_xlpm.big,5,2),MID(_xlpm.big,3,2),MID(_xlpm.big,1,2)))</f>
        <v>#NUM!</v>
      </c>
      <c r="J364" s="2" t="str">
        <f t="shared" si="20"/>
        <v>02000000</v>
      </c>
      <c r="K364" s="2" t="str">
        <f>_xlfn.LET(_xlpm.big,IF(H364,DEC2HEX(HEX2DEC(F364),8),DEC2HEX(N364-_xlfn.XLOOKUP(P364,Data!A:A,Data!F:F),8)),_xlfn.CONCAT(MID(_xlpm.big,7,2),MID(_xlpm.big,5,2),MID(_xlpm.big,3,2),MID(_xlpm.big,1,2)))</f>
        <v>FEFFFFFF</v>
      </c>
      <c r="L364" s="2">
        <f t="shared" si="21"/>
        <v>0</v>
      </c>
      <c r="M364" s="2">
        <f t="shared" si="22"/>
        <v>0</v>
      </c>
      <c r="N364" s="2">
        <f t="shared" si="23"/>
        <v>0</v>
      </c>
      <c r="O364" s="2" cm="1">
        <f t="array" ref="O364">_xlfn.IFS(M364&lt;Data!$F$3,0,M364&lt;Data!$F$4,1,TRUE,2)</f>
        <v>0</v>
      </c>
      <c r="P364" s="2" cm="1">
        <f t="array" ref="P364">_xlfn.IFS(H364,3,N364&lt;Data!$F$3,0,N364&lt;Data!$F$4,1,TRUE,2)</f>
        <v>0</v>
      </c>
    </row>
    <row r="365" spans="4:16">
      <c r="D365" s="3"/>
      <c r="E365" s="3"/>
      <c r="F365" s="3"/>
      <c r="G365" s="2" t="str" cm="1">
        <f t="array" ref="G365">_xlfn.CONCAT(IFERROR(I365:K365,""))</f>
        <v>02000000FEFFFFFF</v>
      </c>
      <c r="I365" s="2" t="e">
        <f>_xlfn.LET(_xlpm.big,DEC2HEX(_xlfn.BITLSHIFT(M365-_xlfn.XLOOKUP(O365,Data!A:A,Data!F:F),4)+O365,8),_xlfn.CONCAT(MID(_xlpm.big,7,2),MID(_xlpm.big,5,2),MID(_xlpm.big,3,2),MID(_xlpm.big,1,2)))</f>
        <v>#NUM!</v>
      </c>
      <c r="J365" s="2" t="str">
        <f t="shared" si="20"/>
        <v>02000000</v>
      </c>
      <c r="K365" s="2" t="str">
        <f>_xlfn.LET(_xlpm.big,IF(H365,DEC2HEX(HEX2DEC(F365),8),DEC2HEX(N365-_xlfn.XLOOKUP(P365,Data!A:A,Data!F:F),8)),_xlfn.CONCAT(MID(_xlpm.big,7,2),MID(_xlpm.big,5,2),MID(_xlpm.big,3,2),MID(_xlpm.big,1,2)))</f>
        <v>FEFFFFFF</v>
      </c>
      <c r="L365" s="2">
        <f t="shared" si="21"/>
        <v>0</v>
      </c>
      <c r="M365" s="2">
        <f t="shared" si="22"/>
        <v>0</v>
      </c>
      <c r="N365" s="2">
        <f t="shared" si="23"/>
        <v>0</v>
      </c>
      <c r="O365" s="2" cm="1">
        <f t="array" ref="O365">_xlfn.IFS(M365&lt;Data!$F$3,0,M365&lt;Data!$F$4,1,TRUE,2)</f>
        <v>0</v>
      </c>
      <c r="P365" s="2" cm="1">
        <f t="array" ref="P365">_xlfn.IFS(H365,3,N365&lt;Data!$F$3,0,N365&lt;Data!$F$4,1,TRUE,2)</f>
        <v>0</v>
      </c>
    </row>
    <row r="366" spans="4:16">
      <c r="D366" s="3"/>
      <c r="E366" s="3"/>
      <c r="F366" s="3"/>
      <c r="G366" s="2" t="str" cm="1">
        <f t="array" ref="G366">_xlfn.CONCAT(IFERROR(I366:K366,""))</f>
        <v>02000000FEFFFFFF</v>
      </c>
      <c r="I366" s="2" t="e">
        <f>_xlfn.LET(_xlpm.big,DEC2HEX(_xlfn.BITLSHIFT(M366-_xlfn.XLOOKUP(O366,Data!A:A,Data!F:F),4)+O366,8),_xlfn.CONCAT(MID(_xlpm.big,7,2),MID(_xlpm.big,5,2),MID(_xlpm.big,3,2),MID(_xlpm.big,1,2)))</f>
        <v>#NUM!</v>
      </c>
      <c r="J366" s="2" t="str">
        <f t="shared" si="20"/>
        <v>02000000</v>
      </c>
      <c r="K366" s="2" t="str">
        <f>_xlfn.LET(_xlpm.big,IF(H366,DEC2HEX(HEX2DEC(F366),8),DEC2HEX(N366-_xlfn.XLOOKUP(P366,Data!A:A,Data!F:F),8)),_xlfn.CONCAT(MID(_xlpm.big,7,2),MID(_xlpm.big,5,2),MID(_xlpm.big,3,2),MID(_xlpm.big,1,2)))</f>
        <v>FEFFFFFF</v>
      </c>
      <c r="L366" s="2">
        <f t="shared" si="21"/>
        <v>0</v>
      </c>
      <c r="M366" s="2">
        <f t="shared" si="22"/>
        <v>0</v>
      </c>
      <c r="N366" s="2">
        <f t="shared" si="23"/>
        <v>0</v>
      </c>
      <c r="O366" s="2" cm="1">
        <f t="array" ref="O366">_xlfn.IFS(M366&lt;Data!$F$3,0,M366&lt;Data!$F$4,1,TRUE,2)</f>
        <v>0</v>
      </c>
      <c r="P366" s="2" cm="1">
        <f t="array" ref="P366">_xlfn.IFS(H366,3,N366&lt;Data!$F$3,0,N366&lt;Data!$F$4,1,TRUE,2)</f>
        <v>0</v>
      </c>
    </row>
    <row r="367" spans="4:16">
      <c r="D367" s="3"/>
      <c r="E367" s="3"/>
      <c r="F367" s="3"/>
      <c r="G367" s="2" t="str" cm="1">
        <f t="array" ref="G367">_xlfn.CONCAT(IFERROR(I367:K367,""))</f>
        <v>02000000FEFFFFFF</v>
      </c>
      <c r="I367" s="2" t="e">
        <f>_xlfn.LET(_xlpm.big,DEC2HEX(_xlfn.BITLSHIFT(M367-_xlfn.XLOOKUP(O367,Data!A:A,Data!F:F),4)+O367,8),_xlfn.CONCAT(MID(_xlpm.big,7,2),MID(_xlpm.big,5,2),MID(_xlpm.big,3,2),MID(_xlpm.big,1,2)))</f>
        <v>#NUM!</v>
      </c>
      <c r="J367" s="2" t="str">
        <f t="shared" si="20"/>
        <v>02000000</v>
      </c>
      <c r="K367" s="2" t="str">
        <f>_xlfn.LET(_xlpm.big,IF(H367,DEC2HEX(HEX2DEC(F367),8),DEC2HEX(N367-_xlfn.XLOOKUP(P367,Data!A:A,Data!F:F),8)),_xlfn.CONCAT(MID(_xlpm.big,7,2),MID(_xlpm.big,5,2),MID(_xlpm.big,3,2),MID(_xlpm.big,1,2)))</f>
        <v>FEFFFFFF</v>
      </c>
      <c r="L367" s="2">
        <f t="shared" si="21"/>
        <v>0</v>
      </c>
      <c r="M367" s="2">
        <f t="shared" si="22"/>
        <v>0</v>
      </c>
      <c r="N367" s="2">
        <f t="shared" si="23"/>
        <v>0</v>
      </c>
      <c r="O367" s="2" cm="1">
        <f t="array" ref="O367">_xlfn.IFS(M367&lt;Data!$F$3,0,M367&lt;Data!$F$4,1,TRUE,2)</f>
        <v>0</v>
      </c>
      <c r="P367" s="2" cm="1">
        <f t="array" ref="P367">_xlfn.IFS(H367,3,N367&lt;Data!$F$3,0,N367&lt;Data!$F$4,1,TRUE,2)</f>
        <v>0</v>
      </c>
    </row>
    <row r="368" spans="4:16">
      <c r="D368" s="3"/>
      <c r="E368" s="3"/>
      <c r="F368" s="3"/>
      <c r="G368" s="2" t="str" cm="1">
        <f t="array" ref="G368">_xlfn.CONCAT(IFERROR(I368:K368,""))</f>
        <v>02000000FEFFFFFF</v>
      </c>
      <c r="I368" s="2" t="e">
        <f>_xlfn.LET(_xlpm.big,DEC2HEX(_xlfn.BITLSHIFT(M368-_xlfn.XLOOKUP(O368,Data!A:A,Data!F:F),4)+O368,8),_xlfn.CONCAT(MID(_xlpm.big,7,2),MID(_xlpm.big,5,2),MID(_xlpm.big,3,2),MID(_xlpm.big,1,2)))</f>
        <v>#NUM!</v>
      </c>
      <c r="J368" s="2" t="str">
        <f t="shared" si="20"/>
        <v>02000000</v>
      </c>
      <c r="K368" s="2" t="str">
        <f>_xlfn.LET(_xlpm.big,IF(H368,DEC2HEX(HEX2DEC(F368),8),DEC2HEX(N368-_xlfn.XLOOKUP(P368,Data!A:A,Data!F:F),8)),_xlfn.CONCAT(MID(_xlpm.big,7,2),MID(_xlpm.big,5,2),MID(_xlpm.big,3,2),MID(_xlpm.big,1,2)))</f>
        <v>FEFFFFFF</v>
      </c>
      <c r="L368" s="2">
        <f t="shared" si="21"/>
        <v>0</v>
      </c>
      <c r="M368" s="2">
        <f t="shared" si="22"/>
        <v>0</v>
      </c>
      <c r="N368" s="2">
        <f t="shared" si="23"/>
        <v>0</v>
      </c>
      <c r="O368" s="2" cm="1">
        <f t="array" ref="O368">_xlfn.IFS(M368&lt;Data!$F$3,0,M368&lt;Data!$F$4,1,TRUE,2)</f>
        <v>0</v>
      </c>
      <c r="P368" s="2" cm="1">
        <f t="array" ref="P368">_xlfn.IFS(H368,3,N368&lt;Data!$F$3,0,N368&lt;Data!$F$4,1,TRUE,2)</f>
        <v>0</v>
      </c>
    </row>
    <row r="369" spans="4:16">
      <c r="D369" s="3"/>
      <c r="E369" s="3"/>
      <c r="F369" s="3"/>
      <c r="G369" s="2" t="str" cm="1">
        <f t="array" ref="G369">_xlfn.CONCAT(IFERROR(I369:K369,""))</f>
        <v>02000000FEFFFFFF</v>
      </c>
      <c r="I369" s="2" t="e">
        <f>_xlfn.LET(_xlpm.big,DEC2HEX(_xlfn.BITLSHIFT(M369-_xlfn.XLOOKUP(O369,Data!A:A,Data!F:F),4)+O369,8),_xlfn.CONCAT(MID(_xlpm.big,7,2),MID(_xlpm.big,5,2),MID(_xlpm.big,3,2),MID(_xlpm.big,1,2)))</f>
        <v>#NUM!</v>
      </c>
      <c r="J369" s="2" t="str">
        <f t="shared" si="20"/>
        <v>02000000</v>
      </c>
      <c r="K369" s="2" t="str">
        <f>_xlfn.LET(_xlpm.big,IF(H369,DEC2HEX(HEX2DEC(F369),8),DEC2HEX(N369-_xlfn.XLOOKUP(P369,Data!A:A,Data!F:F),8)),_xlfn.CONCAT(MID(_xlpm.big,7,2),MID(_xlpm.big,5,2),MID(_xlpm.big,3,2),MID(_xlpm.big,1,2)))</f>
        <v>FEFFFFFF</v>
      </c>
      <c r="L369" s="2">
        <f t="shared" si="21"/>
        <v>0</v>
      </c>
      <c r="M369" s="2">
        <f t="shared" si="22"/>
        <v>0</v>
      </c>
      <c r="N369" s="2">
        <f t="shared" si="23"/>
        <v>0</v>
      </c>
      <c r="O369" s="2" cm="1">
        <f t="array" ref="O369">_xlfn.IFS(M369&lt;Data!$F$3,0,M369&lt;Data!$F$4,1,TRUE,2)</f>
        <v>0</v>
      </c>
      <c r="P369" s="2" cm="1">
        <f t="array" ref="P369">_xlfn.IFS(H369,3,N369&lt;Data!$F$3,0,N369&lt;Data!$F$4,1,TRUE,2)</f>
        <v>0</v>
      </c>
    </row>
    <row r="370" spans="4:16">
      <c r="D370" s="3"/>
      <c r="E370" s="3"/>
      <c r="F370" s="3"/>
      <c r="G370" s="2" t="str" cm="1">
        <f t="array" ref="G370">_xlfn.CONCAT(IFERROR(I370:K370,""))</f>
        <v>02000000FEFFFFFF</v>
      </c>
      <c r="I370" s="2" t="e">
        <f>_xlfn.LET(_xlpm.big,DEC2HEX(_xlfn.BITLSHIFT(M370-_xlfn.XLOOKUP(O370,Data!A:A,Data!F:F),4)+O370,8),_xlfn.CONCAT(MID(_xlpm.big,7,2),MID(_xlpm.big,5,2),MID(_xlpm.big,3,2),MID(_xlpm.big,1,2)))</f>
        <v>#NUM!</v>
      </c>
      <c r="J370" s="2" t="str">
        <f t="shared" si="20"/>
        <v>02000000</v>
      </c>
      <c r="K370" s="2" t="str">
        <f>_xlfn.LET(_xlpm.big,IF(H370,DEC2HEX(HEX2DEC(F370),8),DEC2HEX(N370-_xlfn.XLOOKUP(P370,Data!A:A,Data!F:F),8)),_xlfn.CONCAT(MID(_xlpm.big,7,2),MID(_xlpm.big,5,2),MID(_xlpm.big,3,2),MID(_xlpm.big,1,2)))</f>
        <v>FEFFFFFF</v>
      </c>
      <c r="L370" s="2">
        <f t="shared" si="21"/>
        <v>0</v>
      </c>
      <c r="M370" s="2">
        <f t="shared" si="22"/>
        <v>0</v>
      </c>
      <c r="N370" s="2">
        <f t="shared" si="23"/>
        <v>0</v>
      </c>
      <c r="O370" s="2" cm="1">
        <f t="array" ref="O370">_xlfn.IFS(M370&lt;Data!$F$3,0,M370&lt;Data!$F$4,1,TRUE,2)</f>
        <v>0</v>
      </c>
      <c r="P370" s="2" cm="1">
        <f t="array" ref="P370">_xlfn.IFS(H370,3,N370&lt;Data!$F$3,0,N370&lt;Data!$F$4,1,TRUE,2)</f>
        <v>0</v>
      </c>
    </row>
    <row r="371" spans="4:16">
      <c r="D371" s="3"/>
      <c r="E371" s="3"/>
      <c r="F371" s="3"/>
      <c r="G371" s="2" t="str" cm="1">
        <f t="array" ref="G371">_xlfn.CONCAT(IFERROR(I371:K371,""))</f>
        <v>02000000FEFFFFFF</v>
      </c>
      <c r="I371" s="2" t="e">
        <f>_xlfn.LET(_xlpm.big,DEC2HEX(_xlfn.BITLSHIFT(M371-_xlfn.XLOOKUP(O371,Data!A:A,Data!F:F),4)+O371,8),_xlfn.CONCAT(MID(_xlpm.big,7,2),MID(_xlpm.big,5,2),MID(_xlpm.big,3,2),MID(_xlpm.big,1,2)))</f>
        <v>#NUM!</v>
      </c>
      <c r="J371" s="2" t="str">
        <f t="shared" si="20"/>
        <v>02000000</v>
      </c>
      <c r="K371" s="2" t="str">
        <f>_xlfn.LET(_xlpm.big,IF(H371,DEC2HEX(HEX2DEC(F371),8),DEC2HEX(N371-_xlfn.XLOOKUP(P371,Data!A:A,Data!F:F),8)),_xlfn.CONCAT(MID(_xlpm.big,7,2),MID(_xlpm.big,5,2),MID(_xlpm.big,3,2),MID(_xlpm.big,1,2)))</f>
        <v>FEFFFFFF</v>
      </c>
      <c r="L371" s="2">
        <f t="shared" si="21"/>
        <v>0</v>
      </c>
      <c r="M371" s="2">
        <f t="shared" si="22"/>
        <v>0</v>
      </c>
      <c r="N371" s="2">
        <f t="shared" si="23"/>
        <v>0</v>
      </c>
      <c r="O371" s="2" cm="1">
        <f t="array" ref="O371">_xlfn.IFS(M371&lt;Data!$F$3,0,M371&lt;Data!$F$4,1,TRUE,2)</f>
        <v>0</v>
      </c>
      <c r="P371" s="2" cm="1">
        <f t="array" ref="P371">_xlfn.IFS(H371,3,N371&lt;Data!$F$3,0,N371&lt;Data!$F$4,1,TRUE,2)</f>
        <v>0</v>
      </c>
    </row>
    <row r="372" spans="4:16">
      <c r="D372" s="3"/>
      <c r="E372" s="3"/>
      <c r="F372" s="3"/>
      <c r="G372" s="2" t="str" cm="1">
        <f t="array" ref="G372">_xlfn.CONCAT(IFERROR(I372:K372,""))</f>
        <v>02000000FEFFFFFF</v>
      </c>
      <c r="I372" s="2" t="e">
        <f>_xlfn.LET(_xlpm.big,DEC2HEX(_xlfn.BITLSHIFT(M372-_xlfn.XLOOKUP(O372,Data!A:A,Data!F:F),4)+O372,8),_xlfn.CONCAT(MID(_xlpm.big,7,2),MID(_xlpm.big,5,2),MID(_xlpm.big,3,2),MID(_xlpm.big,1,2)))</f>
        <v>#NUM!</v>
      </c>
      <c r="J372" s="2" t="str">
        <f t="shared" si="20"/>
        <v>02000000</v>
      </c>
      <c r="K372" s="2" t="str">
        <f>_xlfn.LET(_xlpm.big,IF(H372,DEC2HEX(HEX2DEC(F372),8),DEC2HEX(N372-_xlfn.XLOOKUP(P372,Data!A:A,Data!F:F),8)),_xlfn.CONCAT(MID(_xlpm.big,7,2),MID(_xlpm.big,5,2),MID(_xlpm.big,3,2),MID(_xlpm.big,1,2)))</f>
        <v>FEFFFFFF</v>
      </c>
      <c r="L372" s="2">
        <f t="shared" si="21"/>
        <v>0</v>
      </c>
      <c r="M372" s="2">
        <f t="shared" si="22"/>
        <v>0</v>
      </c>
      <c r="N372" s="2">
        <f t="shared" si="23"/>
        <v>0</v>
      </c>
      <c r="O372" s="2" cm="1">
        <f t="array" ref="O372">_xlfn.IFS(M372&lt;Data!$F$3,0,M372&lt;Data!$F$4,1,TRUE,2)</f>
        <v>0</v>
      </c>
      <c r="P372" s="2" cm="1">
        <f t="array" ref="P372">_xlfn.IFS(H372,3,N372&lt;Data!$F$3,0,N372&lt;Data!$F$4,1,TRUE,2)</f>
        <v>0</v>
      </c>
    </row>
    <row r="373" spans="4:16">
      <c r="D373" s="3"/>
      <c r="E373" s="3"/>
      <c r="F373" s="3"/>
      <c r="G373" s="2" t="str" cm="1">
        <f t="array" ref="G373">_xlfn.CONCAT(IFERROR(I373:K373,""))</f>
        <v>02000000FEFFFFFF</v>
      </c>
      <c r="I373" s="2" t="e">
        <f>_xlfn.LET(_xlpm.big,DEC2HEX(_xlfn.BITLSHIFT(M373-_xlfn.XLOOKUP(O373,Data!A:A,Data!F:F),4)+O373,8),_xlfn.CONCAT(MID(_xlpm.big,7,2),MID(_xlpm.big,5,2),MID(_xlpm.big,3,2),MID(_xlpm.big,1,2)))</f>
        <v>#NUM!</v>
      </c>
      <c r="J373" s="2" t="str">
        <f t="shared" si="20"/>
        <v>02000000</v>
      </c>
      <c r="K373" s="2" t="str">
        <f>_xlfn.LET(_xlpm.big,IF(H373,DEC2HEX(HEX2DEC(F373),8),DEC2HEX(N373-_xlfn.XLOOKUP(P373,Data!A:A,Data!F:F),8)),_xlfn.CONCAT(MID(_xlpm.big,7,2),MID(_xlpm.big,5,2),MID(_xlpm.big,3,2),MID(_xlpm.big,1,2)))</f>
        <v>FEFFFFFF</v>
      </c>
      <c r="L373" s="2">
        <f t="shared" si="21"/>
        <v>0</v>
      </c>
      <c r="M373" s="2">
        <f t="shared" si="22"/>
        <v>0</v>
      </c>
      <c r="N373" s="2">
        <f t="shared" si="23"/>
        <v>0</v>
      </c>
      <c r="O373" s="2" cm="1">
        <f t="array" ref="O373">_xlfn.IFS(M373&lt;Data!$F$3,0,M373&lt;Data!$F$4,1,TRUE,2)</f>
        <v>0</v>
      </c>
      <c r="P373" s="2" cm="1">
        <f t="array" ref="P373">_xlfn.IFS(H373,3,N373&lt;Data!$F$3,0,N373&lt;Data!$F$4,1,TRUE,2)</f>
        <v>0</v>
      </c>
    </row>
    <row r="374" spans="4:16">
      <c r="D374" s="3"/>
      <c r="E374" s="3"/>
      <c r="F374" s="3"/>
      <c r="G374" s="2" t="str" cm="1">
        <f t="array" ref="G374">_xlfn.CONCAT(IFERROR(I374:K374,""))</f>
        <v>02000000FEFFFFFF</v>
      </c>
      <c r="I374" s="2" t="e">
        <f>_xlfn.LET(_xlpm.big,DEC2HEX(_xlfn.BITLSHIFT(M374-_xlfn.XLOOKUP(O374,Data!A:A,Data!F:F),4)+O374,8),_xlfn.CONCAT(MID(_xlpm.big,7,2),MID(_xlpm.big,5,2),MID(_xlpm.big,3,2),MID(_xlpm.big,1,2)))</f>
        <v>#NUM!</v>
      </c>
      <c r="J374" s="2" t="str">
        <f t="shared" si="20"/>
        <v>02000000</v>
      </c>
      <c r="K374" s="2" t="str">
        <f>_xlfn.LET(_xlpm.big,IF(H374,DEC2HEX(HEX2DEC(F374),8),DEC2HEX(N374-_xlfn.XLOOKUP(P374,Data!A:A,Data!F:F),8)),_xlfn.CONCAT(MID(_xlpm.big,7,2),MID(_xlpm.big,5,2),MID(_xlpm.big,3,2),MID(_xlpm.big,1,2)))</f>
        <v>FEFFFFFF</v>
      </c>
      <c r="L374" s="2">
        <f t="shared" si="21"/>
        <v>0</v>
      </c>
      <c r="M374" s="2">
        <f t="shared" si="22"/>
        <v>0</v>
      </c>
      <c r="N374" s="2">
        <f t="shared" si="23"/>
        <v>0</v>
      </c>
      <c r="O374" s="2" cm="1">
        <f t="array" ref="O374">_xlfn.IFS(M374&lt;Data!$F$3,0,M374&lt;Data!$F$4,1,TRUE,2)</f>
        <v>0</v>
      </c>
      <c r="P374" s="2" cm="1">
        <f t="array" ref="P374">_xlfn.IFS(H374,3,N374&lt;Data!$F$3,0,N374&lt;Data!$F$4,1,TRUE,2)</f>
        <v>0</v>
      </c>
    </row>
    <row r="375" spans="4:16">
      <c r="D375" s="3"/>
      <c r="E375" s="3"/>
      <c r="F375" s="3"/>
      <c r="G375" s="2" t="str" cm="1">
        <f t="array" ref="G375">_xlfn.CONCAT(IFERROR(I375:K375,""))</f>
        <v>02000000FEFFFFFF</v>
      </c>
      <c r="I375" s="2" t="e">
        <f>_xlfn.LET(_xlpm.big,DEC2HEX(_xlfn.BITLSHIFT(M375-_xlfn.XLOOKUP(O375,Data!A:A,Data!F:F),4)+O375,8),_xlfn.CONCAT(MID(_xlpm.big,7,2),MID(_xlpm.big,5,2),MID(_xlpm.big,3,2),MID(_xlpm.big,1,2)))</f>
        <v>#NUM!</v>
      </c>
      <c r="J375" s="2" t="str">
        <f t="shared" si="20"/>
        <v>02000000</v>
      </c>
      <c r="K375" s="2" t="str">
        <f>_xlfn.LET(_xlpm.big,IF(H375,DEC2HEX(HEX2DEC(F375),8),DEC2HEX(N375-_xlfn.XLOOKUP(P375,Data!A:A,Data!F:F),8)),_xlfn.CONCAT(MID(_xlpm.big,7,2),MID(_xlpm.big,5,2),MID(_xlpm.big,3,2),MID(_xlpm.big,1,2)))</f>
        <v>FEFFFFFF</v>
      </c>
      <c r="L375" s="2">
        <f t="shared" si="21"/>
        <v>0</v>
      </c>
      <c r="M375" s="2">
        <f t="shared" si="22"/>
        <v>0</v>
      </c>
      <c r="N375" s="2">
        <f t="shared" si="23"/>
        <v>0</v>
      </c>
      <c r="O375" s="2" cm="1">
        <f t="array" ref="O375">_xlfn.IFS(M375&lt;Data!$F$3,0,M375&lt;Data!$F$4,1,TRUE,2)</f>
        <v>0</v>
      </c>
      <c r="P375" s="2" cm="1">
        <f t="array" ref="P375">_xlfn.IFS(H375,3,N375&lt;Data!$F$3,0,N375&lt;Data!$F$4,1,TRUE,2)</f>
        <v>0</v>
      </c>
    </row>
    <row r="376" spans="4:16">
      <c r="D376" s="3"/>
      <c r="E376" s="3"/>
      <c r="F376" s="3"/>
      <c r="G376" s="2" t="str" cm="1">
        <f t="array" ref="G376">_xlfn.CONCAT(IFERROR(I376:K376,""))</f>
        <v>02000000FEFFFFFF</v>
      </c>
      <c r="I376" s="2" t="e">
        <f>_xlfn.LET(_xlpm.big,DEC2HEX(_xlfn.BITLSHIFT(M376-_xlfn.XLOOKUP(O376,Data!A:A,Data!F:F),4)+O376,8),_xlfn.CONCAT(MID(_xlpm.big,7,2),MID(_xlpm.big,5,2),MID(_xlpm.big,3,2),MID(_xlpm.big,1,2)))</f>
        <v>#NUM!</v>
      </c>
      <c r="J376" s="2" t="str">
        <f t="shared" si="20"/>
        <v>02000000</v>
      </c>
      <c r="K376" s="2" t="str">
        <f>_xlfn.LET(_xlpm.big,IF(H376,DEC2HEX(HEX2DEC(F376),8),DEC2HEX(N376-_xlfn.XLOOKUP(P376,Data!A:A,Data!F:F),8)),_xlfn.CONCAT(MID(_xlpm.big,7,2),MID(_xlpm.big,5,2),MID(_xlpm.big,3,2),MID(_xlpm.big,1,2)))</f>
        <v>FEFFFFFF</v>
      </c>
      <c r="L376" s="2">
        <f t="shared" si="21"/>
        <v>0</v>
      </c>
      <c r="M376" s="2">
        <f t="shared" si="22"/>
        <v>0</v>
      </c>
      <c r="N376" s="2">
        <f t="shared" si="23"/>
        <v>0</v>
      </c>
      <c r="O376" s="2" cm="1">
        <f t="array" ref="O376">_xlfn.IFS(M376&lt;Data!$F$3,0,M376&lt;Data!$F$4,1,TRUE,2)</f>
        <v>0</v>
      </c>
      <c r="P376" s="2" cm="1">
        <f t="array" ref="P376">_xlfn.IFS(H376,3,N376&lt;Data!$F$3,0,N376&lt;Data!$F$4,1,TRUE,2)</f>
        <v>0</v>
      </c>
    </row>
    <row r="377" spans="4:16">
      <c r="D377" s="3"/>
      <c r="E377" s="3"/>
      <c r="F377" s="3"/>
      <c r="G377" s="2" t="str" cm="1">
        <f t="array" ref="G377">_xlfn.CONCAT(IFERROR(I377:K377,""))</f>
        <v>02000000FEFFFFFF</v>
      </c>
      <c r="I377" s="2" t="e">
        <f>_xlfn.LET(_xlpm.big,DEC2HEX(_xlfn.BITLSHIFT(M377-_xlfn.XLOOKUP(O377,Data!A:A,Data!F:F),4)+O377,8),_xlfn.CONCAT(MID(_xlpm.big,7,2),MID(_xlpm.big,5,2),MID(_xlpm.big,3,2),MID(_xlpm.big,1,2)))</f>
        <v>#NUM!</v>
      </c>
      <c r="J377" s="2" t="str">
        <f t="shared" si="20"/>
        <v>02000000</v>
      </c>
      <c r="K377" s="2" t="str">
        <f>_xlfn.LET(_xlpm.big,IF(H377,DEC2HEX(HEX2DEC(F377),8),DEC2HEX(N377-_xlfn.XLOOKUP(P377,Data!A:A,Data!F:F),8)),_xlfn.CONCAT(MID(_xlpm.big,7,2),MID(_xlpm.big,5,2),MID(_xlpm.big,3,2),MID(_xlpm.big,1,2)))</f>
        <v>FEFFFFFF</v>
      </c>
      <c r="L377" s="2">
        <f t="shared" si="21"/>
        <v>0</v>
      </c>
      <c r="M377" s="2">
        <f t="shared" si="22"/>
        <v>0</v>
      </c>
      <c r="N377" s="2">
        <f t="shared" si="23"/>
        <v>0</v>
      </c>
      <c r="O377" s="2" cm="1">
        <f t="array" ref="O377">_xlfn.IFS(M377&lt;Data!$F$3,0,M377&lt;Data!$F$4,1,TRUE,2)</f>
        <v>0</v>
      </c>
      <c r="P377" s="2" cm="1">
        <f t="array" ref="P377">_xlfn.IFS(H377,3,N377&lt;Data!$F$3,0,N377&lt;Data!$F$4,1,TRUE,2)</f>
        <v>0</v>
      </c>
    </row>
    <row r="378" spans="4:16">
      <c r="D378" s="3"/>
      <c r="E378" s="3"/>
      <c r="F378" s="3"/>
      <c r="G378" s="2" t="str" cm="1">
        <f t="array" ref="G378">_xlfn.CONCAT(IFERROR(I378:K378,""))</f>
        <v>02000000FEFFFFFF</v>
      </c>
      <c r="I378" s="2" t="e">
        <f>_xlfn.LET(_xlpm.big,DEC2HEX(_xlfn.BITLSHIFT(M378-_xlfn.XLOOKUP(O378,Data!A:A,Data!F:F),4)+O378,8),_xlfn.CONCAT(MID(_xlpm.big,7,2),MID(_xlpm.big,5,2),MID(_xlpm.big,3,2),MID(_xlpm.big,1,2)))</f>
        <v>#NUM!</v>
      </c>
      <c r="J378" s="2" t="str">
        <f t="shared" si="20"/>
        <v>02000000</v>
      </c>
      <c r="K378" s="2" t="str">
        <f>_xlfn.LET(_xlpm.big,IF(H378,DEC2HEX(HEX2DEC(F378),8),DEC2HEX(N378-_xlfn.XLOOKUP(P378,Data!A:A,Data!F:F),8)),_xlfn.CONCAT(MID(_xlpm.big,7,2),MID(_xlpm.big,5,2),MID(_xlpm.big,3,2),MID(_xlpm.big,1,2)))</f>
        <v>FEFFFFFF</v>
      </c>
      <c r="L378" s="2">
        <f t="shared" si="21"/>
        <v>0</v>
      </c>
      <c r="M378" s="2">
        <f t="shared" si="22"/>
        <v>0</v>
      </c>
      <c r="N378" s="2">
        <f t="shared" si="23"/>
        <v>0</v>
      </c>
      <c r="O378" s="2" cm="1">
        <f t="array" ref="O378">_xlfn.IFS(M378&lt;Data!$F$3,0,M378&lt;Data!$F$4,1,TRUE,2)</f>
        <v>0</v>
      </c>
      <c r="P378" s="2" cm="1">
        <f t="array" ref="P378">_xlfn.IFS(H378,3,N378&lt;Data!$F$3,0,N378&lt;Data!$F$4,1,TRUE,2)</f>
        <v>0</v>
      </c>
    </row>
    <row r="379" spans="4:16">
      <c r="D379" s="3"/>
      <c r="E379" s="3"/>
      <c r="F379" s="3"/>
      <c r="G379" s="2" t="str" cm="1">
        <f t="array" ref="G379">_xlfn.CONCAT(IFERROR(I379:K379,""))</f>
        <v>02000000FEFFFFFF</v>
      </c>
      <c r="I379" s="2" t="e">
        <f>_xlfn.LET(_xlpm.big,DEC2HEX(_xlfn.BITLSHIFT(M379-_xlfn.XLOOKUP(O379,Data!A:A,Data!F:F),4)+O379,8),_xlfn.CONCAT(MID(_xlpm.big,7,2),MID(_xlpm.big,5,2),MID(_xlpm.big,3,2),MID(_xlpm.big,1,2)))</f>
        <v>#NUM!</v>
      </c>
      <c r="J379" s="2" t="str">
        <f t="shared" si="20"/>
        <v>02000000</v>
      </c>
      <c r="K379" s="2" t="str">
        <f>_xlfn.LET(_xlpm.big,IF(H379,DEC2HEX(HEX2DEC(F379),8),DEC2HEX(N379-_xlfn.XLOOKUP(P379,Data!A:A,Data!F:F),8)),_xlfn.CONCAT(MID(_xlpm.big,7,2),MID(_xlpm.big,5,2),MID(_xlpm.big,3,2),MID(_xlpm.big,1,2)))</f>
        <v>FEFFFFFF</v>
      </c>
      <c r="L379" s="2">
        <f t="shared" si="21"/>
        <v>0</v>
      </c>
      <c r="M379" s="2">
        <f t="shared" si="22"/>
        <v>0</v>
      </c>
      <c r="N379" s="2">
        <f t="shared" si="23"/>
        <v>0</v>
      </c>
      <c r="O379" s="2" cm="1">
        <f t="array" ref="O379">_xlfn.IFS(M379&lt;Data!$F$3,0,M379&lt;Data!$F$4,1,TRUE,2)</f>
        <v>0</v>
      </c>
      <c r="P379" s="2" cm="1">
        <f t="array" ref="P379">_xlfn.IFS(H379,3,N379&lt;Data!$F$3,0,N379&lt;Data!$F$4,1,TRUE,2)</f>
        <v>0</v>
      </c>
    </row>
    <row r="380" spans="4:16">
      <c r="D380" s="3"/>
      <c r="E380" s="3"/>
      <c r="F380" s="3"/>
      <c r="G380" s="2" t="str" cm="1">
        <f t="array" ref="G380">_xlfn.CONCAT(IFERROR(I380:K380,""))</f>
        <v>02000000FEFFFFFF</v>
      </c>
      <c r="I380" s="2" t="e">
        <f>_xlfn.LET(_xlpm.big,DEC2HEX(_xlfn.BITLSHIFT(M380-_xlfn.XLOOKUP(O380,Data!A:A,Data!F:F),4)+O380,8),_xlfn.CONCAT(MID(_xlpm.big,7,2),MID(_xlpm.big,5,2),MID(_xlpm.big,3,2),MID(_xlpm.big,1,2)))</f>
        <v>#NUM!</v>
      </c>
      <c r="J380" s="2" t="str">
        <f t="shared" si="20"/>
        <v>02000000</v>
      </c>
      <c r="K380" s="2" t="str">
        <f>_xlfn.LET(_xlpm.big,IF(H380,DEC2HEX(HEX2DEC(F380),8),DEC2HEX(N380-_xlfn.XLOOKUP(P380,Data!A:A,Data!F:F),8)),_xlfn.CONCAT(MID(_xlpm.big,7,2),MID(_xlpm.big,5,2),MID(_xlpm.big,3,2),MID(_xlpm.big,1,2)))</f>
        <v>FEFFFFFF</v>
      </c>
      <c r="L380" s="2">
        <f t="shared" si="21"/>
        <v>0</v>
      </c>
      <c r="M380" s="2">
        <f t="shared" si="22"/>
        <v>0</v>
      </c>
      <c r="N380" s="2">
        <f t="shared" si="23"/>
        <v>0</v>
      </c>
      <c r="O380" s="2" cm="1">
        <f t="array" ref="O380">_xlfn.IFS(M380&lt;Data!$F$3,0,M380&lt;Data!$F$4,1,TRUE,2)</f>
        <v>0</v>
      </c>
      <c r="P380" s="2" cm="1">
        <f t="array" ref="P380">_xlfn.IFS(H380,3,N380&lt;Data!$F$3,0,N380&lt;Data!$F$4,1,TRUE,2)</f>
        <v>0</v>
      </c>
    </row>
    <row r="381" spans="4:16">
      <c r="D381" s="3"/>
      <c r="E381" s="3"/>
      <c r="F381" s="3"/>
      <c r="G381" s="2" t="str" cm="1">
        <f t="array" ref="G381">_xlfn.CONCAT(IFERROR(I381:K381,""))</f>
        <v>02000000FEFFFFFF</v>
      </c>
      <c r="I381" s="2" t="e">
        <f>_xlfn.LET(_xlpm.big,DEC2HEX(_xlfn.BITLSHIFT(M381-_xlfn.XLOOKUP(O381,Data!A:A,Data!F:F),4)+O381,8),_xlfn.CONCAT(MID(_xlpm.big,7,2),MID(_xlpm.big,5,2),MID(_xlpm.big,3,2),MID(_xlpm.big,1,2)))</f>
        <v>#NUM!</v>
      </c>
      <c r="J381" s="2" t="str">
        <f t="shared" si="20"/>
        <v>02000000</v>
      </c>
      <c r="K381" s="2" t="str">
        <f>_xlfn.LET(_xlpm.big,IF(H381,DEC2HEX(HEX2DEC(F381),8),DEC2HEX(N381-_xlfn.XLOOKUP(P381,Data!A:A,Data!F:F),8)),_xlfn.CONCAT(MID(_xlpm.big,7,2),MID(_xlpm.big,5,2),MID(_xlpm.big,3,2),MID(_xlpm.big,1,2)))</f>
        <v>FEFFFFFF</v>
      </c>
      <c r="L381" s="2">
        <f t="shared" si="21"/>
        <v>0</v>
      </c>
      <c r="M381" s="2">
        <f t="shared" si="22"/>
        <v>0</v>
      </c>
      <c r="N381" s="2">
        <f t="shared" si="23"/>
        <v>0</v>
      </c>
      <c r="O381" s="2" cm="1">
        <f t="array" ref="O381">_xlfn.IFS(M381&lt;Data!$F$3,0,M381&lt;Data!$F$4,1,TRUE,2)</f>
        <v>0</v>
      </c>
      <c r="P381" s="2" cm="1">
        <f t="array" ref="P381">_xlfn.IFS(H381,3,N381&lt;Data!$F$3,0,N381&lt;Data!$F$4,1,TRUE,2)</f>
        <v>0</v>
      </c>
    </row>
    <row r="382" spans="4:16">
      <c r="D382" s="3"/>
      <c r="E382" s="3"/>
      <c r="F382" s="3"/>
      <c r="G382" s="2" t="str" cm="1">
        <f t="array" ref="G382">_xlfn.CONCAT(IFERROR(I382:K382,""))</f>
        <v>02000000FEFFFFFF</v>
      </c>
      <c r="I382" s="2" t="e">
        <f>_xlfn.LET(_xlpm.big,DEC2HEX(_xlfn.BITLSHIFT(M382-_xlfn.XLOOKUP(O382,Data!A:A,Data!F:F),4)+O382,8),_xlfn.CONCAT(MID(_xlpm.big,7,2),MID(_xlpm.big,5,2),MID(_xlpm.big,3,2),MID(_xlpm.big,1,2)))</f>
        <v>#NUM!</v>
      </c>
      <c r="J382" s="2" t="str">
        <f t="shared" si="20"/>
        <v>02000000</v>
      </c>
      <c r="K382" s="2" t="str">
        <f>_xlfn.LET(_xlpm.big,IF(H382,DEC2HEX(HEX2DEC(F382),8),DEC2HEX(N382-_xlfn.XLOOKUP(P382,Data!A:A,Data!F:F),8)),_xlfn.CONCAT(MID(_xlpm.big,7,2),MID(_xlpm.big,5,2),MID(_xlpm.big,3,2),MID(_xlpm.big,1,2)))</f>
        <v>FEFFFFFF</v>
      </c>
      <c r="L382" s="2">
        <f t="shared" si="21"/>
        <v>0</v>
      </c>
      <c r="M382" s="2">
        <f t="shared" si="22"/>
        <v>0</v>
      </c>
      <c r="N382" s="2">
        <f t="shared" si="23"/>
        <v>0</v>
      </c>
      <c r="O382" s="2" cm="1">
        <f t="array" ref="O382">_xlfn.IFS(M382&lt;Data!$F$3,0,M382&lt;Data!$F$4,1,TRUE,2)</f>
        <v>0</v>
      </c>
      <c r="P382" s="2" cm="1">
        <f t="array" ref="P382">_xlfn.IFS(H382,3,N382&lt;Data!$F$3,0,N382&lt;Data!$F$4,1,TRUE,2)</f>
        <v>0</v>
      </c>
    </row>
    <row r="383" spans="4:16">
      <c r="D383" s="3"/>
      <c r="E383" s="3"/>
      <c r="F383" s="3"/>
      <c r="G383" s="2" t="str" cm="1">
        <f t="array" ref="G383">_xlfn.CONCAT(IFERROR(I383:K383,""))</f>
        <v>02000000FEFFFFFF</v>
      </c>
      <c r="I383" s="2" t="e">
        <f>_xlfn.LET(_xlpm.big,DEC2HEX(_xlfn.BITLSHIFT(M383-_xlfn.XLOOKUP(O383,Data!A:A,Data!F:F),4)+O383,8),_xlfn.CONCAT(MID(_xlpm.big,7,2),MID(_xlpm.big,5,2),MID(_xlpm.big,3,2),MID(_xlpm.big,1,2)))</f>
        <v>#NUM!</v>
      </c>
      <c r="J383" s="2" t="str">
        <f t="shared" si="20"/>
        <v>02000000</v>
      </c>
      <c r="K383" s="2" t="str">
        <f>_xlfn.LET(_xlpm.big,IF(H383,DEC2HEX(HEX2DEC(F383),8),DEC2HEX(N383-_xlfn.XLOOKUP(P383,Data!A:A,Data!F:F),8)),_xlfn.CONCAT(MID(_xlpm.big,7,2),MID(_xlpm.big,5,2),MID(_xlpm.big,3,2),MID(_xlpm.big,1,2)))</f>
        <v>FEFFFFFF</v>
      </c>
      <c r="L383" s="2">
        <f t="shared" si="21"/>
        <v>0</v>
      </c>
      <c r="M383" s="2">
        <f t="shared" si="22"/>
        <v>0</v>
      </c>
      <c r="N383" s="2">
        <f t="shared" si="23"/>
        <v>0</v>
      </c>
      <c r="O383" s="2" cm="1">
        <f t="array" ref="O383">_xlfn.IFS(M383&lt;Data!$F$3,0,M383&lt;Data!$F$4,1,TRUE,2)</f>
        <v>0</v>
      </c>
      <c r="P383" s="2" cm="1">
        <f t="array" ref="P383">_xlfn.IFS(H383,3,N383&lt;Data!$F$3,0,N383&lt;Data!$F$4,1,TRUE,2)</f>
        <v>0</v>
      </c>
    </row>
    <row r="384" spans="4:16">
      <c r="D384" s="3"/>
      <c r="E384" s="3"/>
      <c r="F384" s="3"/>
      <c r="G384" s="2" t="str" cm="1">
        <f t="array" ref="G384">_xlfn.CONCAT(IFERROR(I384:K384,""))</f>
        <v>02000000FEFFFFFF</v>
      </c>
      <c r="I384" s="2" t="e">
        <f>_xlfn.LET(_xlpm.big,DEC2HEX(_xlfn.BITLSHIFT(M384-_xlfn.XLOOKUP(O384,Data!A:A,Data!F:F),4)+O384,8),_xlfn.CONCAT(MID(_xlpm.big,7,2),MID(_xlpm.big,5,2),MID(_xlpm.big,3,2),MID(_xlpm.big,1,2)))</f>
        <v>#NUM!</v>
      </c>
      <c r="J384" s="2" t="str">
        <f t="shared" si="20"/>
        <v>02000000</v>
      </c>
      <c r="K384" s="2" t="str">
        <f>_xlfn.LET(_xlpm.big,IF(H384,DEC2HEX(HEX2DEC(F384),8),DEC2HEX(N384-_xlfn.XLOOKUP(P384,Data!A:A,Data!F:F),8)),_xlfn.CONCAT(MID(_xlpm.big,7,2),MID(_xlpm.big,5,2),MID(_xlpm.big,3,2),MID(_xlpm.big,1,2)))</f>
        <v>FEFFFFFF</v>
      </c>
      <c r="L384" s="2">
        <f t="shared" si="21"/>
        <v>0</v>
      </c>
      <c r="M384" s="2">
        <f t="shared" si="22"/>
        <v>0</v>
      </c>
      <c r="N384" s="2">
        <f t="shared" si="23"/>
        <v>0</v>
      </c>
      <c r="O384" s="2" cm="1">
        <f t="array" ref="O384">_xlfn.IFS(M384&lt;Data!$F$3,0,M384&lt;Data!$F$4,1,TRUE,2)</f>
        <v>0</v>
      </c>
      <c r="P384" s="2" cm="1">
        <f t="array" ref="P384">_xlfn.IFS(H384,3,N384&lt;Data!$F$3,0,N384&lt;Data!$F$4,1,TRUE,2)</f>
        <v>0</v>
      </c>
    </row>
    <row r="385" spans="4:16">
      <c r="D385" s="3"/>
      <c r="E385" s="3"/>
      <c r="F385" s="3"/>
      <c r="G385" s="2" t="str" cm="1">
        <f t="array" ref="G385">_xlfn.CONCAT(IFERROR(I385:K385,""))</f>
        <v>02000000FEFFFFFF</v>
      </c>
      <c r="I385" s="2" t="e">
        <f>_xlfn.LET(_xlpm.big,DEC2HEX(_xlfn.BITLSHIFT(M385-_xlfn.XLOOKUP(O385,Data!A:A,Data!F:F),4)+O385,8),_xlfn.CONCAT(MID(_xlpm.big,7,2),MID(_xlpm.big,5,2),MID(_xlpm.big,3,2),MID(_xlpm.big,1,2)))</f>
        <v>#NUM!</v>
      </c>
      <c r="J385" s="2" t="str">
        <f t="shared" si="20"/>
        <v>02000000</v>
      </c>
      <c r="K385" s="2" t="str">
        <f>_xlfn.LET(_xlpm.big,IF(H385,DEC2HEX(HEX2DEC(F385),8),DEC2HEX(N385-_xlfn.XLOOKUP(P385,Data!A:A,Data!F:F),8)),_xlfn.CONCAT(MID(_xlpm.big,7,2),MID(_xlpm.big,5,2),MID(_xlpm.big,3,2),MID(_xlpm.big,1,2)))</f>
        <v>FEFFFFFF</v>
      </c>
      <c r="L385" s="2">
        <f t="shared" si="21"/>
        <v>0</v>
      </c>
      <c r="M385" s="2">
        <f t="shared" si="22"/>
        <v>0</v>
      </c>
      <c r="N385" s="2">
        <f t="shared" si="23"/>
        <v>0</v>
      </c>
      <c r="O385" s="2" cm="1">
        <f t="array" ref="O385">_xlfn.IFS(M385&lt;Data!$F$3,0,M385&lt;Data!$F$4,1,TRUE,2)</f>
        <v>0</v>
      </c>
      <c r="P385" s="2" cm="1">
        <f t="array" ref="P385">_xlfn.IFS(H385,3,N385&lt;Data!$F$3,0,N385&lt;Data!$F$4,1,TRUE,2)</f>
        <v>0</v>
      </c>
    </row>
    <row r="386" spans="4:16">
      <c r="D386" s="3"/>
      <c r="E386" s="3"/>
      <c r="F386" s="3"/>
      <c r="G386" s="2" t="str" cm="1">
        <f t="array" ref="G386">_xlfn.CONCAT(IFERROR(I386:K386,""))</f>
        <v>02000000FEFFFFFF</v>
      </c>
      <c r="I386" s="2" t="e">
        <f>_xlfn.LET(_xlpm.big,DEC2HEX(_xlfn.BITLSHIFT(M386-_xlfn.XLOOKUP(O386,Data!A:A,Data!F:F),4)+O386,8),_xlfn.CONCAT(MID(_xlpm.big,7,2),MID(_xlpm.big,5,2),MID(_xlpm.big,3,2),MID(_xlpm.big,1,2)))</f>
        <v>#NUM!</v>
      </c>
      <c r="J386" s="2" t="str">
        <f t="shared" ref="J386:J449" si="24">_xlfn.CONCAT("02",DEC2HEX(P386,2),"0000")</f>
        <v>02000000</v>
      </c>
      <c r="K386" s="2" t="str">
        <f>_xlfn.LET(_xlpm.big,IF(H386,DEC2HEX(HEX2DEC(F386),8),DEC2HEX(N386-_xlfn.XLOOKUP(P386,Data!A:A,Data!F:F),8)),_xlfn.CONCAT(MID(_xlpm.big,7,2),MID(_xlpm.big,5,2),MID(_xlpm.big,3,2),MID(_xlpm.big,1,2)))</f>
        <v>FEFFFFFF</v>
      </c>
      <c r="L386" s="2">
        <f t="shared" ref="L386:L449" si="25">HEX2DEC(D386)</f>
        <v>0</v>
      </c>
      <c r="M386" s="2">
        <f t="shared" ref="M386:M449" si="26">HEX2DEC(E386)</f>
        <v>0</v>
      </c>
      <c r="N386" s="2">
        <f t="shared" ref="N386:N449" si="27">HEX2DEC(F386)</f>
        <v>0</v>
      </c>
      <c r="O386" s="2" cm="1">
        <f t="array" ref="O386">_xlfn.IFS(M386&lt;Data!$F$3,0,M386&lt;Data!$F$4,1,TRUE,2)</f>
        <v>0</v>
      </c>
      <c r="P386" s="2" cm="1">
        <f t="array" ref="P386">_xlfn.IFS(H386,3,N386&lt;Data!$F$3,0,N386&lt;Data!$F$4,1,TRUE,2)</f>
        <v>0</v>
      </c>
    </row>
    <row r="387" spans="4:16">
      <c r="D387" s="3"/>
      <c r="E387" s="3"/>
      <c r="F387" s="3"/>
      <c r="G387" s="2" t="str" cm="1">
        <f t="array" ref="G387">_xlfn.CONCAT(IFERROR(I387:K387,""))</f>
        <v>02000000FEFFFFFF</v>
      </c>
      <c r="I387" s="2" t="e">
        <f>_xlfn.LET(_xlpm.big,DEC2HEX(_xlfn.BITLSHIFT(M387-_xlfn.XLOOKUP(O387,Data!A:A,Data!F:F),4)+O387,8),_xlfn.CONCAT(MID(_xlpm.big,7,2),MID(_xlpm.big,5,2),MID(_xlpm.big,3,2),MID(_xlpm.big,1,2)))</f>
        <v>#NUM!</v>
      </c>
      <c r="J387" s="2" t="str">
        <f t="shared" si="24"/>
        <v>02000000</v>
      </c>
      <c r="K387" s="2" t="str">
        <f>_xlfn.LET(_xlpm.big,IF(H387,DEC2HEX(HEX2DEC(F387),8),DEC2HEX(N387-_xlfn.XLOOKUP(P387,Data!A:A,Data!F:F),8)),_xlfn.CONCAT(MID(_xlpm.big,7,2),MID(_xlpm.big,5,2),MID(_xlpm.big,3,2),MID(_xlpm.big,1,2)))</f>
        <v>FEFFFFFF</v>
      </c>
      <c r="L387" s="2">
        <f t="shared" si="25"/>
        <v>0</v>
      </c>
      <c r="M387" s="2">
        <f t="shared" si="26"/>
        <v>0</v>
      </c>
      <c r="N387" s="2">
        <f t="shared" si="27"/>
        <v>0</v>
      </c>
      <c r="O387" s="2" cm="1">
        <f t="array" ref="O387">_xlfn.IFS(M387&lt;Data!$F$3,0,M387&lt;Data!$F$4,1,TRUE,2)</f>
        <v>0</v>
      </c>
      <c r="P387" s="2" cm="1">
        <f t="array" ref="P387">_xlfn.IFS(H387,3,N387&lt;Data!$F$3,0,N387&lt;Data!$F$4,1,TRUE,2)</f>
        <v>0</v>
      </c>
    </row>
    <row r="388" spans="4:16">
      <c r="D388" s="3"/>
      <c r="E388" s="3"/>
      <c r="F388" s="3"/>
      <c r="G388" s="2" t="str" cm="1">
        <f t="array" ref="G388">_xlfn.CONCAT(IFERROR(I388:K388,""))</f>
        <v>02000000FEFFFFFF</v>
      </c>
      <c r="I388" s="2" t="e">
        <f>_xlfn.LET(_xlpm.big,DEC2HEX(_xlfn.BITLSHIFT(M388-_xlfn.XLOOKUP(O388,Data!A:A,Data!F:F),4)+O388,8),_xlfn.CONCAT(MID(_xlpm.big,7,2),MID(_xlpm.big,5,2),MID(_xlpm.big,3,2),MID(_xlpm.big,1,2)))</f>
        <v>#NUM!</v>
      </c>
      <c r="J388" s="2" t="str">
        <f t="shared" si="24"/>
        <v>02000000</v>
      </c>
      <c r="K388" s="2" t="str">
        <f>_xlfn.LET(_xlpm.big,IF(H388,DEC2HEX(HEX2DEC(F388),8),DEC2HEX(N388-_xlfn.XLOOKUP(P388,Data!A:A,Data!F:F),8)),_xlfn.CONCAT(MID(_xlpm.big,7,2),MID(_xlpm.big,5,2),MID(_xlpm.big,3,2),MID(_xlpm.big,1,2)))</f>
        <v>FEFFFFFF</v>
      </c>
      <c r="L388" s="2">
        <f t="shared" si="25"/>
        <v>0</v>
      </c>
      <c r="M388" s="2">
        <f t="shared" si="26"/>
        <v>0</v>
      </c>
      <c r="N388" s="2">
        <f t="shared" si="27"/>
        <v>0</v>
      </c>
      <c r="O388" s="2" cm="1">
        <f t="array" ref="O388">_xlfn.IFS(M388&lt;Data!$F$3,0,M388&lt;Data!$F$4,1,TRUE,2)</f>
        <v>0</v>
      </c>
      <c r="P388" s="2" cm="1">
        <f t="array" ref="P388">_xlfn.IFS(H388,3,N388&lt;Data!$F$3,0,N388&lt;Data!$F$4,1,TRUE,2)</f>
        <v>0</v>
      </c>
    </row>
    <row r="389" spans="4:16">
      <c r="D389" s="3"/>
      <c r="E389" s="3"/>
      <c r="F389" s="3"/>
      <c r="G389" s="2" t="str" cm="1">
        <f t="array" ref="G389">_xlfn.CONCAT(IFERROR(I389:K389,""))</f>
        <v>02000000FEFFFFFF</v>
      </c>
      <c r="I389" s="2" t="e">
        <f>_xlfn.LET(_xlpm.big,DEC2HEX(_xlfn.BITLSHIFT(M389-_xlfn.XLOOKUP(O389,Data!A:A,Data!F:F),4)+O389,8),_xlfn.CONCAT(MID(_xlpm.big,7,2),MID(_xlpm.big,5,2),MID(_xlpm.big,3,2),MID(_xlpm.big,1,2)))</f>
        <v>#NUM!</v>
      </c>
      <c r="J389" s="2" t="str">
        <f t="shared" si="24"/>
        <v>02000000</v>
      </c>
      <c r="K389" s="2" t="str">
        <f>_xlfn.LET(_xlpm.big,IF(H389,DEC2HEX(HEX2DEC(F389),8),DEC2HEX(N389-_xlfn.XLOOKUP(P389,Data!A:A,Data!F:F),8)),_xlfn.CONCAT(MID(_xlpm.big,7,2),MID(_xlpm.big,5,2),MID(_xlpm.big,3,2),MID(_xlpm.big,1,2)))</f>
        <v>FEFFFFFF</v>
      </c>
      <c r="L389" s="2">
        <f t="shared" si="25"/>
        <v>0</v>
      </c>
      <c r="M389" s="2">
        <f t="shared" si="26"/>
        <v>0</v>
      </c>
      <c r="N389" s="2">
        <f t="shared" si="27"/>
        <v>0</v>
      </c>
      <c r="O389" s="2" cm="1">
        <f t="array" ref="O389">_xlfn.IFS(M389&lt;Data!$F$3,0,M389&lt;Data!$F$4,1,TRUE,2)</f>
        <v>0</v>
      </c>
      <c r="P389" s="2" cm="1">
        <f t="array" ref="P389">_xlfn.IFS(H389,3,N389&lt;Data!$F$3,0,N389&lt;Data!$F$4,1,TRUE,2)</f>
        <v>0</v>
      </c>
    </row>
    <row r="390" spans="4:16">
      <c r="D390" s="3"/>
      <c r="E390" s="3"/>
      <c r="F390" s="3"/>
      <c r="G390" s="2" t="str" cm="1">
        <f t="array" ref="G390">_xlfn.CONCAT(IFERROR(I390:K390,""))</f>
        <v>02000000FEFFFFFF</v>
      </c>
      <c r="I390" s="2" t="e">
        <f>_xlfn.LET(_xlpm.big,DEC2HEX(_xlfn.BITLSHIFT(M390-_xlfn.XLOOKUP(O390,Data!A:A,Data!F:F),4)+O390,8),_xlfn.CONCAT(MID(_xlpm.big,7,2),MID(_xlpm.big,5,2),MID(_xlpm.big,3,2),MID(_xlpm.big,1,2)))</f>
        <v>#NUM!</v>
      </c>
      <c r="J390" s="2" t="str">
        <f t="shared" si="24"/>
        <v>02000000</v>
      </c>
      <c r="K390" s="2" t="str">
        <f>_xlfn.LET(_xlpm.big,IF(H390,DEC2HEX(HEX2DEC(F390),8),DEC2HEX(N390-_xlfn.XLOOKUP(P390,Data!A:A,Data!F:F),8)),_xlfn.CONCAT(MID(_xlpm.big,7,2),MID(_xlpm.big,5,2),MID(_xlpm.big,3,2),MID(_xlpm.big,1,2)))</f>
        <v>FEFFFFFF</v>
      </c>
      <c r="L390" s="2">
        <f t="shared" si="25"/>
        <v>0</v>
      </c>
      <c r="M390" s="2">
        <f t="shared" si="26"/>
        <v>0</v>
      </c>
      <c r="N390" s="2">
        <f t="shared" si="27"/>
        <v>0</v>
      </c>
      <c r="O390" s="2" cm="1">
        <f t="array" ref="O390">_xlfn.IFS(M390&lt;Data!$F$3,0,M390&lt;Data!$F$4,1,TRUE,2)</f>
        <v>0</v>
      </c>
      <c r="P390" s="2" cm="1">
        <f t="array" ref="P390">_xlfn.IFS(H390,3,N390&lt;Data!$F$3,0,N390&lt;Data!$F$4,1,TRUE,2)</f>
        <v>0</v>
      </c>
    </row>
    <row r="391" spans="4:16">
      <c r="D391" s="3"/>
      <c r="E391" s="3"/>
      <c r="F391" s="3"/>
      <c r="G391" s="2" t="str" cm="1">
        <f t="array" ref="G391">_xlfn.CONCAT(IFERROR(I391:K391,""))</f>
        <v>02000000FEFFFFFF</v>
      </c>
      <c r="I391" s="2" t="e">
        <f>_xlfn.LET(_xlpm.big,DEC2HEX(_xlfn.BITLSHIFT(M391-_xlfn.XLOOKUP(O391,Data!A:A,Data!F:F),4)+O391,8),_xlfn.CONCAT(MID(_xlpm.big,7,2),MID(_xlpm.big,5,2),MID(_xlpm.big,3,2),MID(_xlpm.big,1,2)))</f>
        <v>#NUM!</v>
      </c>
      <c r="J391" s="2" t="str">
        <f t="shared" si="24"/>
        <v>02000000</v>
      </c>
      <c r="K391" s="2" t="str">
        <f>_xlfn.LET(_xlpm.big,IF(H391,DEC2HEX(HEX2DEC(F391),8),DEC2HEX(N391-_xlfn.XLOOKUP(P391,Data!A:A,Data!F:F),8)),_xlfn.CONCAT(MID(_xlpm.big,7,2),MID(_xlpm.big,5,2),MID(_xlpm.big,3,2),MID(_xlpm.big,1,2)))</f>
        <v>FEFFFFFF</v>
      </c>
      <c r="L391" s="2">
        <f t="shared" si="25"/>
        <v>0</v>
      </c>
      <c r="M391" s="2">
        <f t="shared" si="26"/>
        <v>0</v>
      </c>
      <c r="N391" s="2">
        <f t="shared" si="27"/>
        <v>0</v>
      </c>
      <c r="O391" s="2" cm="1">
        <f t="array" ref="O391">_xlfn.IFS(M391&lt;Data!$F$3,0,M391&lt;Data!$F$4,1,TRUE,2)</f>
        <v>0</v>
      </c>
      <c r="P391" s="2" cm="1">
        <f t="array" ref="P391">_xlfn.IFS(H391,3,N391&lt;Data!$F$3,0,N391&lt;Data!$F$4,1,TRUE,2)</f>
        <v>0</v>
      </c>
    </row>
    <row r="392" spans="4:16">
      <c r="D392" s="3"/>
      <c r="E392" s="3"/>
      <c r="F392" s="3"/>
      <c r="G392" s="2" t="str" cm="1">
        <f t="array" ref="G392">_xlfn.CONCAT(IFERROR(I392:K392,""))</f>
        <v>02000000FEFFFFFF</v>
      </c>
      <c r="I392" s="2" t="e">
        <f>_xlfn.LET(_xlpm.big,DEC2HEX(_xlfn.BITLSHIFT(M392-_xlfn.XLOOKUP(O392,Data!A:A,Data!F:F),4)+O392,8),_xlfn.CONCAT(MID(_xlpm.big,7,2),MID(_xlpm.big,5,2),MID(_xlpm.big,3,2),MID(_xlpm.big,1,2)))</f>
        <v>#NUM!</v>
      </c>
      <c r="J392" s="2" t="str">
        <f t="shared" si="24"/>
        <v>02000000</v>
      </c>
      <c r="K392" s="2" t="str">
        <f>_xlfn.LET(_xlpm.big,IF(H392,DEC2HEX(HEX2DEC(F392),8),DEC2HEX(N392-_xlfn.XLOOKUP(P392,Data!A:A,Data!F:F),8)),_xlfn.CONCAT(MID(_xlpm.big,7,2),MID(_xlpm.big,5,2),MID(_xlpm.big,3,2),MID(_xlpm.big,1,2)))</f>
        <v>FEFFFFFF</v>
      </c>
      <c r="L392" s="2">
        <f t="shared" si="25"/>
        <v>0</v>
      </c>
      <c r="M392" s="2">
        <f t="shared" si="26"/>
        <v>0</v>
      </c>
      <c r="N392" s="2">
        <f t="shared" si="27"/>
        <v>0</v>
      </c>
      <c r="O392" s="2" cm="1">
        <f t="array" ref="O392">_xlfn.IFS(M392&lt;Data!$F$3,0,M392&lt;Data!$F$4,1,TRUE,2)</f>
        <v>0</v>
      </c>
      <c r="P392" s="2" cm="1">
        <f t="array" ref="P392">_xlfn.IFS(H392,3,N392&lt;Data!$F$3,0,N392&lt;Data!$F$4,1,TRUE,2)</f>
        <v>0</v>
      </c>
    </row>
    <row r="393" spans="4:16">
      <c r="D393" s="3"/>
      <c r="E393" s="3"/>
      <c r="F393" s="3"/>
      <c r="G393" s="2" t="str" cm="1">
        <f t="array" ref="G393">_xlfn.CONCAT(IFERROR(I393:K393,""))</f>
        <v>02000000FEFFFFFF</v>
      </c>
      <c r="I393" s="2" t="e">
        <f>_xlfn.LET(_xlpm.big,DEC2HEX(_xlfn.BITLSHIFT(M393-_xlfn.XLOOKUP(O393,Data!A:A,Data!F:F),4)+O393,8),_xlfn.CONCAT(MID(_xlpm.big,7,2),MID(_xlpm.big,5,2),MID(_xlpm.big,3,2),MID(_xlpm.big,1,2)))</f>
        <v>#NUM!</v>
      </c>
      <c r="J393" s="2" t="str">
        <f t="shared" si="24"/>
        <v>02000000</v>
      </c>
      <c r="K393" s="2" t="str">
        <f>_xlfn.LET(_xlpm.big,IF(H393,DEC2HEX(HEX2DEC(F393),8),DEC2HEX(N393-_xlfn.XLOOKUP(P393,Data!A:A,Data!F:F),8)),_xlfn.CONCAT(MID(_xlpm.big,7,2),MID(_xlpm.big,5,2),MID(_xlpm.big,3,2),MID(_xlpm.big,1,2)))</f>
        <v>FEFFFFFF</v>
      </c>
      <c r="L393" s="2">
        <f t="shared" si="25"/>
        <v>0</v>
      </c>
      <c r="M393" s="2">
        <f t="shared" si="26"/>
        <v>0</v>
      </c>
      <c r="N393" s="2">
        <f t="shared" si="27"/>
        <v>0</v>
      </c>
      <c r="O393" s="2" cm="1">
        <f t="array" ref="O393">_xlfn.IFS(M393&lt;Data!$F$3,0,M393&lt;Data!$F$4,1,TRUE,2)</f>
        <v>0</v>
      </c>
      <c r="P393" s="2" cm="1">
        <f t="array" ref="P393">_xlfn.IFS(H393,3,N393&lt;Data!$F$3,0,N393&lt;Data!$F$4,1,TRUE,2)</f>
        <v>0</v>
      </c>
    </row>
    <row r="394" spans="4:16">
      <c r="D394" s="3"/>
      <c r="E394" s="3"/>
      <c r="F394" s="3"/>
      <c r="G394" s="2" t="str" cm="1">
        <f t="array" ref="G394">_xlfn.CONCAT(IFERROR(I394:K394,""))</f>
        <v>02000000FEFFFFFF</v>
      </c>
      <c r="I394" s="2" t="e">
        <f>_xlfn.LET(_xlpm.big,DEC2HEX(_xlfn.BITLSHIFT(M394-_xlfn.XLOOKUP(O394,Data!A:A,Data!F:F),4)+O394,8),_xlfn.CONCAT(MID(_xlpm.big,7,2),MID(_xlpm.big,5,2),MID(_xlpm.big,3,2),MID(_xlpm.big,1,2)))</f>
        <v>#NUM!</v>
      </c>
      <c r="J394" s="2" t="str">
        <f t="shared" si="24"/>
        <v>02000000</v>
      </c>
      <c r="K394" s="2" t="str">
        <f>_xlfn.LET(_xlpm.big,IF(H394,DEC2HEX(HEX2DEC(F394),8),DEC2HEX(N394-_xlfn.XLOOKUP(P394,Data!A:A,Data!F:F),8)),_xlfn.CONCAT(MID(_xlpm.big,7,2),MID(_xlpm.big,5,2),MID(_xlpm.big,3,2),MID(_xlpm.big,1,2)))</f>
        <v>FEFFFFFF</v>
      </c>
      <c r="L394" s="2">
        <f t="shared" si="25"/>
        <v>0</v>
      </c>
      <c r="M394" s="2">
        <f t="shared" si="26"/>
        <v>0</v>
      </c>
      <c r="N394" s="2">
        <f t="shared" si="27"/>
        <v>0</v>
      </c>
      <c r="O394" s="2" cm="1">
        <f t="array" ref="O394">_xlfn.IFS(M394&lt;Data!$F$3,0,M394&lt;Data!$F$4,1,TRUE,2)</f>
        <v>0</v>
      </c>
      <c r="P394" s="2" cm="1">
        <f t="array" ref="P394">_xlfn.IFS(H394,3,N394&lt;Data!$F$3,0,N394&lt;Data!$F$4,1,TRUE,2)</f>
        <v>0</v>
      </c>
    </row>
    <row r="395" spans="4:16">
      <c r="D395" s="3"/>
      <c r="E395" s="3"/>
      <c r="F395" s="3"/>
      <c r="G395" s="2" t="str" cm="1">
        <f t="array" ref="G395">_xlfn.CONCAT(IFERROR(I395:K395,""))</f>
        <v>02000000FEFFFFFF</v>
      </c>
      <c r="I395" s="2" t="e">
        <f>_xlfn.LET(_xlpm.big,DEC2HEX(_xlfn.BITLSHIFT(M395-_xlfn.XLOOKUP(O395,Data!A:A,Data!F:F),4)+O395,8),_xlfn.CONCAT(MID(_xlpm.big,7,2),MID(_xlpm.big,5,2),MID(_xlpm.big,3,2),MID(_xlpm.big,1,2)))</f>
        <v>#NUM!</v>
      </c>
      <c r="J395" s="2" t="str">
        <f t="shared" si="24"/>
        <v>02000000</v>
      </c>
      <c r="K395" s="2" t="str">
        <f>_xlfn.LET(_xlpm.big,IF(H395,DEC2HEX(HEX2DEC(F395),8),DEC2HEX(N395-_xlfn.XLOOKUP(P395,Data!A:A,Data!F:F),8)),_xlfn.CONCAT(MID(_xlpm.big,7,2),MID(_xlpm.big,5,2),MID(_xlpm.big,3,2),MID(_xlpm.big,1,2)))</f>
        <v>FEFFFFFF</v>
      </c>
      <c r="L395" s="2">
        <f t="shared" si="25"/>
        <v>0</v>
      </c>
      <c r="M395" s="2">
        <f t="shared" si="26"/>
        <v>0</v>
      </c>
      <c r="N395" s="2">
        <f t="shared" si="27"/>
        <v>0</v>
      </c>
      <c r="O395" s="2" cm="1">
        <f t="array" ref="O395">_xlfn.IFS(M395&lt;Data!$F$3,0,M395&lt;Data!$F$4,1,TRUE,2)</f>
        <v>0</v>
      </c>
      <c r="P395" s="2" cm="1">
        <f t="array" ref="P395">_xlfn.IFS(H395,3,N395&lt;Data!$F$3,0,N395&lt;Data!$F$4,1,TRUE,2)</f>
        <v>0</v>
      </c>
    </row>
    <row r="396" spans="4:16">
      <c r="D396" s="3"/>
      <c r="E396" s="3"/>
      <c r="F396" s="3"/>
      <c r="G396" s="2" t="str" cm="1">
        <f t="array" ref="G396">_xlfn.CONCAT(IFERROR(I396:K396,""))</f>
        <v>0203000000000000</v>
      </c>
      <c r="H396" s="2" t="b">
        <v>1</v>
      </c>
      <c r="I396" s="2" t="e">
        <f>_xlfn.LET(_xlpm.big,DEC2HEX(_xlfn.BITLSHIFT(M396-_xlfn.XLOOKUP(O396,Data!A:A,Data!F:F),4)+O396,8),_xlfn.CONCAT(MID(_xlpm.big,7,2),MID(_xlpm.big,5,2),MID(_xlpm.big,3,2),MID(_xlpm.big,1,2)))</f>
        <v>#NUM!</v>
      </c>
      <c r="J396" s="2" t="str">
        <f t="shared" si="24"/>
        <v>02030000</v>
      </c>
      <c r="K396" s="2" t="str">
        <f>_xlfn.LET(_xlpm.big,IF(H396,DEC2HEX(HEX2DEC(F396),8),DEC2HEX(N396-_xlfn.XLOOKUP(P396,Data!A:A,Data!F:F),8)),_xlfn.CONCAT(MID(_xlpm.big,7,2),MID(_xlpm.big,5,2),MID(_xlpm.big,3,2),MID(_xlpm.big,1,2)))</f>
        <v>00000000</v>
      </c>
      <c r="L396" s="2">
        <f t="shared" si="25"/>
        <v>0</v>
      </c>
      <c r="M396" s="2">
        <f t="shared" si="26"/>
        <v>0</v>
      </c>
      <c r="N396" s="2">
        <f t="shared" si="27"/>
        <v>0</v>
      </c>
      <c r="O396" s="2" cm="1">
        <f t="array" ref="O396">_xlfn.IFS(M396&lt;Data!$F$3,0,M396&lt;Data!$F$4,1,TRUE,2)</f>
        <v>0</v>
      </c>
      <c r="P396" s="2" cm="1">
        <f t="array" ref="P396">_xlfn.IFS(H396,3,N396&lt;Data!$F$3,0,N396&lt;Data!$F$4,1,TRUE,2)</f>
        <v>3</v>
      </c>
    </row>
    <row r="397" spans="4:16">
      <c r="D397" s="3"/>
      <c r="E397" s="3"/>
      <c r="F397" s="3"/>
      <c r="G397" s="2" t="str" cm="1">
        <f t="array" ref="G397">_xlfn.CONCAT(IFERROR(I397:K397,""))</f>
        <v>0203000000000000</v>
      </c>
      <c r="H397" s="2" t="b">
        <v>1</v>
      </c>
      <c r="I397" s="2" t="e">
        <f>_xlfn.LET(_xlpm.big,DEC2HEX(_xlfn.BITLSHIFT(M397-_xlfn.XLOOKUP(O397,Data!A:A,Data!F:F),4)+O397,8),_xlfn.CONCAT(MID(_xlpm.big,7,2),MID(_xlpm.big,5,2),MID(_xlpm.big,3,2),MID(_xlpm.big,1,2)))</f>
        <v>#NUM!</v>
      </c>
      <c r="J397" s="2" t="str">
        <f t="shared" si="24"/>
        <v>02030000</v>
      </c>
      <c r="K397" s="2" t="str">
        <f>_xlfn.LET(_xlpm.big,IF(H397,DEC2HEX(HEX2DEC(F397),8),DEC2HEX(N397-_xlfn.XLOOKUP(P397,Data!A:A,Data!F:F),8)),_xlfn.CONCAT(MID(_xlpm.big,7,2),MID(_xlpm.big,5,2),MID(_xlpm.big,3,2),MID(_xlpm.big,1,2)))</f>
        <v>00000000</v>
      </c>
      <c r="L397" s="2">
        <f t="shared" si="25"/>
        <v>0</v>
      </c>
      <c r="M397" s="2">
        <f t="shared" si="26"/>
        <v>0</v>
      </c>
      <c r="N397" s="2">
        <f t="shared" si="27"/>
        <v>0</v>
      </c>
      <c r="O397" s="2" cm="1">
        <f t="array" ref="O397">_xlfn.IFS(M397&lt;Data!$F$3,0,M397&lt;Data!$F$4,1,TRUE,2)</f>
        <v>0</v>
      </c>
      <c r="P397" s="2" cm="1">
        <f t="array" ref="P397">_xlfn.IFS(H397,3,N397&lt;Data!$F$3,0,N397&lt;Data!$F$4,1,TRUE,2)</f>
        <v>3</v>
      </c>
    </row>
    <row r="398" spans="4:16">
      <c r="D398" s="3"/>
      <c r="E398" s="3"/>
      <c r="F398" s="3"/>
      <c r="G398" s="2" t="str" cm="1">
        <f t="array" ref="G398">_xlfn.CONCAT(IFERROR(I398:K398,""))</f>
        <v>0203000000000000</v>
      </c>
      <c r="H398" s="2" t="b">
        <v>1</v>
      </c>
      <c r="I398" s="2" t="e">
        <f>_xlfn.LET(_xlpm.big,DEC2HEX(_xlfn.BITLSHIFT(M398-_xlfn.XLOOKUP(O398,Data!A:A,Data!F:F),4)+O398,8),_xlfn.CONCAT(MID(_xlpm.big,7,2),MID(_xlpm.big,5,2),MID(_xlpm.big,3,2),MID(_xlpm.big,1,2)))</f>
        <v>#NUM!</v>
      </c>
      <c r="J398" s="2" t="str">
        <f t="shared" si="24"/>
        <v>02030000</v>
      </c>
      <c r="K398" s="2" t="str">
        <f>_xlfn.LET(_xlpm.big,IF(H398,DEC2HEX(HEX2DEC(F398),8),DEC2HEX(N398-_xlfn.XLOOKUP(P398,Data!A:A,Data!F:F),8)),_xlfn.CONCAT(MID(_xlpm.big,7,2),MID(_xlpm.big,5,2),MID(_xlpm.big,3,2),MID(_xlpm.big,1,2)))</f>
        <v>00000000</v>
      </c>
      <c r="L398" s="2">
        <f t="shared" si="25"/>
        <v>0</v>
      </c>
      <c r="M398" s="2">
        <f t="shared" si="26"/>
        <v>0</v>
      </c>
      <c r="N398" s="2">
        <f t="shared" si="27"/>
        <v>0</v>
      </c>
      <c r="O398" s="2" cm="1">
        <f t="array" ref="O398">_xlfn.IFS(M398&lt;Data!$F$3,0,M398&lt;Data!$F$4,1,TRUE,2)</f>
        <v>0</v>
      </c>
      <c r="P398" s="2" cm="1">
        <f t="array" ref="P398">_xlfn.IFS(H398,3,N398&lt;Data!$F$3,0,N398&lt;Data!$F$4,1,TRUE,2)</f>
        <v>3</v>
      </c>
    </row>
    <row r="399" spans="4:16">
      <c r="D399" s="3"/>
      <c r="E399" s="3"/>
      <c r="F399" s="3"/>
      <c r="G399" s="2" t="str" cm="1">
        <f t="array" ref="G399">_xlfn.CONCAT(IFERROR(I399:K399,""))</f>
        <v>02000000FEFFFFFF</v>
      </c>
      <c r="I399" s="2" t="e">
        <f>_xlfn.LET(_xlpm.big,DEC2HEX(_xlfn.BITLSHIFT(M399-_xlfn.XLOOKUP(O399,Data!A:A,Data!F:F),4)+O399,8),_xlfn.CONCAT(MID(_xlpm.big,7,2),MID(_xlpm.big,5,2),MID(_xlpm.big,3,2),MID(_xlpm.big,1,2)))</f>
        <v>#NUM!</v>
      </c>
      <c r="J399" s="2" t="str">
        <f t="shared" si="24"/>
        <v>02000000</v>
      </c>
      <c r="K399" s="2" t="str">
        <f>_xlfn.LET(_xlpm.big,IF(H399,DEC2HEX(HEX2DEC(F399),8),DEC2HEX(N399-_xlfn.XLOOKUP(P399,Data!A:A,Data!F:F),8)),_xlfn.CONCAT(MID(_xlpm.big,7,2),MID(_xlpm.big,5,2),MID(_xlpm.big,3,2),MID(_xlpm.big,1,2)))</f>
        <v>FEFFFFFF</v>
      </c>
      <c r="L399" s="2">
        <f t="shared" si="25"/>
        <v>0</v>
      </c>
      <c r="M399" s="2">
        <f t="shared" si="26"/>
        <v>0</v>
      </c>
      <c r="N399" s="2">
        <f t="shared" si="27"/>
        <v>0</v>
      </c>
      <c r="O399" s="2" cm="1">
        <f t="array" ref="O399">_xlfn.IFS(M399&lt;Data!$F$3,0,M399&lt;Data!$F$4,1,TRUE,2)</f>
        <v>0</v>
      </c>
      <c r="P399" s="2" cm="1">
        <f t="array" ref="P399">_xlfn.IFS(H399,3,N399&lt;Data!$F$3,0,N399&lt;Data!$F$4,1,TRUE,2)</f>
        <v>0</v>
      </c>
    </row>
    <row r="400" spans="4:16">
      <c r="D400" s="3"/>
      <c r="E400" s="3"/>
      <c r="F400" s="3"/>
      <c r="G400" s="2" t="str" cm="1">
        <f t="array" ref="G400">_xlfn.CONCAT(IFERROR(I400:K400,""))</f>
        <v>02000000FEFFFFFF</v>
      </c>
      <c r="I400" s="2" t="e">
        <f>_xlfn.LET(_xlpm.big,DEC2HEX(_xlfn.BITLSHIFT(M400-_xlfn.XLOOKUP(O400,Data!A:A,Data!F:F),4)+O400,8),_xlfn.CONCAT(MID(_xlpm.big,7,2),MID(_xlpm.big,5,2),MID(_xlpm.big,3,2),MID(_xlpm.big,1,2)))</f>
        <v>#NUM!</v>
      </c>
      <c r="J400" s="2" t="str">
        <f t="shared" si="24"/>
        <v>02000000</v>
      </c>
      <c r="K400" s="2" t="str">
        <f>_xlfn.LET(_xlpm.big,IF(H400,DEC2HEX(HEX2DEC(F400),8),DEC2HEX(N400-_xlfn.XLOOKUP(P400,Data!A:A,Data!F:F),8)),_xlfn.CONCAT(MID(_xlpm.big,7,2),MID(_xlpm.big,5,2),MID(_xlpm.big,3,2),MID(_xlpm.big,1,2)))</f>
        <v>FEFFFFFF</v>
      </c>
      <c r="L400" s="2">
        <f t="shared" si="25"/>
        <v>0</v>
      </c>
      <c r="M400" s="2">
        <f t="shared" si="26"/>
        <v>0</v>
      </c>
      <c r="N400" s="2">
        <f t="shared" si="27"/>
        <v>0</v>
      </c>
      <c r="O400" s="2" cm="1">
        <f t="array" ref="O400">_xlfn.IFS(M400&lt;Data!$F$3,0,M400&lt;Data!$F$4,1,TRUE,2)</f>
        <v>0</v>
      </c>
      <c r="P400" s="2" cm="1">
        <f t="array" ref="P400">_xlfn.IFS(H400,3,N400&lt;Data!$F$3,0,N400&lt;Data!$F$4,1,TRUE,2)</f>
        <v>0</v>
      </c>
    </row>
    <row r="401" spans="4:16">
      <c r="D401" s="3"/>
      <c r="E401" s="3"/>
      <c r="F401" s="3"/>
      <c r="G401" s="2" t="str" cm="1">
        <f t="array" ref="G401">_xlfn.CONCAT(IFERROR(I401:K401,""))</f>
        <v>02000000FEFFFFFF</v>
      </c>
      <c r="I401" s="2" t="e">
        <f>_xlfn.LET(_xlpm.big,DEC2HEX(_xlfn.BITLSHIFT(M401-_xlfn.XLOOKUP(O401,Data!A:A,Data!F:F),4)+O401,8),_xlfn.CONCAT(MID(_xlpm.big,7,2),MID(_xlpm.big,5,2),MID(_xlpm.big,3,2),MID(_xlpm.big,1,2)))</f>
        <v>#NUM!</v>
      </c>
      <c r="J401" s="2" t="str">
        <f t="shared" si="24"/>
        <v>02000000</v>
      </c>
      <c r="K401" s="2" t="str">
        <f>_xlfn.LET(_xlpm.big,IF(H401,DEC2HEX(HEX2DEC(F401),8),DEC2HEX(N401-_xlfn.XLOOKUP(P401,Data!A:A,Data!F:F),8)),_xlfn.CONCAT(MID(_xlpm.big,7,2),MID(_xlpm.big,5,2),MID(_xlpm.big,3,2),MID(_xlpm.big,1,2)))</f>
        <v>FEFFFFFF</v>
      </c>
      <c r="L401" s="2">
        <f t="shared" si="25"/>
        <v>0</v>
      </c>
      <c r="M401" s="2">
        <f t="shared" si="26"/>
        <v>0</v>
      </c>
      <c r="N401" s="2">
        <f t="shared" si="27"/>
        <v>0</v>
      </c>
      <c r="O401" s="2" cm="1">
        <f t="array" ref="O401">_xlfn.IFS(M401&lt;Data!$F$3,0,M401&lt;Data!$F$4,1,TRUE,2)</f>
        <v>0</v>
      </c>
      <c r="P401" s="2" cm="1">
        <f t="array" ref="P401">_xlfn.IFS(H401,3,N401&lt;Data!$F$3,0,N401&lt;Data!$F$4,1,TRUE,2)</f>
        <v>0</v>
      </c>
    </row>
    <row r="402" spans="4:16">
      <c r="D402" s="3"/>
      <c r="E402" s="3"/>
      <c r="F402" s="3"/>
      <c r="G402" s="2" t="str" cm="1">
        <f t="array" ref="G402">_xlfn.CONCAT(IFERROR(I402:K402,""))</f>
        <v>02000000FEFFFFFF</v>
      </c>
      <c r="I402" s="2" t="e">
        <f>_xlfn.LET(_xlpm.big,DEC2HEX(_xlfn.BITLSHIFT(M402-_xlfn.XLOOKUP(O402,Data!A:A,Data!F:F),4)+O402,8),_xlfn.CONCAT(MID(_xlpm.big,7,2),MID(_xlpm.big,5,2),MID(_xlpm.big,3,2),MID(_xlpm.big,1,2)))</f>
        <v>#NUM!</v>
      </c>
      <c r="J402" s="2" t="str">
        <f t="shared" si="24"/>
        <v>02000000</v>
      </c>
      <c r="K402" s="2" t="str">
        <f>_xlfn.LET(_xlpm.big,IF(H402,DEC2HEX(HEX2DEC(F402),8),DEC2HEX(N402-_xlfn.XLOOKUP(P402,Data!A:A,Data!F:F),8)),_xlfn.CONCAT(MID(_xlpm.big,7,2),MID(_xlpm.big,5,2),MID(_xlpm.big,3,2),MID(_xlpm.big,1,2)))</f>
        <v>FEFFFFFF</v>
      </c>
      <c r="L402" s="2">
        <f t="shared" si="25"/>
        <v>0</v>
      </c>
      <c r="M402" s="2">
        <f t="shared" si="26"/>
        <v>0</v>
      </c>
      <c r="N402" s="2">
        <f t="shared" si="27"/>
        <v>0</v>
      </c>
      <c r="O402" s="2" cm="1">
        <f t="array" ref="O402">_xlfn.IFS(M402&lt;Data!$F$3,0,M402&lt;Data!$F$4,1,TRUE,2)</f>
        <v>0</v>
      </c>
      <c r="P402" s="2" cm="1">
        <f t="array" ref="P402">_xlfn.IFS(H402,3,N402&lt;Data!$F$3,0,N402&lt;Data!$F$4,1,TRUE,2)</f>
        <v>0</v>
      </c>
    </row>
    <row r="403" spans="4:16">
      <c r="D403" s="3"/>
      <c r="E403" s="3"/>
      <c r="F403" s="3"/>
      <c r="G403" s="2" t="str" cm="1">
        <f t="array" ref="G403">_xlfn.CONCAT(IFERROR(I403:K403,""))</f>
        <v>02000000FEFFFFFF</v>
      </c>
      <c r="I403" s="2" t="e">
        <f>_xlfn.LET(_xlpm.big,DEC2HEX(_xlfn.BITLSHIFT(M403-_xlfn.XLOOKUP(O403,Data!A:A,Data!F:F),4)+O403,8),_xlfn.CONCAT(MID(_xlpm.big,7,2),MID(_xlpm.big,5,2),MID(_xlpm.big,3,2),MID(_xlpm.big,1,2)))</f>
        <v>#NUM!</v>
      </c>
      <c r="J403" s="2" t="str">
        <f t="shared" si="24"/>
        <v>02000000</v>
      </c>
      <c r="K403" s="2" t="str">
        <f>_xlfn.LET(_xlpm.big,IF(H403,DEC2HEX(HEX2DEC(F403),8),DEC2HEX(N403-_xlfn.XLOOKUP(P403,Data!A:A,Data!F:F),8)),_xlfn.CONCAT(MID(_xlpm.big,7,2),MID(_xlpm.big,5,2),MID(_xlpm.big,3,2),MID(_xlpm.big,1,2)))</f>
        <v>FEFFFFFF</v>
      </c>
      <c r="L403" s="2">
        <f t="shared" si="25"/>
        <v>0</v>
      </c>
      <c r="M403" s="2">
        <f t="shared" si="26"/>
        <v>0</v>
      </c>
      <c r="N403" s="2">
        <f t="shared" si="27"/>
        <v>0</v>
      </c>
      <c r="O403" s="2" cm="1">
        <f t="array" ref="O403">_xlfn.IFS(M403&lt;Data!$F$3,0,M403&lt;Data!$F$4,1,TRUE,2)</f>
        <v>0</v>
      </c>
      <c r="P403" s="2" cm="1">
        <f t="array" ref="P403">_xlfn.IFS(H403,3,N403&lt;Data!$F$3,0,N403&lt;Data!$F$4,1,TRUE,2)</f>
        <v>0</v>
      </c>
    </row>
    <row r="404" spans="4:16">
      <c r="D404" s="3"/>
      <c r="E404" s="3"/>
      <c r="F404" s="3"/>
      <c r="G404" s="2" t="str" cm="1">
        <f t="array" ref="G404">_xlfn.CONCAT(IFERROR(I404:K404,""))</f>
        <v>02000000FEFFFFFF</v>
      </c>
      <c r="I404" s="2" t="e">
        <f>_xlfn.LET(_xlpm.big,DEC2HEX(_xlfn.BITLSHIFT(M404-_xlfn.XLOOKUP(O404,Data!A:A,Data!F:F),4)+O404,8),_xlfn.CONCAT(MID(_xlpm.big,7,2),MID(_xlpm.big,5,2),MID(_xlpm.big,3,2),MID(_xlpm.big,1,2)))</f>
        <v>#NUM!</v>
      </c>
      <c r="J404" s="2" t="str">
        <f t="shared" si="24"/>
        <v>02000000</v>
      </c>
      <c r="K404" s="2" t="str">
        <f>_xlfn.LET(_xlpm.big,IF(H404,DEC2HEX(HEX2DEC(F404),8),DEC2HEX(N404-_xlfn.XLOOKUP(P404,Data!A:A,Data!F:F),8)),_xlfn.CONCAT(MID(_xlpm.big,7,2),MID(_xlpm.big,5,2),MID(_xlpm.big,3,2),MID(_xlpm.big,1,2)))</f>
        <v>FEFFFFFF</v>
      </c>
      <c r="L404" s="2">
        <f t="shared" si="25"/>
        <v>0</v>
      </c>
      <c r="M404" s="2">
        <f t="shared" si="26"/>
        <v>0</v>
      </c>
      <c r="N404" s="2">
        <f t="shared" si="27"/>
        <v>0</v>
      </c>
      <c r="O404" s="2" cm="1">
        <f t="array" ref="O404">_xlfn.IFS(M404&lt;Data!$F$3,0,M404&lt;Data!$F$4,1,TRUE,2)</f>
        <v>0</v>
      </c>
      <c r="P404" s="2" cm="1">
        <f t="array" ref="P404">_xlfn.IFS(H404,3,N404&lt;Data!$F$3,0,N404&lt;Data!$F$4,1,TRUE,2)</f>
        <v>0</v>
      </c>
    </row>
    <row r="405" spans="4:16">
      <c r="D405" s="3"/>
      <c r="E405" s="3"/>
      <c r="F405" s="3"/>
      <c r="G405" s="2" t="str" cm="1">
        <f t="array" ref="G405">_xlfn.CONCAT(IFERROR(I405:K405,""))</f>
        <v>02000000FEFFFFFF</v>
      </c>
      <c r="I405" s="2" t="e">
        <f>_xlfn.LET(_xlpm.big,DEC2HEX(_xlfn.BITLSHIFT(M405-_xlfn.XLOOKUP(O405,Data!A:A,Data!F:F),4)+O405,8),_xlfn.CONCAT(MID(_xlpm.big,7,2),MID(_xlpm.big,5,2),MID(_xlpm.big,3,2),MID(_xlpm.big,1,2)))</f>
        <v>#NUM!</v>
      </c>
      <c r="J405" s="2" t="str">
        <f t="shared" si="24"/>
        <v>02000000</v>
      </c>
      <c r="K405" s="2" t="str">
        <f>_xlfn.LET(_xlpm.big,IF(H405,DEC2HEX(HEX2DEC(F405),8),DEC2HEX(N405-_xlfn.XLOOKUP(P405,Data!A:A,Data!F:F),8)),_xlfn.CONCAT(MID(_xlpm.big,7,2),MID(_xlpm.big,5,2),MID(_xlpm.big,3,2),MID(_xlpm.big,1,2)))</f>
        <v>FEFFFFFF</v>
      </c>
      <c r="L405" s="2">
        <f t="shared" si="25"/>
        <v>0</v>
      </c>
      <c r="M405" s="2">
        <f t="shared" si="26"/>
        <v>0</v>
      </c>
      <c r="N405" s="2">
        <f t="shared" si="27"/>
        <v>0</v>
      </c>
      <c r="O405" s="2" cm="1">
        <f t="array" ref="O405">_xlfn.IFS(M405&lt;Data!$F$3,0,M405&lt;Data!$F$4,1,TRUE,2)</f>
        <v>0</v>
      </c>
      <c r="P405" s="2" cm="1">
        <f t="array" ref="P405">_xlfn.IFS(H405,3,N405&lt;Data!$F$3,0,N405&lt;Data!$F$4,1,TRUE,2)</f>
        <v>0</v>
      </c>
    </row>
    <row r="406" spans="4:16">
      <c r="D406" s="3"/>
      <c r="E406" s="3"/>
      <c r="F406" s="3"/>
      <c r="G406" s="2" t="str" cm="1">
        <f t="array" ref="G406">_xlfn.CONCAT(IFERROR(I406:K406,""))</f>
        <v>02000000FEFFFFFF</v>
      </c>
      <c r="I406" s="2" t="e">
        <f>_xlfn.LET(_xlpm.big,DEC2HEX(_xlfn.BITLSHIFT(M406-_xlfn.XLOOKUP(O406,Data!A:A,Data!F:F),4)+O406,8),_xlfn.CONCAT(MID(_xlpm.big,7,2),MID(_xlpm.big,5,2),MID(_xlpm.big,3,2),MID(_xlpm.big,1,2)))</f>
        <v>#NUM!</v>
      </c>
      <c r="J406" s="2" t="str">
        <f t="shared" si="24"/>
        <v>02000000</v>
      </c>
      <c r="K406" s="2" t="str">
        <f>_xlfn.LET(_xlpm.big,IF(H406,DEC2HEX(HEX2DEC(F406),8),DEC2HEX(N406-_xlfn.XLOOKUP(P406,Data!A:A,Data!F:F),8)),_xlfn.CONCAT(MID(_xlpm.big,7,2),MID(_xlpm.big,5,2),MID(_xlpm.big,3,2),MID(_xlpm.big,1,2)))</f>
        <v>FEFFFFFF</v>
      </c>
      <c r="L406" s="2">
        <f t="shared" si="25"/>
        <v>0</v>
      </c>
      <c r="M406" s="2">
        <f t="shared" si="26"/>
        <v>0</v>
      </c>
      <c r="N406" s="2">
        <f t="shared" si="27"/>
        <v>0</v>
      </c>
      <c r="O406" s="2" cm="1">
        <f t="array" ref="O406">_xlfn.IFS(M406&lt;Data!$F$3,0,M406&lt;Data!$F$4,1,TRUE,2)</f>
        <v>0</v>
      </c>
      <c r="P406" s="2" cm="1">
        <f t="array" ref="P406">_xlfn.IFS(H406,3,N406&lt;Data!$F$3,0,N406&lt;Data!$F$4,1,TRUE,2)</f>
        <v>0</v>
      </c>
    </row>
    <row r="407" spans="4:16">
      <c r="D407" s="3"/>
      <c r="E407" s="3"/>
      <c r="F407" s="3"/>
      <c r="G407" s="2" t="str" cm="1">
        <f t="array" ref="G407">_xlfn.CONCAT(IFERROR(I407:K407,""))</f>
        <v>02000000FEFFFFFF</v>
      </c>
      <c r="I407" s="2" t="e">
        <f>_xlfn.LET(_xlpm.big,DEC2HEX(_xlfn.BITLSHIFT(M407-_xlfn.XLOOKUP(O407,Data!A:A,Data!F:F),4)+O407,8),_xlfn.CONCAT(MID(_xlpm.big,7,2),MID(_xlpm.big,5,2),MID(_xlpm.big,3,2),MID(_xlpm.big,1,2)))</f>
        <v>#NUM!</v>
      </c>
      <c r="J407" s="2" t="str">
        <f t="shared" si="24"/>
        <v>02000000</v>
      </c>
      <c r="K407" s="2" t="str">
        <f>_xlfn.LET(_xlpm.big,IF(H407,DEC2HEX(HEX2DEC(F407),8),DEC2HEX(N407-_xlfn.XLOOKUP(P407,Data!A:A,Data!F:F),8)),_xlfn.CONCAT(MID(_xlpm.big,7,2),MID(_xlpm.big,5,2),MID(_xlpm.big,3,2),MID(_xlpm.big,1,2)))</f>
        <v>FEFFFFFF</v>
      </c>
      <c r="L407" s="2">
        <f t="shared" si="25"/>
        <v>0</v>
      </c>
      <c r="M407" s="2">
        <f t="shared" si="26"/>
        <v>0</v>
      </c>
      <c r="N407" s="2">
        <f t="shared" si="27"/>
        <v>0</v>
      </c>
      <c r="O407" s="2" cm="1">
        <f t="array" ref="O407">_xlfn.IFS(M407&lt;Data!$F$3,0,M407&lt;Data!$F$4,1,TRUE,2)</f>
        <v>0</v>
      </c>
      <c r="P407" s="2" cm="1">
        <f t="array" ref="P407">_xlfn.IFS(H407,3,N407&lt;Data!$F$3,0,N407&lt;Data!$F$4,1,TRUE,2)</f>
        <v>0</v>
      </c>
    </row>
    <row r="408" spans="4:16">
      <c r="D408" s="3"/>
      <c r="E408" s="3"/>
      <c r="F408" s="3"/>
      <c r="G408" s="2" t="str" cm="1">
        <f t="array" ref="G408">_xlfn.CONCAT(IFERROR(I408:K408,""))</f>
        <v>02000000FEFFFFFF</v>
      </c>
      <c r="I408" s="2" t="e">
        <f>_xlfn.LET(_xlpm.big,DEC2HEX(_xlfn.BITLSHIFT(M408-_xlfn.XLOOKUP(O408,Data!A:A,Data!F:F),4)+O408,8),_xlfn.CONCAT(MID(_xlpm.big,7,2),MID(_xlpm.big,5,2),MID(_xlpm.big,3,2),MID(_xlpm.big,1,2)))</f>
        <v>#NUM!</v>
      </c>
      <c r="J408" s="2" t="str">
        <f t="shared" si="24"/>
        <v>02000000</v>
      </c>
      <c r="K408" s="2" t="str">
        <f>_xlfn.LET(_xlpm.big,IF(H408,DEC2HEX(HEX2DEC(F408),8),DEC2HEX(N408-_xlfn.XLOOKUP(P408,Data!A:A,Data!F:F),8)),_xlfn.CONCAT(MID(_xlpm.big,7,2),MID(_xlpm.big,5,2),MID(_xlpm.big,3,2),MID(_xlpm.big,1,2)))</f>
        <v>FEFFFFFF</v>
      </c>
      <c r="L408" s="2">
        <f t="shared" si="25"/>
        <v>0</v>
      </c>
      <c r="M408" s="2">
        <f t="shared" si="26"/>
        <v>0</v>
      </c>
      <c r="N408" s="2">
        <f t="shared" si="27"/>
        <v>0</v>
      </c>
      <c r="O408" s="2" cm="1">
        <f t="array" ref="O408">_xlfn.IFS(M408&lt;Data!$F$3,0,M408&lt;Data!$F$4,1,TRUE,2)</f>
        <v>0</v>
      </c>
      <c r="P408" s="2" cm="1">
        <f t="array" ref="P408">_xlfn.IFS(H408,3,N408&lt;Data!$F$3,0,N408&lt;Data!$F$4,1,TRUE,2)</f>
        <v>0</v>
      </c>
    </row>
    <row r="409" spans="4:16">
      <c r="D409" s="3"/>
      <c r="E409" s="3"/>
      <c r="F409" s="3"/>
      <c r="G409" s="2" t="str" cm="1">
        <f t="array" ref="G409">_xlfn.CONCAT(IFERROR(I409:K409,""))</f>
        <v>02000000FEFFFFFF</v>
      </c>
      <c r="I409" s="2" t="e">
        <f>_xlfn.LET(_xlpm.big,DEC2HEX(_xlfn.BITLSHIFT(M409-_xlfn.XLOOKUP(O409,Data!A:A,Data!F:F),4)+O409,8),_xlfn.CONCAT(MID(_xlpm.big,7,2),MID(_xlpm.big,5,2),MID(_xlpm.big,3,2),MID(_xlpm.big,1,2)))</f>
        <v>#NUM!</v>
      </c>
      <c r="J409" s="2" t="str">
        <f t="shared" si="24"/>
        <v>02000000</v>
      </c>
      <c r="K409" s="2" t="str">
        <f>_xlfn.LET(_xlpm.big,IF(H409,DEC2HEX(HEX2DEC(F409),8),DEC2HEX(N409-_xlfn.XLOOKUP(P409,Data!A:A,Data!F:F),8)),_xlfn.CONCAT(MID(_xlpm.big,7,2),MID(_xlpm.big,5,2),MID(_xlpm.big,3,2),MID(_xlpm.big,1,2)))</f>
        <v>FEFFFFFF</v>
      </c>
      <c r="L409" s="2">
        <f t="shared" si="25"/>
        <v>0</v>
      </c>
      <c r="M409" s="2">
        <f t="shared" si="26"/>
        <v>0</v>
      </c>
      <c r="N409" s="2">
        <f t="shared" si="27"/>
        <v>0</v>
      </c>
      <c r="O409" s="2" cm="1">
        <f t="array" ref="O409">_xlfn.IFS(M409&lt;Data!$F$3,0,M409&lt;Data!$F$4,1,TRUE,2)</f>
        <v>0</v>
      </c>
      <c r="P409" s="2" cm="1">
        <f t="array" ref="P409">_xlfn.IFS(H409,3,N409&lt;Data!$F$3,0,N409&lt;Data!$F$4,1,TRUE,2)</f>
        <v>0</v>
      </c>
    </row>
    <row r="410" spans="4:16">
      <c r="D410" s="3"/>
      <c r="E410" s="3"/>
      <c r="F410" s="3"/>
      <c r="G410" s="2" t="str" cm="1">
        <f t="array" ref="G410">_xlfn.CONCAT(IFERROR(I410:K410,""))</f>
        <v>02000000FEFFFFFF</v>
      </c>
      <c r="I410" s="2" t="e">
        <f>_xlfn.LET(_xlpm.big,DEC2HEX(_xlfn.BITLSHIFT(M410-_xlfn.XLOOKUP(O410,Data!A:A,Data!F:F),4)+O410,8),_xlfn.CONCAT(MID(_xlpm.big,7,2),MID(_xlpm.big,5,2),MID(_xlpm.big,3,2),MID(_xlpm.big,1,2)))</f>
        <v>#NUM!</v>
      </c>
      <c r="J410" s="2" t="str">
        <f t="shared" si="24"/>
        <v>02000000</v>
      </c>
      <c r="K410" s="2" t="str">
        <f>_xlfn.LET(_xlpm.big,IF(H410,DEC2HEX(HEX2DEC(F410),8),DEC2HEX(N410-_xlfn.XLOOKUP(P410,Data!A:A,Data!F:F),8)),_xlfn.CONCAT(MID(_xlpm.big,7,2),MID(_xlpm.big,5,2),MID(_xlpm.big,3,2),MID(_xlpm.big,1,2)))</f>
        <v>FEFFFFFF</v>
      </c>
      <c r="L410" s="2">
        <f t="shared" si="25"/>
        <v>0</v>
      </c>
      <c r="M410" s="2">
        <f t="shared" si="26"/>
        <v>0</v>
      </c>
      <c r="N410" s="2">
        <f t="shared" si="27"/>
        <v>0</v>
      </c>
      <c r="O410" s="2" cm="1">
        <f t="array" ref="O410">_xlfn.IFS(M410&lt;Data!$F$3,0,M410&lt;Data!$F$4,1,TRUE,2)</f>
        <v>0</v>
      </c>
      <c r="P410" s="2" cm="1">
        <f t="array" ref="P410">_xlfn.IFS(H410,3,N410&lt;Data!$F$3,0,N410&lt;Data!$F$4,1,TRUE,2)</f>
        <v>0</v>
      </c>
    </row>
    <row r="411" spans="4:16">
      <c r="D411" s="3"/>
      <c r="E411" s="3"/>
      <c r="F411" s="3"/>
      <c r="G411" s="2" t="str" cm="1">
        <f t="array" ref="G411">_xlfn.CONCAT(IFERROR(I411:K411,""))</f>
        <v>02000000FEFFFFFF</v>
      </c>
      <c r="I411" s="2" t="e">
        <f>_xlfn.LET(_xlpm.big,DEC2HEX(_xlfn.BITLSHIFT(M411-_xlfn.XLOOKUP(O411,Data!A:A,Data!F:F),4)+O411,8),_xlfn.CONCAT(MID(_xlpm.big,7,2),MID(_xlpm.big,5,2),MID(_xlpm.big,3,2),MID(_xlpm.big,1,2)))</f>
        <v>#NUM!</v>
      </c>
      <c r="J411" s="2" t="str">
        <f t="shared" si="24"/>
        <v>02000000</v>
      </c>
      <c r="K411" s="2" t="str">
        <f>_xlfn.LET(_xlpm.big,IF(H411,DEC2HEX(HEX2DEC(F411),8),DEC2HEX(N411-_xlfn.XLOOKUP(P411,Data!A:A,Data!F:F),8)),_xlfn.CONCAT(MID(_xlpm.big,7,2),MID(_xlpm.big,5,2),MID(_xlpm.big,3,2),MID(_xlpm.big,1,2)))</f>
        <v>FEFFFFFF</v>
      </c>
      <c r="L411" s="2">
        <f t="shared" si="25"/>
        <v>0</v>
      </c>
      <c r="M411" s="2">
        <f t="shared" si="26"/>
        <v>0</v>
      </c>
      <c r="N411" s="2">
        <f t="shared" si="27"/>
        <v>0</v>
      </c>
      <c r="O411" s="2" cm="1">
        <f t="array" ref="O411">_xlfn.IFS(M411&lt;Data!$F$3,0,M411&lt;Data!$F$4,1,TRUE,2)</f>
        <v>0</v>
      </c>
      <c r="P411" s="2" cm="1">
        <f t="array" ref="P411">_xlfn.IFS(H411,3,N411&lt;Data!$F$3,0,N411&lt;Data!$F$4,1,TRUE,2)</f>
        <v>0</v>
      </c>
    </row>
    <row r="412" spans="4:16">
      <c r="D412" s="3"/>
      <c r="E412" s="3"/>
      <c r="F412" s="3"/>
      <c r="G412" s="2" t="str" cm="1">
        <f t="array" ref="G412">_xlfn.CONCAT(IFERROR(I412:K412,""))</f>
        <v>02000000FEFFFFFF</v>
      </c>
      <c r="I412" s="2" t="e">
        <f>_xlfn.LET(_xlpm.big,DEC2HEX(_xlfn.BITLSHIFT(M412-_xlfn.XLOOKUP(O412,Data!A:A,Data!F:F),4)+O412,8),_xlfn.CONCAT(MID(_xlpm.big,7,2),MID(_xlpm.big,5,2),MID(_xlpm.big,3,2),MID(_xlpm.big,1,2)))</f>
        <v>#NUM!</v>
      </c>
      <c r="J412" s="2" t="str">
        <f t="shared" si="24"/>
        <v>02000000</v>
      </c>
      <c r="K412" s="2" t="str">
        <f>_xlfn.LET(_xlpm.big,IF(H412,DEC2HEX(HEX2DEC(F412),8),DEC2HEX(N412-_xlfn.XLOOKUP(P412,Data!A:A,Data!F:F),8)),_xlfn.CONCAT(MID(_xlpm.big,7,2),MID(_xlpm.big,5,2),MID(_xlpm.big,3,2),MID(_xlpm.big,1,2)))</f>
        <v>FEFFFFFF</v>
      </c>
      <c r="L412" s="2">
        <f t="shared" si="25"/>
        <v>0</v>
      </c>
      <c r="M412" s="2">
        <f t="shared" si="26"/>
        <v>0</v>
      </c>
      <c r="N412" s="2">
        <f t="shared" si="27"/>
        <v>0</v>
      </c>
      <c r="O412" s="2" cm="1">
        <f t="array" ref="O412">_xlfn.IFS(M412&lt;Data!$F$3,0,M412&lt;Data!$F$4,1,TRUE,2)</f>
        <v>0</v>
      </c>
      <c r="P412" s="2" cm="1">
        <f t="array" ref="P412">_xlfn.IFS(H412,3,N412&lt;Data!$F$3,0,N412&lt;Data!$F$4,1,TRUE,2)</f>
        <v>0</v>
      </c>
    </row>
    <row r="413" spans="4:16">
      <c r="D413" s="3"/>
      <c r="E413" s="3"/>
      <c r="F413" s="3"/>
      <c r="G413" s="2" t="str" cm="1">
        <f t="array" ref="G413">_xlfn.CONCAT(IFERROR(I413:K413,""))</f>
        <v>02000000FEFFFFFF</v>
      </c>
      <c r="I413" s="2" t="e">
        <f>_xlfn.LET(_xlpm.big,DEC2HEX(_xlfn.BITLSHIFT(M413-_xlfn.XLOOKUP(O413,Data!A:A,Data!F:F),4)+O413,8),_xlfn.CONCAT(MID(_xlpm.big,7,2),MID(_xlpm.big,5,2),MID(_xlpm.big,3,2),MID(_xlpm.big,1,2)))</f>
        <v>#NUM!</v>
      </c>
      <c r="J413" s="2" t="str">
        <f t="shared" si="24"/>
        <v>02000000</v>
      </c>
      <c r="K413" s="2" t="str">
        <f>_xlfn.LET(_xlpm.big,IF(H413,DEC2HEX(HEX2DEC(F413),8),DEC2HEX(N413-_xlfn.XLOOKUP(P413,Data!A:A,Data!F:F),8)),_xlfn.CONCAT(MID(_xlpm.big,7,2),MID(_xlpm.big,5,2),MID(_xlpm.big,3,2),MID(_xlpm.big,1,2)))</f>
        <v>FEFFFFFF</v>
      </c>
      <c r="L413" s="2">
        <f t="shared" si="25"/>
        <v>0</v>
      </c>
      <c r="M413" s="2">
        <f t="shared" si="26"/>
        <v>0</v>
      </c>
      <c r="N413" s="2">
        <f t="shared" si="27"/>
        <v>0</v>
      </c>
      <c r="O413" s="2" cm="1">
        <f t="array" ref="O413">_xlfn.IFS(M413&lt;Data!$F$3,0,M413&lt;Data!$F$4,1,TRUE,2)</f>
        <v>0</v>
      </c>
      <c r="P413" s="2" cm="1">
        <f t="array" ref="P413">_xlfn.IFS(H413,3,N413&lt;Data!$F$3,0,N413&lt;Data!$F$4,1,TRUE,2)</f>
        <v>0</v>
      </c>
    </row>
    <row r="414" spans="4:16">
      <c r="D414" s="3"/>
      <c r="E414" s="3"/>
      <c r="F414" s="3"/>
      <c r="G414" s="2" t="str" cm="1">
        <f t="array" ref="G414">_xlfn.CONCAT(IFERROR(I414:K414,""))</f>
        <v>02000000FEFFFFFF</v>
      </c>
      <c r="I414" s="2" t="e">
        <f>_xlfn.LET(_xlpm.big,DEC2HEX(_xlfn.BITLSHIFT(M414-_xlfn.XLOOKUP(O414,Data!A:A,Data!F:F),4)+O414,8),_xlfn.CONCAT(MID(_xlpm.big,7,2),MID(_xlpm.big,5,2),MID(_xlpm.big,3,2),MID(_xlpm.big,1,2)))</f>
        <v>#NUM!</v>
      </c>
      <c r="J414" s="2" t="str">
        <f t="shared" si="24"/>
        <v>02000000</v>
      </c>
      <c r="K414" s="2" t="str">
        <f>_xlfn.LET(_xlpm.big,IF(H414,DEC2HEX(HEX2DEC(F414),8),DEC2HEX(N414-_xlfn.XLOOKUP(P414,Data!A:A,Data!F:F),8)),_xlfn.CONCAT(MID(_xlpm.big,7,2),MID(_xlpm.big,5,2),MID(_xlpm.big,3,2),MID(_xlpm.big,1,2)))</f>
        <v>FEFFFFFF</v>
      </c>
      <c r="L414" s="2">
        <f t="shared" si="25"/>
        <v>0</v>
      </c>
      <c r="M414" s="2">
        <f t="shared" si="26"/>
        <v>0</v>
      </c>
      <c r="N414" s="2">
        <f t="shared" si="27"/>
        <v>0</v>
      </c>
      <c r="O414" s="2" cm="1">
        <f t="array" ref="O414">_xlfn.IFS(M414&lt;Data!$F$3,0,M414&lt;Data!$F$4,1,TRUE,2)</f>
        <v>0</v>
      </c>
      <c r="P414" s="2" cm="1">
        <f t="array" ref="P414">_xlfn.IFS(H414,3,N414&lt;Data!$F$3,0,N414&lt;Data!$F$4,1,TRUE,2)</f>
        <v>0</v>
      </c>
    </row>
    <row r="415" spans="4:16">
      <c r="D415" s="3"/>
      <c r="E415" s="3"/>
      <c r="F415" s="3"/>
      <c r="G415" s="2" t="str" cm="1">
        <f t="array" ref="G415">_xlfn.CONCAT(IFERROR(I415:K415,""))</f>
        <v>02000000FEFFFFFF</v>
      </c>
      <c r="I415" s="2" t="e">
        <f>_xlfn.LET(_xlpm.big,DEC2HEX(_xlfn.BITLSHIFT(M415-_xlfn.XLOOKUP(O415,Data!A:A,Data!F:F),4)+O415,8),_xlfn.CONCAT(MID(_xlpm.big,7,2),MID(_xlpm.big,5,2),MID(_xlpm.big,3,2),MID(_xlpm.big,1,2)))</f>
        <v>#NUM!</v>
      </c>
      <c r="J415" s="2" t="str">
        <f t="shared" si="24"/>
        <v>02000000</v>
      </c>
      <c r="K415" s="2" t="str">
        <f>_xlfn.LET(_xlpm.big,IF(H415,DEC2HEX(HEX2DEC(F415),8),DEC2HEX(N415-_xlfn.XLOOKUP(P415,Data!A:A,Data!F:F),8)),_xlfn.CONCAT(MID(_xlpm.big,7,2),MID(_xlpm.big,5,2),MID(_xlpm.big,3,2),MID(_xlpm.big,1,2)))</f>
        <v>FEFFFFFF</v>
      </c>
      <c r="L415" s="2">
        <f t="shared" si="25"/>
        <v>0</v>
      </c>
      <c r="M415" s="2">
        <f t="shared" si="26"/>
        <v>0</v>
      </c>
      <c r="N415" s="2">
        <f t="shared" si="27"/>
        <v>0</v>
      </c>
      <c r="O415" s="2" cm="1">
        <f t="array" ref="O415">_xlfn.IFS(M415&lt;Data!$F$3,0,M415&lt;Data!$F$4,1,TRUE,2)</f>
        <v>0</v>
      </c>
      <c r="P415" s="2" cm="1">
        <f t="array" ref="P415">_xlfn.IFS(H415,3,N415&lt;Data!$F$3,0,N415&lt;Data!$F$4,1,TRUE,2)</f>
        <v>0</v>
      </c>
    </row>
    <row r="416" spans="4:16">
      <c r="D416" s="3"/>
      <c r="E416" s="3"/>
      <c r="F416" s="3"/>
      <c r="G416" s="2" t="str" cm="1">
        <f t="array" ref="G416">_xlfn.CONCAT(IFERROR(I416:K416,""))</f>
        <v>02000000FEFFFFFF</v>
      </c>
      <c r="I416" s="2" t="e">
        <f>_xlfn.LET(_xlpm.big,DEC2HEX(_xlfn.BITLSHIFT(M416-_xlfn.XLOOKUP(O416,Data!A:A,Data!F:F),4)+O416,8),_xlfn.CONCAT(MID(_xlpm.big,7,2),MID(_xlpm.big,5,2),MID(_xlpm.big,3,2),MID(_xlpm.big,1,2)))</f>
        <v>#NUM!</v>
      </c>
      <c r="J416" s="2" t="str">
        <f t="shared" si="24"/>
        <v>02000000</v>
      </c>
      <c r="K416" s="2" t="str">
        <f>_xlfn.LET(_xlpm.big,IF(H416,DEC2HEX(HEX2DEC(F416),8),DEC2HEX(N416-_xlfn.XLOOKUP(P416,Data!A:A,Data!F:F),8)),_xlfn.CONCAT(MID(_xlpm.big,7,2),MID(_xlpm.big,5,2),MID(_xlpm.big,3,2),MID(_xlpm.big,1,2)))</f>
        <v>FEFFFFFF</v>
      </c>
      <c r="L416" s="2">
        <f t="shared" si="25"/>
        <v>0</v>
      </c>
      <c r="M416" s="2">
        <f t="shared" si="26"/>
        <v>0</v>
      </c>
      <c r="N416" s="2">
        <f t="shared" si="27"/>
        <v>0</v>
      </c>
      <c r="O416" s="2" cm="1">
        <f t="array" ref="O416">_xlfn.IFS(M416&lt;Data!$F$3,0,M416&lt;Data!$F$4,1,TRUE,2)</f>
        <v>0</v>
      </c>
      <c r="P416" s="2" cm="1">
        <f t="array" ref="P416">_xlfn.IFS(H416,3,N416&lt;Data!$F$3,0,N416&lt;Data!$F$4,1,TRUE,2)</f>
        <v>0</v>
      </c>
    </row>
    <row r="417" spans="4:16">
      <c r="D417" s="3"/>
      <c r="E417" s="3"/>
      <c r="F417" s="3"/>
      <c r="G417" s="2" t="str" cm="1">
        <f t="array" ref="G417">_xlfn.CONCAT(IFERROR(I417:K417,""))</f>
        <v>02000000FEFFFFFF</v>
      </c>
      <c r="I417" s="2" t="e">
        <f>_xlfn.LET(_xlpm.big,DEC2HEX(_xlfn.BITLSHIFT(M417-_xlfn.XLOOKUP(O417,Data!A:A,Data!F:F),4)+O417,8),_xlfn.CONCAT(MID(_xlpm.big,7,2),MID(_xlpm.big,5,2),MID(_xlpm.big,3,2),MID(_xlpm.big,1,2)))</f>
        <v>#NUM!</v>
      </c>
      <c r="J417" s="2" t="str">
        <f t="shared" si="24"/>
        <v>02000000</v>
      </c>
      <c r="K417" s="2" t="str">
        <f>_xlfn.LET(_xlpm.big,IF(H417,DEC2HEX(HEX2DEC(F417),8),DEC2HEX(N417-_xlfn.XLOOKUP(P417,Data!A:A,Data!F:F),8)),_xlfn.CONCAT(MID(_xlpm.big,7,2),MID(_xlpm.big,5,2),MID(_xlpm.big,3,2),MID(_xlpm.big,1,2)))</f>
        <v>FEFFFFFF</v>
      </c>
      <c r="L417" s="2">
        <f t="shared" si="25"/>
        <v>0</v>
      </c>
      <c r="M417" s="2">
        <f t="shared" si="26"/>
        <v>0</v>
      </c>
      <c r="N417" s="2">
        <f t="shared" si="27"/>
        <v>0</v>
      </c>
      <c r="O417" s="2" cm="1">
        <f t="array" ref="O417">_xlfn.IFS(M417&lt;Data!$F$3,0,M417&lt;Data!$F$4,1,TRUE,2)</f>
        <v>0</v>
      </c>
      <c r="P417" s="2" cm="1">
        <f t="array" ref="P417">_xlfn.IFS(H417,3,N417&lt;Data!$F$3,0,N417&lt;Data!$F$4,1,TRUE,2)</f>
        <v>0</v>
      </c>
    </row>
    <row r="418" spans="4:16">
      <c r="D418" s="3"/>
      <c r="E418" s="3"/>
      <c r="F418" s="3"/>
      <c r="G418" s="2" t="str" cm="1">
        <f t="array" ref="G418">_xlfn.CONCAT(IFERROR(I418:K418,""))</f>
        <v>02000000FEFFFFFF</v>
      </c>
      <c r="I418" s="2" t="e">
        <f>_xlfn.LET(_xlpm.big,DEC2HEX(_xlfn.BITLSHIFT(M418-_xlfn.XLOOKUP(O418,Data!A:A,Data!F:F),4)+O418,8),_xlfn.CONCAT(MID(_xlpm.big,7,2),MID(_xlpm.big,5,2),MID(_xlpm.big,3,2),MID(_xlpm.big,1,2)))</f>
        <v>#NUM!</v>
      </c>
      <c r="J418" s="2" t="str">
        <f t="shared" si="24"/>
        <v>02000000</v>
      </c>
      <c r="K418" s="2" t="str">
        <f>_xlfn.LET(_xlpm.big,IF(H418,DEC2HEX(HEX2DEC(F418),8),DEC2HEX(N418-_xlfn.XLOOKUP(P418,Data!A:A,Data!F:F),8)),_xlfn.CONCAT(MID(_xlpm.big,7,2),MID(_xlpm.big,5,2),MID(_xlpm.big,3,2),MID(_xlpm.big,1,2)))</f>
        <v>FEFFFFFF</v>
      </c>
      <c r="L418" s="2">
        <f t="shared" si="25"/>
        <v>0</v>
      </c>
      <c r="M418" s="2">
        <f t="shared" si="26"/>
        <v>0</v>
      </c>
      <c r="N418" s="2">
        <f t="shared" si="27"/>
        <v>0</v>
      </c>
      <c r="O418" s="2" cm="1">
        <f t="array" ref="O418">_xlfn.IFS(M418&lt;Data!$F$3,0,M418&lt;Data!$F$4,1,TRUE,2)</f>
        <v>0</v>
      </c>
      <c r="P418" s="2" cm="1">
        <f t="array" ref="P418">_xlfn.IFS(H418,3,N418&lt;Data!$F$3,0,N418&lt;Data!$F$4,1,TRUE,2)</f>
        <v>0</v>
      </c>
    </row>
    <row r="419" spans="4:16">
      <c r="D419" s="3"/>
      <c r="E419" s="3"/>
      <c r="F419" s="3"/>
      <c r="G419" s="2" t="str" cm="1">
        <f t="array" ref="G419">_xlfn.CONCAT(IFERROR(I419:K419,""))</f>
        <v>02000000FEFFFFFF</v>
      </c>
      <c r="I419" s="2" t="e">
        <f>_xlfn.LET(_xlpm.big,DEC2HEX(_xlfn.BITLSHIFT(M419-_xlfn.XLOOKUP(O419,Data!A:A,Data!F:F),4)+O419,8),_xlfn.CONCAT(MID(_xlpm.big,7,2),MID(_xlpm.big,5,2),MID(_xlpm.big,3,2),MID(_xlpm.big,1,2)))</f>
        <v>#NUM!</v>
      </c>
      <c r="J419" s="2" t="str">
        <f t="shared" si="24"/>
        <v>02000000</v>
      </c>
      <c r="K419" s="2" t="str">
        <f>_xlfn.LET(_xlpm.big,IF(H419,DEC2HEX(HEX2DEC(F419),8),DEC2HEX(N419-_xlfn.XLOOKUP(P419,Data!A:A,Data!F:F),8)),_xlfn.CONCAT(MID(_xlpm.big,7,2),MID(_xlpm.big,5,2),MID(_xlpm.big,3,2),MID(_xlpm.big,1,2)))</f>
        <v>FEFFFFFF</v>
      </c>
      <c r="L419" s="2">
        <f t="shared" si="25"/>
        <v>0</v>
      </c>
      <c r="M419" s="2">
        <f t="shared" si="26"/>
        <v>0</v>
      </c>
      <c r="N419" s="2">
        <f t="shared" si="27"/>
        <v>0</v>
      </c>
      <c r="O419" s="2" cm="1">
        <f t="array" ref="O419">_xlfn.IFS(M419&lt;Data!$F$3,0,M419&lt;Data!$F$4,1,TRUE,2)</f>
        <v>0</v>
      </c>
      <c r="P419" s="2" cm="1">
        <f t="array" ref="P419">_xlfn.IFS(H419,3,N419&lt;Data!$F$3,0,N419&lt;Data!$F$4,1,TRUE,2)</f>
        <v>0</v>
      </c>
    </row>
    <row r="420" spans="4:16">
      <c r="D420" s="3"/>
      <c r="E420" s="3"/>
      <c r="F420" s="3"/>
      <c r="G420" s="2" t="str" cm="1">
        <f t="array" ref="G420">_xlfn.CONCAT(IFERROR(I420:K420,""))</f>
        <v>02000000FEFFFFFF</v>
      </c>
      <c r="I420" s="2" t="e">
        <f>_xlfn.LET(_xlpm.big,DEC2HEX(_xlfn.BITLSHIFT(M420-_xlfn.XLOOKUP(O420,Data!A:A,Data!F:F),4)+O420,8),_xlfn.CONCAT(MID(_xlpm.big,7,2),MID(_xlpm.big,5,2),MID(_xlpm.big,3,2),MID(_xlpm.big,1,2)))</f>
        <v>#NUM!</v>
      </c>
      <c r="J420" s="2" t="str">
        <f t="shared" si="24"/>
        <v>02000000</v>
      </c>
      <c r="K420" s="2" t="str">
        <f>_xlfn.LET(_xlpm.big,IF(H420,DEC2HEX(HEX2DEC(F420),8),DEC2HEX(N420-_xlfn.XLOOKUP(P420,Data!A:A,Data!F:F),8)),_xlfn.CONCAT(MID(_xlpm.big,7,2),MID(_xlpm.big,5,2),MID(_xlpm.big,3,2),MID(_xlpm.big,1,2)))</f>
        <v>FEFFFFFF</v>
      </c>
      <c r="L420" s="2">
        <f t="shared" si="25"/>
        <v>0</v>
      </c>
      <c r="M420" s="2">
        <f t="shared" si="26"/>
        <v>0</v>
      </c>
      <c r="N420" s="2">
        <f t="shared" si="27"/>
        <v>0</v>
      </c>
      <c r="O420" s="2" cm="1">
        <f t="array" ref="O420">_xlfn.IFS(M420&lt;Data!$F$3,0,M420&lt;Data!$F$4,1,TRUE,2)</f>
        <v>0</v>
      </c>
      <c r="P420" s="2" cm="1">
        <f t="array" ref="P420">_xlfn.IFS(H420,3,N420&lt;Data!$F$3,0,N420&lt;Data!$F$4,1,TRUE,2)</f>
        <v>0</v>
      </c>
    </row>
    <row r="421" spans="4:16">
      <c r="D421" s="3"/>
      <c r="E421" s="3"/>
      <c r="F421" s="3"/>
      <c r="G421" s="2" t="str" cm="1">
        <f t="array" ref="G421">_xlfn.CONCAT(IFERROR(I421:K421,""))</f>
        <v>02000000FEFFFFFF</v>
      </c>
      <c r="I421" s="2" t="e">
        <f>_xlfn.LET(_xlpm.big,DEC2HEX(_xlfn.BITLSHIFT(M421-_xlfn.XLOOKUP(O421,Data!A:A,Data!F:F),4)+O421,8),_xlfn.CONCAT(MID(_xlpm.big,7,2),MID(_xlpm.big,5,2),MID(_xlpm.big,3,2),MID(_xlpm.big,1,2)))</f>
        <v>#NUM!</v>
      </c>
      <c r="J421" s="2" t="str">
        <f t="shared" si="24"/>
        <v>02000000</v>
      </c>
      <c r="K421" s="2" t="str">
        <f>_xlfn.LET(_xlpm.big,IF(H421,DEC2HEX(HEX2DEC(F421),8),DEC2HEX(N421-_xlfn.XLOOKUP(P421,Data!A:A,Data!F:F),8)),_xlfn.CONCAT(MID(_xlpm.big,7,2),MID(_xlpm.big,5,2),MID(_xlpm.big,3,2),MID(_xlpm.big,1,2)))</f>
        <v>FEFFFFFF</v>
      </c>
      <c r="L421" s="2">
        <f t="shared" si="25"/>
        <v>0</v>
      </c>
      <c r="M421" s="2">
        <f t="shared" si="26"/>
        <v>0</v>
      </c>
      <c r="N421" s="2">
        <f t="shared" si="27"/>
        <v>0</v>
      </c>
      <c r="O421" s="2" cm="1">
        <f t="array" ref="O421">_xlfn.IFS(M421&lt;Data!$F$3,0,M421&lt;Data!$F$4,1,TRUE,2)</f>
        <v>0</v>
      </c>
      <c r="P421" s="2" cm="1">
        <f t="array" ref="P421">_xlfn.IFS(H421,3,N421&lt;Data!$F$3,0,N421&lt;Data!$F$4,1,TRUE,2)</f>
        <v>0</v>
      </c>
    </row>
    <row r="422" spans="4:16">
      <c r="D422" s="3"/>
      <c r="E422" s="3"/>
      <c r="F422" s="3"/>
      <c r="G422" s="2" t="str" cm="1">
        <f t="array" ref="G422">_xlfn.CONCAT(IFERROR(I422:K422,""))</f>
        <v>02000000FEFFFFFF</v>
      </c>
      <c r="I422" s="2" t="e">
        <f>_xlfn.LET(_xlpm.big,DEC2HEX(_xlfn.BITLSHIFT(M422-_xlfn.XLOOKUP(O422,Data!A:A,Data!F:F),4)+O422,8),_xlfn.CONCAT(MID(_xlpm.big,7,2),MID(_xlpm.big,5,2),MID(_xlpm.big,3,2),MID(_xlpm.big,1,2)))</f>
        <v>#NUM!</v>
      </c>
      <c r="J422" s="2" t="str">
        <f t="shared" si="24"/>
        <v>02000000</v>
      </c>
      <c r="K422" s="2" t="str">
        <f>_xlfn.LET(_xlpm.big,IF(H422,DEC2HEX(HEX2DEC(F422),8),DEC2HEX(N422-_xlfn.XLOOKUP(P422,Data!A:A,Data!F:F),8)),_xlfn.CONCAT(MID(_xlpm.big,7,2),MID(_xlpm.big,5,2),MID(_xlpm.big,3,2),MID(_xlpm.big,1,2)))</f>
        <v>FEFFFFFF</v>
      </c>
      <c r="L422" s="2">
        <f t="shared" si="25"/>
        <v>0</v>
      </c>
      <c r="M422" s="2">
        <f t="shared" si="26"/>
        <v>0</v>
      </c>
      <c r="N422" s="2">
        <f t="shared" si="27"/>
        <v>0</v>
      </c>
      <c r="O422" s="2" cm="1">
        <f t="array" ref="O422">_xlfn.IFS(M422&lt;Data!$F$3,0,M422&lt;Data!$F$4,1,TRUE,2)</f>
        <v>0</v>
      </c>
      <c r="P422" s="2" cm="1">
        <f t="array" ref="P422">_xlfn.IFS(H422,3,N422&lt;Data!$F$3,0,N422&lt;Data!$F$4,1,TRUE,2)</f>
        <v>0</v>
      </c>
    </row>
    <row r="423" spans="4:16">
      <c r="D423" s="3"/>
      <c r="E423" s="3"/>
      <c r="F423" s="3"/>
      <c r="G423" s="2" t="str" cm="1">
        <f t="array" ref="G423">_xlfn.CONCAT(IFERROR(I423:K423,""))</f>
        <v>02000000FEFFFFFF</v>
      </c>
      <c r="I423" s="2" t="e">
        <f>_xlfn.LET(_xlpm.big,DEC2HEX(_xlfn.BITLSHIFT(M423-_xlfn.XLOOKUP(O423,Data!A:A,Data!F:F),4)+O423,8),_xlfn.CONCAT(MID(_xlpm.big,7,2),MID(_xlpm.big,5,2),MID(_xlpm.big,3,2),MID(_xlpm.big,1,2)))</f>
        <v>#NUM!</v>
      </c>
      <c r="J423" s="2" t="str">
        <f t="shared" si="24"/>
        <v>02000000</v>
      </c>
      <c r="K423" s="2" t="str">
        <f>_xlfn.LET(_xlpm.big,IF(H423,DEC2HEX(HEX2DEC(F423),8),DEC2HEX(N423-_xlfn.XLOOKUP(P423,Data!A:A,Data!F:F),8)),_xlfn.CONCAT(MID(_xlpm.big,7,2),MID(_xlpm.big,5,2),MID(_xlpm.big,3,2),MID(_xlpm.big,1,2)))</f>
        <v>FEFFFFFF</v>
      </c>
      <c r="L423" s="2">
        <f t="shared" si="25"/>
        <v>0</v>
      </c>
      <c r="M423" s="2">
        <f t="shared" si="26"/>
        <v>0</v>
      </c>
      <c r="N423" s="2">
        <f t="shared" si="27"/>
        <v>0</v>
      </c>
      <c r="O423" s="2" cm="1">
        <f t="array" ref="O423">_xlfn.IFS(M423&lt;Data!$F$3,0,M423&lt;Data!$F$4,1,TRUE,2)</f>
        <v>0</v>
      </c>
      <c r="P423" s="2" cm="1">
        <f t="array" ref="P423">_xlfn.IFS(H423,3,N423&lt;Data!$F$3,0,N423&lt;Data!$F$4,1,TRUE,2)</f>
        <v>0</v>
      </c>
    </row>
    <row r="424" spans="4:16">
      <c r="D424" s="3"/>
      <c r="E424" s="3"/>
      <c r="F424" s="3"/>
      <c r="G424" s="2" t="str" cm="1">
        <f t="array" ref="G424">_xlfn.CONCAT(IFERROR(I424:K424,""))</f>
        <v>02000000FEFFFFFF</v>
      </c>
      <c r="I424" s="2" t="e">
        <f>_xlfn.LET(_xlpm.big,DEC2HEX(_xlfn.BITLSHIFT(M424-_xlfn.XLOOKUP(O424,Data!A:A,Data!F:F),4)+O424,8),_xlfn.CONCAT(MID(_xlpm.big,7,2),MID(_xlpm.big,5,2),MID(_xlpm.big,3,2),MID(_xlpm.big,1,2)))</f>
        <v>#NUM!</v>
      </c>
      <c r="J424" s="2" t="str">
        <f t="shared" si="24"/>
        <v>02000000</v>
      </c>
      <c r="K424" s="2" t="str">
        <f>_xlfn.LET(_xlpm.big,IF(H424,DEC2HEX(HEX2DEC(F424),8),DEC2HEX(N424-_xlfn.XLOOKUP(P424,Data!A:A,Data!F:F),8)),_xlfn.CONCAT(MID(_xlpm.big,7,2),MID(_xlpm.big,5,2),MID(_xlpm.big,3,2),MID(_xlpm.big,1,2)))</f>
        <v>FEFFFFFF</v>
      </c>
      <c r="L424" s="2">
        <f t="shared" si="25"/>
        <v>0</v>
      </c>
      <c r="M424" s="2">
        <f t="shared" si="26"/>
        <v>0</v>
      </c>
      <c r="N424" s="2">
        <f t="shared" si="27"/>
        <v>0</v>
      </c>
      <c r="O424" s="2" cm="1">
        <f t="array" ref="O424">_xlfn.IFS(M424&lt;Data!$F$3,0,M424&lt;Data!$F$4,1,TRUE,2)</f>
        <v>0</v>
      </c>
      <c r="P424" s="2" cm="1">
        <f t="array" ref="P424">_xlfn.IFS(H424,3,N424&lt;Data!$F$3,0,N424&lt;Data!$F$4,1,TRUE,2)</f>
        <v>0</v>
      </c>
    </row>
    <row r="425" spans="4:16">
      <c r="D425" s="3"/>
      <c r="E425" s="3"/>
      <c r="F425" s="3"/>
      <c r="G425" s="2" t="str" cm="1">
        <f t="array" ref="G425">_xlfn.CONCAT(IFERROR(I425:K425,""))</f>
        <v>02000000FEFFFFFF</v>
      </c>
      <c r="I425" s="2" t="e">
        <f>_xlfn.LET(_xlpm.big,DEC2HEX(_xlfn.BITLSHIFT(M425-_xlfn.XLOOKUP(O425,Data!A:A,Data!F:F),4)+O425,8),_xlfn.CONCAT(MID(_xlpm.big,7,2),MID(_xlpm.big,5,2),MID(_xlpm.big,3,2),MID(_xlpm.big,1,2)))</f>
        <v>#NUM!</v>
      </c>
      <c r="J425" s="2" t="str">
        <f t="shared" si="24"/>
        <v>02000000</v>
      </c>
      <c r="K425" s="2" t="str">
        <f>_xlfn.LET(_xlpm.big,IF(H425,DEC2HEX(HEX2DEC(F425),8),DEC2HEX(N425-_xlfn.XLOOKUP(P425,Data!A:A,Data!F:F),8)),_xlfn.CONCAT(MID(_xlpm.big,7,2),MID(_xlpm.big,5,2),MID(_xlpm.big,3,2),MID(_xlpm.big,1,2)))</f>
        <v>FEFFFFFF</v>
      </c>
      <c r="L425" s="2">
        <f t="shared" si="25"/>
        <v>0</v>
      </c>
      <c r="M425" s="2">
        <f t="shared" si="26"/>
        <v>0</v>
      </c>
      <c r="N425" s="2">
        <f t="shared" si="27"/>
        <v>0</v>
      </c>
      <c r="O425" s="2" cm="1">
        <f t="array" ref="O425">_xlfn.IFS(M425&lt;Data!$F$3,0,M425&lt;Data!$F$4,1,TRUE,2)</f>
        <v>0</v>
      </c>
      <c r="P425" s="2" cm="1">
        <f t="array" ref="P425">_xlfn.IFS(H425,3,N425&lt;Data!$F$3,0,N425&lt;Data!$F$4,1,TRUE,2)</f>
        <v>0</v>
      </c>
    </row>
    <row r="426" spans="4:16">
      <c r="D426" s="3"/>
      <c r="E426" s="3"/>
      <c r="F426" s="3"/>
      <c r="G426" s="2" t="str" cm="1">
        <f t="array" ref="G426">_xlfn.CONCAT(IFERROR(I426:K426,""))</f>
        <v>02000000FEFFFFFF</v>
      </c>
      <c r="I426" s="2" t="e">
        <f>_xlfn.LET(_xlpm.big,DEC2HEX(_xlfn.BITLSHIFT(M426-_xlfn.XLOOKUP(O426,Data!A:A,Data!F:F),4)+O426,8),_xlfn.CONCAT(MID(_xlpm.big,7,2),MID(_xlpm.big,5,2),MID(_xlpm.big,3,2),MID(_xlpm.big,1,2)))</f>
        <v>#NUM!</v>
      </c>
      <c r="J426" s="2" t="str">
        <f t="shared" si="24"/>
        <v>02000000</v>
      </c>
      <c r="K426" s="2" t="str">
        <f>_xlfn.LET(_xlpm.big,IF(H426,DEC2HEX(HEX2DEC(F426),8),DEC2HEX(N426-_xlfn.XLOOKUP(P426,Data!A:A,Data!F:F),8)),_xlfn.CONCAT(MID(_xlpm.big,7,2),MID(_xlpm.big,5,2),MID(_xlpm.big,3,2),MID(_xlpm.big,1,2)))</f>
        <v>FEFFFFFF</v>
      </c>
      <c r="L426" s="2">
        <f t="shared" si="25"/>
        <v>0</v>
      </c>
      <c r="M426" s="2">
        <f t="shared" si="26"/>
        <v>0</v>
      </c>
      <c r="N426" s="2">
        <f t="shared" si="27"/>
        <v>0</v>
      </c>
      <c r="O426" s="2" cm="1">
        <f t="array" ref="O426">_xlfn.IFS(M426&lt;Data!$F$3,0,M426&lt;Data!$F$4,1,TRUE,2)</f>
        <v>0</v>
      </c>
      <c r="P426" s="2" cm="1">
        <f t="array" ref="P426">_xlfn.IFS(H426,3,N426&lt;Data!$F$3,0,N426&lt;Data!$F$4,1,TRUE,2)</f>
        <v>0</v>
      </c>
    </row>
    <row r="427" spans="4:16">
      <c r="D427" s="3"/>
      <c r="E427" s="3"/>
      <c r="F427" s="3"/>
      <c r="G427" s="2" t="str" cm="1">
        <f t="array" ref="G427">_xlfn.CONCAT(IFERROR(I427:K427,""))</f>
        <v>02000000FEFFFFFF</v>
      </c>
      <c r="I427" s="2" t="e">
        <f>_xlfn.LET(_xlpm.big,DEC2HEX(_xlfn.BITLSHIFT(M427-_xlfn.XLOOKUP(O427,Data!A:A,Data!F:F),4)+O427,8),_xlfn.CONCAT(MID(_xlpm.big,7,2),MID(_xlpm.big,5,2),MID(_xlpm.big,3,2),MID(_xlpm.big,1,2)))</f>
        <v>#NUM!</v>
      </c>
      <c r="J427" s="2" t="str">
        <f t="shared" si="24"/>
        <v>02000000</v>
      </c>
      <c r="K427" s="2" t="str">
        <f>_xlfn.LET(_xlpm.big,IF(H427,DEC2HEX(HEX2DEC(F427),8),DEC2HEX(N427-_xlfn.XLOOKUP(P427,Data!A:A,Data!F:F),8)),_xlfn.CONCAT(MID(_xlpm.big,7,2),MID(_xlpm.big,5,2),MID(_xlpm.big,3,2),MID(_xlpm.big,1,2)))</f>
        <v>FEFFFFFF</v>
      </c>
      <c r="L427" s="2">
        <f t="shared" si="25"/>
        <v>0</v>
      </c>
      <c r="M427" s="2">
        <f t="shared" si="26"/>
        <v>0</v>
      </c>
      <c r="N427" s="2">
        <f t="shared" si="27"/>
        <v>0</v>
      </c>
      <c r="O427" s="2" cm="1">
        <f t="array" ref="O427">_xlfn.IFS(M427&lt;Data!$F$3,0,M427&lt;Data!$F$4,1,TRUE,2)</f>
        <v>0</v>
      </c>
      <c r="P427" s="2" cm="1">
        <f t="array" ref="P427">_xlfn.IFS(H427,3,N427&lt;Data!$F$3,0,N427&lt;Data!$F$4,1,TRUE,2)</f>
        <v>0</v>
      </c>
    </row>
    <row r="428" spans="4:16">
      <c r="D428" s="3"/>
      <c r="E428" s="3"/>
      <c r="F428" s="3"/>
      <c r="G428" s="2" t="str" cm="1">
        <f t="array" ref="G428">_xlfn.CONCAT(IFERROR(I428:K428,""))</f>
        <v>02000000FEFFFFFF</v>
      </c>
      <c r="I428" s="2" t="e">
        <f>_xlfn.LET(_xlpm.big,DEC2HEX(_xlfn.BITLSHIFT(M428-_xlfn.XLOOKUP(O428,Data!A:A,Data!F:F),4)+O428,8),_xlfn.CONCAT(MID(_xlpm.big,7,2),MID(_xlpm.big,5,2),MID(_xlpm.big,3,2),MID(_xlpm.big,1,2)))</f>
        <v>#NUM!</v>
      </c>
      <c r="J428" s="2" t="str">
        <f t="shared" si="24"/>
        <v>02000000</v>
      </c>
      <c r="K428" s="2" t="str">
        <f>_xlfn.LET(_xlpm.big,IF(H428,DEC2HEX(HEX2DEC(F428),8),DEC2HEX(N428-_xlfn.XLOOKUP(P428,Data!A:A,Data!F:F),8)),_xlfn.CONCAT(MID(_xlpm.big,7,2),MID(_xlpm.big,5,2),MID(_xlpm.big,3,2),MID(_xlpm.big,1,2)))</f>
        <v>FEFFFFFF</v>
      </c>
      <c r="L428" s="2">
        <f t="shared" si="25"/>
        <v>0</v>
      </c>
      <c r="M428" s="2">
        <f t="shared" si="26"/>
        <v>0</v>
      </c>
      <c r="N428" s="2">
        <f t="shared" si="27"/>
        <v>0</v>
      </c>
      <c r="O428" s="2" cm="1">
        <f t="array" ref="O428">_xlfn.IFS(M428&lt;Data!$F$3,0,M428&lt;Data!$F$4,1,TRUE,2)</f>
        <v>0</v>
      </c>
      <c r="P428" s="2" cm="1">
        <f t="array" ref="P428">_xlfn.IFS(H428,3,N428&lt;Data!$F$3,0,N428&lt;Data!$F$4,1,TRUE,2)</f>
        <v>0</v>
      </c>
    </row>
    <row r="429" spans="4:16">
      <c r="D429" s="3"/>
      <c r="E429" s="3"/>
      <c r="F429" s="3"/>
      <c r="G429" s="2" t="str" cm="1">
        <f t="array" ref="G429">_xlfn.CONCAT(IFERROR(I429:K429,""))</f>
        <v>02000000FEFFFFFF</v>
      </c>
      <c r="I429" s="2" t="e">
        <f>_xlfn.LET(_xlpm.big,DEC2HEX(_xlfn.BITLSHIFT(M429-_xlfn.XLOOKUP(O429,Data!A:A,Data!F:F),4)+O429,8),_xlfn.CONCAT(MID(_xlpm.big,7,2),MID(_xlpm.big,5,2),MID(_xlpm.big,3,2),MID(_xlpm.big,1,2)))</f>
        <v>#NUM!</v>
      </c>
      <c r="J429" s="2" t="str">
        <f t="shared" si="24"/>
        <v>02000000</v>
      </c>
      <c r="K429" s="2" t="str">
        <f>_xlfn.LET(_xlpm.big,IF(H429,DEC2HEX(HEX2DEC(F429),8),DEC2HEX(N429-_xlfn.XLOOKUP(P429,Data!A:A,Data!F:F),8)),_xlfn.CONCAT(MID(_xlpm.big,7,2),MID(_xlpm.big,5,2),MID(_xlpm.big,3,2),MID(_xlpm.big,1,2)))</f>
        <v>FEFFFFFF</v>
      </c>
      <c r="L429" s="2">
        <f t="shared" si="25"/>
        <v>0</v>
      </c>
      <c r="M429" s="2">
        <f t="shared" si="26"/>
        <v>0</v>
      </c>
      <c r="N429" s="2">
        <f t="shared" si="27"/>
        <v>0</v>
      </c>
      <c r="O429" s="2" cm="1">
        <f t="array" ref="O429">_xlfn.IFS(M429&lt;Data!$F$3,0,M429&lt;Data!$F$4,1,TRUE,2)</f>
        <v>0</v>
      </c>
      <c r="P429" s="2" cm="1">
        <f t="array" ref="P429">_xlfn.IFS(H429,3,N429&lt;Data!$F$3,0,N429&lt;Data!$F$4,1,TRUE,2)</f>
        <v>0</v>
      </c>
    </row>
    <row r="430" spans="4:16">
      <c r="D430" s="3"/>
      <c r="E430" s="3"/>
      <c r="F430" s="3"/>
      <c r="G430" s="2" t="str" cm="1">
        <f t="array" ref="G430">_xlfn.CONCAT(IFERROR(I430:K430,""))</f>
        <v>02000000FEFFFFFF</v>
      </c>
      <c r="I430" s="2" t="e">
        <f>_xlfn.LET(_xlpm.big,DEC2HEX(_xlfn.BITLSHIFT(M430-_xlfn.XLOOKUP(O430,Data!A:A,Data!F:F),4)+O430,8),_xlfn.CONCAT(MID(_xlpm.big,7,2),MID(_xlpm.big,5,2),MID(_xlpm.big,3,2),MID(_xlpm.big,1,2)))</f>
        <v>#NUM!</v>
      </c>
      <c r="J430" s="2" t="str">
        <f t="shared" si="24"/>
        <v>02000000</v>
      </c>
      <c r="K430" s="2" t="str">
        <f>_xlfn.LET(_xlpm.big,IF(H430,DEC2HEX(HEX2DEC(F430),8),DEC2HEX(N430-_xlfn.XLOOKUP(P430,Data!A:A,Data!F:F),8)),_xlfn.CONCAT(MID(_xlpm.big,7,2),MID(_xlpm.big,5,2),MID(_xlpm.big,3,2),MID(_xlpm.big,1,2)))</f>
        <v>FEFFFFFF</v>
      </c>
      <c r="L430" s="2">
        <f t="shared" si="25"/>
        <v>0</v>
      </c>
      <c r="M430" s="2">
        <f t="shared" si="26"/>
        <v>0</v>
      </c>
      <c r="N430" s="2">
        <f t="shared" si="27"/>
        <v>0</v>
      </c>
      <c r="O430" s="2" cm="1">
        <f t="array" ref="O430">_xlfn.IFS(M430&lt;Data!$F$3,0,M430&lt;Data!$F$4,1,TRUE,2)</f>
        <v>0</v>
      </c>
      <c r="P430" s="2" cm="1">
        <f t="array" ref="P430">_xlfn.IFS(H430,3,N430&lt;Data!$F$3,0,N430&lt;Data!$F$4,1,TRUE,2)</f>
        <v>0</v>
      </c>
    </row>
    <row r="431" spans="4:16">
      <c r="D431" s="3"/>
      <c r="E431" s="3"/>
      <c r="F431" s="3"/>
      <c r="G431" s="2" t="str" cm="1">
        <f t="array" ref="G431">_xlfn.CONCAT(IFERROR(I431:K431,""))</f>
        <v>02000000FEFFFFFF</v>
      </c>
      <c r="I431" s="2" t="e">
        <f>_xlfn.LET(_xlpm.big,DEC2HEX(_xlfn.BITLSHIFT(M431-_xlfn.XLOOKUP(O431,Data!A:A,Data!F:F),4)+O431,8),_xlfn.CONCAT(MID(_xlpm.big,7,2),MID(_xlpm.big,5,2),MID(_xlpm.big,3,2),MID(_xlpm.big,1,2)))</f>
        <v>#NUM!</v>
      </c>
      <c r="J431" s="2" t="str">
        <f t="shared" si="24"/>
        <v>02000000</v>
      </c>
      <c r="K431" s="2" t="str">
        <f>_xlfn.LET(_xlpm.big,IF(H431,DEC2HEX(HEX2DEC(F431),8),DEC2HEX(N431-_xlfn.XLOOKUP(P431,Data!A:A,Data!F:F),8)),_xlfn.CONCAT(MID(_xlpm.big,7,2),MID(_xlpm.big,5,2),MID(_xlpm.big,3,2),MID(_xlpm.big,1,2)))</f>
        <v>FEFFFFFF</v>
      </c>
      <c r="L431" s="2">
        <f t="shared" si="25"/>
        <v>0</v>
      </c>
      <c r="M431" s="2">
        <f t="shared" si="26"/>
        <v>0</v>
      </c>
      <c r="N431" s="2">
        <f t="shared" si="27"/>
        <v>0</v>
      </c>
      <c r="O431" s="2" cm="1">
        <f t="array" ref="O431">_xlfn.IFS(M431&lt;Data!$F$3,0,M431&lt;Data!$F$4,1,TRUE,2)</f>
        <v>0</v>
      </c>
      <c r="P431" s="2" cm="1">
        <f t="array" ref="P431">_xlfn.IFS(H431,3,N431&lt;Data!$F$3,0,N431&lt;Data!$F$4,1,TRUE,2)</f>
        <v>0</v>
      </c>
    </row>
    <row r="432" spans="4:16">
      <c r="D432" s="3"/>
      <c r="E432" s="3"/>
      <c r="F432" s="3"/>
      <c r="G432" s="2" t="str" cm="1">
        <f t="array" ref="G432">_xlfn.CONCAT(IFERROR(I432:K432,""))</f>
        <v>02000000FEFFFFFF</v>
      </c>
      <c r="I432" s="2" t="e">
        <f>_xlfn.LET(_xlpm.big,DEC2HEX(_xlfn.BITLSHIFT(M432-_xlfn.XLOOKUP(O432,Data!A:A,Data!F:F),4)+O432,8),_xlfn.CONCAT(MID(_xlpm.big,7,2),MID(_xlpm.big,5,2),MID(_xlpm.big,3,2),MID(_xlpm.big,1,2)))</f>
        <v>#NUM!</v>
      </c>
      <c r="J432" s="2" t="str">
        <f t="shared" si="24"/>
        <v>02000000</v>
      </c>
      <c r="K432" s="2" t="str">
        <f>_xlfn.LET(_xlpm.big,IF(H432,DEC2HEX(HEX2DEC(F432),8),DEC2HEX(N432-_xlfn.XLOOKUP(P432,Data!A:A,Data!F:F),8)),_xlfn.CONCAT(MID(_xlpm.big,7,2),MID(_xlpm.big,5,2),MID(_xlpm.big,3,2),MID(_xlpm.big,1,2)))</f>
        <v>FEFFFFFF</v>
      </c>
      <c r="L432" s="2">
        <f t="shared" si="25"/>
        <v>0</v>
      </c>
      <c r="M432" s="2">
        <f t="shared" si="26"/>
        <v>0</v>
      </c>
      <c r="N432" s="2">
        <f t="shared" si="27"/>
        <v>0</v>
      </c>
      <c r="O432" s="2" cm="1">
        <f t="array" ref="O432">_xlfn.IFS(M432&lt;Data!$F$3,0,M432&lt;Data!$F$4,1,TRUE,2)</f>
        <v>0</v>
      </c>
      <c r="P432" s="2" cm="1">
        <f t="array" ref="P432">_xlfn.IFS(H432,3,N432&lt;Data!$F$3,0,N432&lt;Data!$F$4,1,TRUE,2)</f>
        <v>0</v>
      </c>
    </row>
    <row r="433" spans="4:16">
      <c r="D433" s="3"/>
      <c r="E433" s="3"/>
      <c r="F433" s="3"/>
      <c r="G433" s="2" t="str" cm="1">
        <f t="array" ref="G433">_xlfn.CONCAT(IFERROR(I433:K433,""))</f>
        <v>02000000FEFFFFFF</v>
      </c>
      <c r="I433" s="2" t="e">
        <f>_xlfn.LET(_xlpm.big,DEC2HEX(_xlfn.BITLSHIFT(M433-_xlfn.XLOOKUP(O433,Data!A:A,Data!F:F),4)+O433,8),_xlfn.CONCAT(MID(_xlpm.big,7,2),MID(_xlpm.big,5,2),MID(_xlpm.big,3,2),MID(_xlpm.big,1,2)))</f>
        <v>#NUM!</v>
      </c>
      <c r="J433" s="2" t="str">
        <f t="shared" si="24"/>
        <v>02000000</v>
      </c>
      <c r="K433" s="2" t="str">
        <f>_xlfn.LET(_xlpm.big,IF(H433,DEC2HEX(HEX2DEC(F433),8),DEC2HEX(N433-_xlfn.XLOOKUP(P433,Data!A:A,Data!F:F),8)),_xlfn.CONCAT(MID(_xlpm.big,7,2),MID(_xlpm.big,5,2),MID(_xlpm.big,3,2),MID(_xlpm.big,1,2)))</f>
        <v>FEFFFFFF</v>
      </c>
      <c r="L433" s="2">
        <f t="shared" si="25"/>
        <v>0</v>
      </c>
      <c r="M433" s="2">
        <f t="shared" si="26"/>
        <v>0</v>
      </c>
      <c r="N433" s="2">
        <f t="shared" si="27"/>
        <v>0</v>
      </c>
      <c r="O433" s="2" cm="1">
        <f t="array" ref="O433">_xlfn.IFS(M433&lt;Data!$F$3,0,M433&lt;Data!$F$4,1,TRUE,2)</f>
        <v>0</v>
      </c>
      <c r="P433" s="2" cm="1">
        <f t="array" ref="P433">_xlfn.IFS(H433,3,N433&lt;Data!$F$3,0,N433&lt;Data!$F$4,1,TRUE,2)</f>
        <v>0</v>
      </c>
    </row>
    <row r="434" spans="4:16">
      <c r="D434" s="3"/>
      <c r="E434" s="3"/>
      <c r="F434" s="3"/>
      <c r="G434" s="2" t="str" cm="1">
        <f t="array" ref="G434">_xlfn.CONCAT(IFERROR(I434:K434,""))</f>
        <v>02000000FEFFFFFF</v>
      </c>
      <c r="I434" s="2" t="e">
        <f>_xlfn.LET(_xlpm.big,DEC2HEX(_xlfn.BITLSHIFT(M434-_xlfn.XLOOKUP(O434,Data!A:A,Data!F:F),4)+O434,8),_xlfn.CONCAT(MID(_xlpm.big,7,2),MID(_xlpm.big,5,2),MID(_xlpm.big,3,2),MID(_xlpm.big,1,2)))</f>
        <v>#NUM!</v>
      </c>
      <c r="J434" s="2" t="str">
        <f t="shared" si="24"/>
        <v>02000000</v>
      </c>
      <c r="K434" s="2" t="str">
        <f>_xlfn.LET(_xlpm.big,IF(H434,DEC2HEX(HEX2DEC(F434),8),DEC2HEX(N434-_xlfn.XLOOKUP(P434,Data!A:A,Data!F:F),8)),_xlfn.CONCAT(MID(_xlpm.big,7,2),MID(_xlpm.big,5,2),MID(_xlpm.big,3,2),MID(_xlpm.big,1,2)))</f>
        <v>FEFFFFFF</v>
      </c>
      <c r="L434" s="2">
        <f t="shared" si="25"/>
        <v>0</v>
      </c>
      <c r="M434" s="2">
        <f t="shared" si="26"/>
        <v>0</v>
      </c>
      <c r="N434" s="2">
        <f t="shared" si="27"/>
        <v>0</v>
      </c>
      <c r="O434" s="2" cm="1">
        <f t="array" ref="O434">_xlfn.IFS(M434&lt;Data!$F$3,0,M434&lt;Data!$F$4,1,TRUE,2)</f>
        <v>0</v>
      </c>
      <c r="P434" s="2" cm="1">
        <f t="array" ref="P434">_xlfn.IFS(H434,3,N434&lt;Data!$F$3,0,N434&lt;Data!$F$4,1,TRUE,2)</f>
        <v>0</v>
      </c>
    </row>
    <row r="435" spans="4:16">
      <c r="D435" s="3"/>
      <c r="E435" s="3"/>
      <c r="F435" s="3"/>
      <c r="G435" s="2" t="str" cm="1">
        <f t="array" ref="G435">_xlfn.CONCAT(IFERROR(I435:K435,""))</f>
        <v>02000000FEFFFFFF</v>
      </c>
      <c r="I435" s="2" t="e">
        <f>_xlfn.LET(_xlpm.big,DEC2HEX(_xlfn.BITLSHIFT(M435-_xlfn.XLOOKUP(O435,Data!A:A,Data!F:F),4)+O435,8),_xlfn.CONCAT(MID(_xlpm.big,7,2),MID(_xlpm.big,5,2),MID(_xlpm.big,3,2),MID(_xlpm.big,1,2)))</f>
        <v>#NUM!</v>
      </c>
      <c r="J435" s="2" t="str">
        <f t="shared" si="24"/>
        <v>02000000</v>
      </c>
      <c r="K435" s="2" t="str">
        <f>_xlfn.LET(_xlpm.big,IF(H435,DEC2HEX(HEX2DEC(F435),8),DEC2HEX(N435-_xlfn.XLOOKUP(P435,Data!A:A,Data!F:F),8)),_xlfn.CONCAT(MID(_xlpm.big,7,2),MID(_xlpm.big,5,2),MID(_xlpm.big,3,2),MID(_xlpm.big,1,2)))</f>
        <v>FEFFFFFF</v>
      </c>
      <c r="L435" s="2">
        <f t="shared" si="25"/>
        <v>0</v>
      </c>
      <c r="M435" s="2">
        <f t="shared" si="26"/>
        <v>0</v>
      </c>
      <c r="N435" s="2">
        <f t="shared" si="27"/>
        <v>0</v>
      </c>
      <c r="O435" s="2" cm="1">
        <f t="array" ref="O435">_xlfn.IFS(M435&lt;Data!$F$3,0,M435&lt;Data!$F$4,1,TRUE,2)</f>
        <v>0</v>
      </c>
      <c r="P435" s="2" cm="1">
        <f t="array" ref="P435">_xlfn.IFS(H435,3,N435&lt;Data!$F$3,0,N435&lt;Data!$F$4,1,TRUE,2)</f>
        <v>0</v>
      </c>
    </row>
    <row r="436" spans="4:16">
      <c r="D436" s="3"/>
      <c r="E436" s="3"/>
      <c r="F436" s="3"/>
      <c r="G436" s="2" t="str" cm="1">
        <f t="array" ref="G436">_xlfn.CONCAT(IFERROR(I436:K436,""))</f>
        <v>02000000FEFFFFFF</v>
      </c>
      <c r="I436" s="2" t="e">
        <f>_xlfn.LET(_xlpm.big,DEC2HEX(_xlfn.BITLSHIFT(M436-_xlfn.XLOOKUP(O436,Data!A:A,Data!F:F),4)+O436,8),_xlfn.CONCAT(MID(_xlpm.big,7,2),MID(_xlpm.big,5,2),MID(_xlpm.big,3,2),MID(_xlpm.big,1,2)))</f>
        <v>#NUM!</v>
      </c>
      <c r="J436" s="2" t="str">
        <f t="shared" si="24"/>
        <v>02000000</v>
      </c>
      <c r="K436" s="2" t="str">
        <f>_xlfn.LET(_xlpm.big,IF(H436,DEC2HEX(HEX2DEC(F436),8),DEC2HEX(N436-_xlfn.XLOOKUP(P436,Data!A:A,Data!F:F),8)),_xlfn.CONCAT(MID(_xlpm.big,7,2),MID(_xlpm.big,5,2),MID(_xlpm.big,3,2),MID(_xlpm.big,1,2)))</f>
        <v>FEFFFFFF</v>
      </c>
      <c r="L436" s="2">
        <f t="shared" si="25"/>
        <v>0</v>
      </c>
      <c r="M436" s="2">
        <f t="shared" si="26"/>
        <v>0</v>
      </c>
      <c r="N436" s="2">
        <f t="shared" si="27"/>
        <v>0</v>
      </c>
      <c r="O436" s="2" cm="1">
        <f t="array" ref="O436">_xlfn.IFS(M436&lt;Data!$F$3,0,M436&lt;Data!$F$4,1,TRUE,2)</f>
        <v>0</v>
      </c>
      <c r="P436" s="2" cm="1">
        <f t="array" ref="P436">_xlfn.IFS(H436,3,N436&lt;Data!$F$3,0,N436&lt;Data!$F$4,1,TRUE,2)</f>
        <v>0</v>
      </c>
    </row>
    <row r="437" spans="4:16">
      <c r="D437" s="3"/>
      <c r="E437" s="3"/>
      <c r="F437" s="3"/>
      <c r="G437" s="2" t="str" cm="1">
        <f t="array" ref="G437">_xlfn.CONCAT(IFERROR(I437:K437,""))</f>
        <v>02000000FEFFFFFF</v>
      </c>
      <c r="I437" s="2" t="e">
        <f>_xlfn.LET(_xlpm.big,DEC2HEX(_xlfn.BITLSHIFT(M437-_xlfn.XLOOKUP(O437,Data!A:A,Data!F:F),4)+O437,8),_xlfn.CONCAT(MID(_xlpm.big,7,2),MID(_xlpm.big,5,2),MID(_xlpm.big,3,2),MID(_xlpm.big,1,2)))</f>
        <v>#NUM!</v>
      </c>
      <c r="J437" s="2" t="str">
        <f t="shared" si="24"/>
        <v>02000000</v>
      </c>
      <c r="K437" s="2" t="str">
        <f>_xlfn.LET(_xlpm.big,IF(H437,DEC2HEX(HEX2DEC(F437),8),DEC2HEX(N437-_xlfn.XLOOKUP(P437,Data!A:A,Data!F:F),8)),_xlfn.CONCAT(MID(_xlpm.big,7,2),MID(_xlpm.big,5,2),MID(_xlpm.big,3,2),MID(_xlpm.big,1,2)))</f>
        <v>FEFFFFFF</v>
      </c>
      <c r="L437" s="2">
        <f t="shared" si="25"/>
        <v>0</v>
      </c>
      <c r="M437" s="2">
        <f t="shared" si="26"/>
        <v>0</v>
      </c>
      <c r="N437" s="2">
        <f t="shared" si="27"/>
        <v>0</v>
      </c>
      <c r="O437" s="2" cm="1">
        <f t="array" ref="O437">_xlfn.IFS(M437&lt;Data!$F$3,0,M437&lt;Data!$F$4,1,TRUE,2)</f>
        <v>0</v>
      </c>
      <c r="P437" s="2" cm="1">
        <f t="array" ref="P437">_xlfn.IFS(H437,3,N437&lt;Data!$F$3,0,N437&lt;Data!$F$4,1,TRUE,2)</f>
        <v>0</v>
      </c>
    </row>
    <row r="438" spans="4:16">
      <c r="D438" s="3"/>
      <c r="E438" s="3"/>
      <c r="F438" s="3"/>
      <c r="G438" s="2" t="str" cm="1">
        <f t="array" ref="G438">_xlfn.CONCAT(IFERROR(I438:K438,""))</f>
        <v>02000000FEFFFFFF</v>
      </c>
      <c r="I438" s="2" t="e">
        <f>_xlfn.LET(_xlpm.big,DEC2HEX(_xlfn.BITLSHIFT(M438-_xlfn.XLOOKUP(O438,Data!A:A,Data!F:F),4)+O438,8),_xlfn.CONCAT(MID(_xlpm.big,7,2),MID(_xlpm.big,5,2),MID(_xlpm.big,3,2),MID(_xlpm.big,1,2)))</f>
        <v>#NUM!</v>
      </c>
      <c r="J438" s="2" t="str">
        <f t="shared" si="24"/>
        <v>02000000</v>
      </c>
      <c r="K438" s="2" t="str">
        <f>_xlfn.LET(_xlpm.big,IF(H438,DEC2HEX(HEX2DEC(F438),8),DEC2HEX(N438-_xlfn.XLOOKUP(P438,Data!A:A,Data!F:F),8)),_xlfn.CONCAT(MID(_xlpm.big,7,2),MID(_xlpm.big,5,2),MID(_xlpm.big,3,2),MID(_xlpm.big,1,2)))</f>
        <v>FEFFFFFF</v>
      </c>
      <c r="L438" s="2">
        <f t="shared" si="25"/>
        <v>0</v>
      </c>
      <c r="M438" s="2">
        <f t="shared" si="26"/>
        <v>0</v>
      </c>
      <c r="N438" s="2">
        <f t="shared" si="27"/>
        <v>0</v>
      </c>
      <c r="O438" s="2" cm="1">
        <f t="array" ref="O438">_xlfn.IFS(M438&lt;Data!$F$3,0,M438&lt;Data!$F$4,1,TRUE,2)</f>
        <v>0</v>
      </c>
      <c r="P438" s="2" cm="1">
        <f t="array" ref="P438">_xlfn.IFS(H438,3,N438&lt;Data!$F$3,0,N438&lt;Data!$F$4,1,TRUE,2)</f>
        <v>0</v>
      </c>
    </row>
    <row r="439" spans="4:16">
      <c r="D439" s="3"/>
      <c r="E439" s="3"/>
      <c r="F439" s="3"/>
      <c r="G439" s="2" t="str" cm="1">
        <f t="array" ref="G439">_xlfn.CONCAT(IFERROR(I439:K439,""))</f>
        <v>02000000FEFFFFFF</v>
      </c>
      <c r="I439" s="2" t="e">
        <f>_xlfn.LET(_xlpm.big,DEC2HEX(_xlfn.BITLSHIFT(M439-_xlfn.XLOOKUP(O439,Data!A:A,Data!F:F),4)+O439,8),_xlfn.CONCAT(MID(_xlpm.big,7,2),MID(_xlpm.big,5,2),MID(_xlpm.big,3,2),MID(_xlpm.big,1,2)))</f>
        <v>#NUM!</v>
      </c>
      <c r="J439" s="2" t="str">
        <f t="shared" si="24"/>
        <v>02000000</v>
      </c>
      <c r="K439" s="2" t="str">
        <f>_xlfn.LET(_xlpm.big,IF(H439,DEC2HEX(HEX2DEC(F439),8),DEC2HEX(N439-_xlfn.XLOOKUP(P439,Data!A:A,Data!F:F),8)),_xlfn.CONCAT(MID(_xlpm.big,7,2),MID(_xlpm.big,5,2),MID(_xlpm.big,3,2),MID(_xlpm.big,1,2)))</f>
        <v>FEFFFFFF</v>
      </c>
      <c r="L439" s="2">
        <f t="shared" si="25"/>
        <v>0</v>
      </c>
      <c r="M439" s="2">
        <f t="shared" si="26"/>
        <v>0</v>
      </c>
      <c r="N439" s="2">
        <f t="shared" si="27"/>
        <v>0</v>
      </c>
      <c r="O439" s="2" cm="1">
        <f t="array" ref="O439">_xlfn.IFS(M439&lt;Data!$F$3,0,M439&lt;Data!$F$4,1,TRUE,2)</f>
        <v>0</v>
      </c>
      <c r="P439" s="2" cm="1">
        <f t="array" ref="P439">_xlfn.IFS(H439,3,N439&lt;Data!$F$3,0,N439&lt;Data!$F$4,1,TRUE,2)</f>
        <v>0</v>
      </c>
    </row>
    <row r="440" spans="4:16">
      <c r="D440" s="3"/>
      <c r="E440" s="3"/>
      <c r="F440" s="3"/>
      <c r="G440" s="2" t="str" cm="1">
        <f t="array" ref="G440">_xlfn.CONCAT(IFERROR(I440:K440,""))</f>
        <v>02000000FEFFFFFF</v>
      </c>
      <c r="I440" s="2" t="e">
        <f>_xlfn.LET(_xlpm.big,DEC2HEX(_xlfn.BITLSHIFT(M440-_xlfn.XLOOKUP(O440,Data!A:A,Data!F:F),4)+O440,8),_xlfn.CONCAT(MID(_xlpm.big,7,2),MID(_xlpm.big,5,2),MID(_xlpm.big,3,2),MID(_xlpm.big,1,2)))</f>
        <v>#NUM!</v>
      </c>
      <c r="J440" s="2" t="str">
        <f t="shared" si="24"/>
        <v>02000000</v>
      </c>
      <c r="K440" s="2" t="str">
        <f>_xlfn.LET(_xlpm.big,IF(H440,DEC2HEX(HEX2DEC(F440),8),DEC2HEX(N440-_xlfn.XLOOKUP(P440,Data!A:A,Data!F:F),8)),_xlfn.CONCAT(MID(_xlpm.big,7,2),MID(_xlpm.big,5,2),MID(_xlpm.big,3,2),MID(_xlpm.big,1,2)))</f>
        <v>FEFFFFFF</v>
      </c>
      <c r="L440" s="2">
        <f t="shared" si="25"/>
        <v>0</v>
      </c>
      <c r="M440" s="2">
        <f t="shared" si="26"/>
        <v>0</v>
      </c>
      <c r="N440" s="2">
        <f t="shared" si="27"/>
        <v>0</v>
      </c>
      <c r="O440" s="2" cm="1">
        <f t="array" ref="O440">_xlfn.IFS(M440&lt;Data!$F$3,0,M440&lt;Data!$F$4,1,TRUE,2)</f>
        <v>0</v>
      </c>
      <c r="P440" s="2" cm="1">
        <f t="array" ref="P440">_xlfn.IFS(H440,3,N440&lt;Data!$F$3,0,N440&lt;Data!$F$4,1,TRUE,2)</f>
        <v>0</v>
      </c>
    </row>
    <row r="441" spans="4:16">
      <c r="D441" s="3"/>
      <c r="E441" s="3"/>
      <c r="F441" s="3"/>
      <c r="G441" s="2" t="str" cm="1">
        <f t="array" ref="G441">_xlfn.CONCAT(IFERROR(I441:K441,""))</f>
        <v>02000000FEFFFFFF</v>
      </c>
      <c r="I441" s="2" t="e">
        <f>_xlfn.LET(_xlpm.big,DEC2HEX(_xlfn.BITLSHIFT(M441-_xlfn.XLOOKUP(O441,Data!A:A,Data!F:F),4)+O441,8),_xlfn.CONCAT(MID(_xlpm.big,7,2),MID(_xlpm.big,5,2),MID(_xlpm.big,3,2),MID(_xlpm.big,1,2)))</f>
        <v>#NUM!</v>
      </c>
      <c r="J441" s="2" t="str">
        <f t="shared" si="24"/>
        <v>02000000</v>
      </c>
      <c r="K441" s="2" t="str">
        <f>_xlfn.LET(_xlpm.big,IF(H441,DEC2HEX(HEX2DEC(F441),8),DEC2HEX(N441-_xlfn.XLOOKUP(P441,Data!A:A,Data!F:F),8)),_xlfn.CONCAT(MID(_xlpm.big,7,2),MID(_xlpm.big,5,2),MID(_xlpm.big,3,2),MID(_xlpm.big,1,2)))</f>
        <v>FEFFFFFF</v>
      </c>
      <c r="L441" s="2">
        <f t="shared" si="25"/>
        <v>0</v>
      </c>
      <c r="M441" s="2">
        <f t="shared" si="26"/>
        <v>0</v>
      </c>
      <c r="N441" s="2">
        <f t="shared" si="27"/>
        <v>0</v>
      </c>
      <c r="O441" s="2" cm="1">
        <f t="array" ref="O441">_xlfn.IFS(M441&lt;Data!$F$3,0,M441&lt;Data!$F$4,1,TRUE,2)</f>
        <v>0</v>
      </c>
      <c r="P441" s="2" cm="1">
        <f t="array" ref="P441">_xlfn.IFS(H441,3,N441&lt;Data!$F$3,0,N441&lt;Data!$F$4,1,TRUE,2)</f>
        <v>0</v>
      </c>
    </row>
    <row r="442" spans="4:16">
      <c r="D442" s="3"/>
      <c r="E442" s="3"/>
      <c r="F442" s="3"/>
      <c r="G442" s="2" t="str" cm="1">
        <f t="array" ref="G442">_xlfn.CONCAT(IFERROR(I442:K442,""))</f>
        <v>02000000FEFFFFFF</v>
      </c>
      <c r="I442" s="2" t="e">
        <f>_xlfn.LET(_xlpm.big,DEC2HEX(_xlfn.BITLSHIFT(M442-_xlfn.XLOOKUP(O442,Data!A:A,Data!F:F),4)+O442,8),_xlfn.CONCAT(MID(_xlpm.big,7,2),MID(_xlpm.big,5,2),MID(_xlpm.big,3,2),MID(_xlpm.big,1,2)))</f>
        <v>#NUM!</v>
      </c>
      <c r="J442" s="2" t="str">
        <f t="shared" si="24"/>
        <v>02000000</v>
      </c>
      <c r="K442" s="2" t="str">
        <f>_xlfn.LET(_xlpm.big,IF(H442,DEC2HEX(HEX2DEC(F442),8),DEC2HEX(N442-_xlfn.XLOOKUP(P442,Data!A:A,Data!F:F),8)),_xlfn.CONCAT(MID(_xlpm.big,7,2),MID(_xlpm.big,5,2),MID(_xlpm.big,3,2),MID(_xlpm.big,1,2)))</f>
        <v>FEFFFFFF</v>
      </c>
      <c r="L442" s="2">
        <f t="shared" si="25"/>
        <v>0</v>
      </c>
      <c r="M442" s="2">
        <f t="shared" si="26"/>
        <v>0</v>
      </c>
      <c r="N442" s="2">
        <f t="shared" si="27"/>
        <v>0</v>
      </c>
      <c r="O442" s="2" cm="1">
        <f t="array" ref="O442">_xlfn.IFS(M442&lt;Data!$F$3,0,M442&lt;Data!$F$4,1,TRUE,2)</f>
        <v>0</v>
      </c>
      <c r="P442" s="2" cm="1">
        <f t="array" ref="P442">_xlfn.IFS(H442,3,N442&lt;Data!$F$3,0,N442&lt;Data!$F$4,1,TRUE,2)</f>
        <v>0</v>
      </c>
    </row>
    <row r="443" spans="4:16">
      <c r="D443" s="3"/>
      <c r="E443" s="3"/>
      <c r="F443" s="3"/>
      <c r="G443" s="2" t="str" cm="1">
        <f t="array" ref="G443">_xlfn.CONCAT(IFERROR(I443:K443,""))</f>
        <v>02000000FEFFFFFF</v>
      </c>
      <c r="I443" s="2" t="e">
        <f>_xlfn.LET(_xlpm.big,DEC2HEX(_xlfn.BITLSHIFT(M443-_xlfn.XLOOKUP(O443,Data!A:A,Data!F:F),4)+O443,8),_xlfn.CONCAT(MID(_xlpm.big,7,2),MID(_xlpm.big,5,2),MID(_xlpm.big,3,2),MID(_xlpm.big,1,2)))</f>
        <v>#NUM!</v>
      </c>
      <c r="J443" s="2" t="str">
        <f t="shared" si="24"/>
        <v>02000000</v>
      </c>
      <c r="K443" s="2" t="str">
        <f>_xlfn.LET(_xlpm.big,IF(H443,DEC2HEX(HEX2DEC(F443),8),DEC2HEX(N443-_xlfn.XLOOKUP(P443,Data!A:A,Data!F:F),8)),_xlfn.CONCAT(MID(_xlpm.big,7,2),MID(_xlpm.big,5,2),MID(_xlpm.big,3,2),MID(_xlpm.big,1,2)))</f>
        <v>FEFFFFFF</v>
      </c>
      <c r="L443" s="2">
        <f t="shared" si="25"/>
        <v>0</v>
      </c>
      <c r="M443" s="2">
        <f t="shared" si="26"/>
        <v>0</v>
      </c>
      <c r="N443" s="2">
        <f t="shared" si="27"/>
        <v>0</v>
      </c>
      <c r="O443" s="2" cm="1">
        <f t="array" ref="O443">_xlfn.IFS(M443&lt;Data!$F$3,0,M443&lt;Data!$F$4,1,TRUE,2)</f>
        <v>0</v>
      </c>
      <c r="P443" s="2" cm="1">
        <f t="array" ref="P443">_xlfn.IFS(H443,3,N443&lt;Data!$F$3,0,N443&lt;Data!$F$4,1,TRUE,2)</f>
        <v>0</v>
      </c>
    </row>
    <row r="444" spans="4:16">
      <c r="G444" s="2" t="str" cm="1">
        <f t="array" ref="G444">_xlfn.CONCAT(IFERROR(I444:K444,""))</f>
        <v>02000000FEFFFFFF</v>
      </c>
      <c r="I444" s="2" t="e">
        <f>_xlfn.LET(_xlpm.big,DEC2HEX(_xlfn.BITLSHIFT(M444-_xlfn.XLOOKUP(O444,Data!A:A,Data!F:F),4)+O444,8),_xlfn.CONCAT(MID(_xlpm.big,7,2),MID(_xlpm.big,5,2),MID(_xlpm.big,3,2),MID(_xlpm.big,1,2)))</f>
        <v>#NUM!</v>
      </c>
      <c r="J444" s="2" t="str">
        <f t="shared" si="24"/>
        <v>02000000</v>
      </c>
      <c r="K444" s="2" t="str">
        <f>_xlfn.LET(_xlpm.big,IF(H444,DEC2HEX(HEX2DEC(F444),8),DEC2HEX(N444-_xlfn.XLOOKUP(P444,Data!A:A,Data!F:F),8)),_xlfn.CONCAT(MID(_xlpm.big,7,2),MID(_xlpm.big,5,2),MID(_xlpm.big,3,2),MID(_xlpm.big,1,2)))</f>
        <v>FEFFFFFF</v>
      </c>
      <c r="L444" s="2">
        <f t="shared" si="25"/>
        <v>0</v>
      </c>
      <c r="M444" s="2">
        <f t="shared" si="26"/>
        <v>0</v>
      </c>
      <c r="N444" s="2">
        <f t="shared" si="27"/>
        <v>0</v>
      </c>
      <c r="O444" s="2" cm="1">
        <f t="array" ref="O444">_xlfn.IFS(M444&lt;Data!$F$3,0,M444&lt;Data!$F$4,1,TRUE,2)</f>
        <v>0</v>
      </c>
      <c r="P444" s="2" cm="1">
        <f t="array" ref="P444">_xlfn.IFS(H444,3,N444&lt;Data!$F$3,0,N444&lt;Data!$F$4,1,TRUE,2)</f>
        <v>0</v>
      </c>
    </row>
    <row r="445" spans="4:16">
      <c r="D445" s="3"/>
      <c r="E445" s="3"/>
      <c r="F445" s="3"/>
      <c r="G445" s="2" t="str" cm="1">
        <f t="array" ref="G445">_xlfn.CONCAT(IFERROR(I445:K445,""))</f>
        <v>02000000FEFFFFFF</v>
      </c>
      <c r="I445" s="2" t="e">
        <f>_xlfn.LET(_xlpm.big,DEC2HEX(_xlfn.BITLSHIFT(M445-_xlfn.XLOOKUP(O445,Data!A:A,Data!F:F),4)+O445,8),_xlfn.CONCAT(MID(_xlpm.big,7,2),MID(_xlpm.big,5,2),MID(_xlpm.big,3,2),MID(_xlpm.big,1,2)))</f>
        <v>#NUM!</v>
      </c>
      <c r="J445" s="2" t="str">
        <f t="shared" si="24"/>
        <v>02000000</v>
      </c>
      <c r="K445" s="2" t="str">
        <f>_xlfn.LET(_xlpm.big,IF(H445,DEC2HEX(HEX2DEC(F445),8),DEC2HEX(N445-_xlfn.XLOOKUP(P445,Data!A:A,Data!F:F),8)),_xlfn.CONCAT(MID(_xlpm.big,7,2),MID(_xlpm.big,5,2),MID(_xlpm.big,3,2),MID(_xlpm.big,1,2)))</f>
        <v>FEFFFFFF</v>
      </c>
      <c r="L445" s="2">
        <f t="shared" si="25"/>
        <v>0</v>
      </c>
      <c r="M445" s="2">
        <f t="shared" si="26"/>
        <v>0</v>
      </c>
      <c r="N445" s="2">
        <f t="shared" si="27"/>
        <v>0</v>
      </c>
      <c r="O445" s="2" cm="1">
        <f t="array" ref="O445">_xlfn.IFS(M445&lt;Data!$F$3,0,M445&lt;Data!$F$4,1,TRUE,2)</f>
        <v>0</v>
      </c>
      <c r="P445" s="2" cm="1">
        <f t="array" ref="P445">_xlfn.IFS(H445,3,N445&lt;Data!$F$3,0,N445&lt;Data!$F$4,1,TRUE,2)</f>
        <v>0</v>
      </c>
    </row>
    <row r="446" spans="4:16">
      <c r="D446" s="3"/>
      <c r="E446" s="3"/>
      <c r="F446" s="3"/>
      <c r="G446" s="2" t="str" cm="1">
        <f t="array" ref="G446">_xlfn.CONCAT(IFERROR(I446:K446,""))</f>
        <v>02000000FEFFFFFF</v>
      </c>
      <c r="I446" s="2" t="e">
        <f>_xlfn.LET(_xlpm.big,DEC2HEX(_xlfn.BITLSHIFT(M446-_xlfn.XLOOKUP(O446,Data!A:A,Data!F:F),4)+O446,8),_xlfn.CONCAT(MID(_xlpm.big,7,2),MID(_xlpm.big,5,2),MID(_xlpm.big,3,2),MID(_xlpm.big,1,2)))</f>
        <v>#NUM!</v>
      </c>
      <c r="J446" s="2" t="str">
        <f t="shared" si="24"/>
        <v>02000000</v>
      </c>
      <c r="K446" s="2" t="str">
        <f>_xlfn.LET(_xlpm.big,IF(H446,DEC2HEX(HEX2DEC(F446),8),DEC2HEX(N446-_xlfn.XLOOKUP(P446,Data!A:A,Data!F:F),8)),_xlfn.CONCAT(MID(_xlpm.big,7,2),MID(_xlpm.big,5,2),MID(_xlpm.big,3,2),MID(_xlpm.big,1,2)))</f>
        <v>FEFFFFFF</v>
      </c>
      <c r="L446" s="2">
        <f t="shared" si="25"/>
        <v>0</v>
      </c>
      <c r="M446" s="2">
        <f t="shared" si="26"/>
        <v>0</v>
      </c>
      <c r="N446" s="2">
        <f t="shared" si="27"/>
        <v>0</v>
      </c>
      <c r="O446" s="2" cm="1">
        <f t="array" ref="O446">_xlfn.IFS(M446&lt;Data!$F$3,0,M446&lt;Data!$F$4,1,TRUE,2)</f>
        <v>0</v>
      </c>
      <c r="P446" s="2" cm="1">
        <f t="array" ref="P446">_xlfn.IFS(H446,3,N446&lt;Data!$F$3,0,N446&lt;Data!$F$4,1,TRUE,2)</f>
        <v>0</v>
      </c>
    </row>
    <row r="447" spans="4:16">
      <c r="D447" s="3"/>
      <c r="E447" s="3"/>
      <c r="F447" s="3"/>
      <c r="G447" s="2" t="str" cm="1">
        <f t="array" ref="G447">_xlfn.CONCAT(IFERROR(I447:K447,""))</f>
        <v>02000000FEFFFFFF</v>
      </c>
      <c r="I447" s="2" t="e">
        <f>_xlfn.LET(_xlpm.big,DEC2HEX(_xlfn.BITLSHIFT(M447-_xlfn.XLOOKUP(O447,Data!A:A,Data!F:F),4)+O447,8),_xlfn.CONCAT(MID(_xlpm.big,7,2),MID(_xlpm.big,5,2),MID(_xlpm.big,3,2),MID(_xlpm.big,1,2)))</f>
        <v>#NUM!</v>
      </c>
      <c r="J447" s="2" t="str">
        <f t="shared" si="24"/>
        <v>02000000</v>
      </c>
      <c r="K447" s="2" t="str">
        <f>_xlfn.LET(_xlpm.big,IF(H447,DEC2HEX(HEX2DEC(F447),8),DEC2HEX(N447-_xlfn.XLOOKUP(P447,Data!A:A,Data!F:F),8)),_xlfn.CONCAT(MID(_xlpm.big,7,2),MID(_xlpm.big,5,2),MID(_xlpm.big,3,2),MID(_xlpm.big,1,2)))</f>
        <v>FEFFFFFF</v>
      </c>
      <c r="L447" s="2">
        <f t="shared" si="25"/>
        <v>0</v>
      </c>
      <c r="M447" s="2">
        <f t="shared" si="26"/>
        <v>0</v>
      </c>
      <c r="N447" s="2">
        <f t="shared" si="27"/>
        <v>0</v>
      </c>
      <c r="O447" s="2" cm="1">
        <f t="array" ref="O447">_xlfn.IFS(M447&lt;Data!$F$3,0,M447&lt;Data!$F$4,1,TRUE,2)</f>
        <v>0</v>
      </c>
      <c r="P447" s="2" cm="1">
        <f t="array" ref="P447">_xlfn.IFS(H447,3,N447&lt;Data!$F$3,0,N447&lt;Data!$F$4,1,TRUE,2)</f>
        <v>0</v>
      </c>
    </row>
    <row r="448" spans="4:16">
      <c r="D448" s="3"/>
      <c r="E448" s="3"/>
      <c r="F448" s="3"/>
      <c r="G448" s="2" t="str" cm="1">
        <f t="array" ref="G448">_xlfn.CONCAT(IFERROR(I448:K448,""))</f>
        <v>02000000FEFFFFFF</v>
      </c>
      <c r="I448" s="2" t="e">
        <f>_xlfn.LET(_xlpm.big,DEC2HEX(_xlfn.BITLSHIFT(M448-_xlfn.XLOOKUP(O448,Data!A:A,Data!F:F),4)+O448,8),_xlfn.CONCAT(MID(_xlpm.big,7,2),MID(_xlpm.big,5,2),MID(_xlpm.big,3,2),MID(_xlpm.big,1,2)))</f>
        <v>#NUM!</v>
      </c>
      <c r="J448" s="2" t="str">
        <f t="shared" si="24"/>
        <v>02000000</v>
      </c>
      <c r="K448" s="2" t="str">
        <f>_xlfn.LET(_xlpm.big,IF(H448,DEC2HEX(HEX2DEC(F448),8),DEC2HEX(N448-_xlfn.XLOOKUP(P448,Data!A:A,Data!F:F),8)),_xlfn.CONCAT(MID(_xlpm.big,7,2),MID(_xlpm.big,5,2),MID(_xlpm.big,3,2),MID(_xlpm.big,1,2)))</f>
        <v>FEFFFFFF</v>
      </c>
      <c r="L448" s="2">
        <f t="shared" si="25"/>
        <v>0</v>
      </c>
      <c r="M448" s="2">
        <f t="shared" si="26"/>
        <v>0</v>
      </c>
      <c r="N448" s="2">
        <f t="shared" si="27"/>
        <v>0</v>
      </c>
      <c r="O448" s="2" cm="1">
        <f t="array" ref="O448">_xlfn.IFS(M448&lt;Data!$F$3,0,M448&lt;Data!$F$4,1,TRUE,2)</f>
        <v>0</v>
      </c>
      <c r="P448" s="2" cm="1">
        <f t="array" ref="P448">_xlfn.IFS(H448,3,N448&lt;Data!$F$3,0,N448&lt;Data!$F$4,1,TRUE,2)</f>
        <v>0</v>
      </c>
    </row>
    <row r="449" spans="4:16">
      <c r="D449" s="3"/>
      <c r="E449" s="3"/>
      <c r="F449" s="3"/>
      <c r="G449" s="2" t="str" cm="1">
        <f t="array" ref="G449">_xlfn.CONCAT(IFERROR(I449:K449,""))</f>
        <v>02000000FEFFFFFF</v>
      </c>
      <c r="I449" s="2" t="e">
        <f>_xlfn.LET(_xlpm.big,DEC2HEX(_xlfn.BITLSHIFT(M449-_xlfn.XLOOKUP(O449,Data!A:A,Data!F:F),4)+O449,8),_xlfn.CONCAT(MID(_xlpm.big,7,2),MID(_xlpm.big,5,2),MID(_xlpm.big,3,2),MID(_xlpm.big,1,2)))</f>
        <v>#NUM!</v>
      </c>
      <c r="J449" s="2" t="str">
        <f t="shared" si="24"/>
        <v>02000000</v>
      </c>
      <c r="K449" s="2" t="str">
        <f>_xlfn.LET(_xlpm.big,IF(H449,DEC2HEX(HEX2DEC(F449),8),DEC2HEX(N449-_xlfn.XLOOKUP(P449,Data!A:A,Data!F:F),8)),_xlfn.CONCAT(MID(_xlpm.big,7,2),MID(_xlpm.big,5,2),MID(_xlpm.big,3,2),MID(_xlpm.big,1,2)))</f>
        <v>FEFFFFFF</v>
      </c>
      <c r="L449" s="2">
        <f t="shared" si="25"/>
        <v>0</v>
      </c>
      <c r="M449" s="2">
        <f t="shared" si="26"/>
        <v>0</v>
      </c>
      <c r="N449" s="2">
        <f t="shared" si="27"/>
        <v>0</v>
      </c>
      <c r="O449" s="2" cm="1">
        <f t="array" ref="O449">_xlfn.IFS(M449&lt;Data!$F$3,0,M449&lt;Data!$F$4,1,TRUE,2)</f>
        <v>0</v>
      </c>
      <c r="P449" s="2" cm="1">
        <f t="array" ref="P449">_xlfn.IFS(H449,3,N449&lt;Data!$F$3,0,N449&lt;Data!$F$4,1,TRUE,2)</f>
        <v>0</v>
      </c>
    </row>
    <row r="450" spans="4:16">
      <c r="D450" s="3"/>
      <c r="E450" s="3"/>
      <c r="F450" s="3"/>
      <c r="G450" s="2" t="str" cm="1">
        <f t="array" ref="G450">_xlfn.CONCAT(IFERROR(I450:K450,""))</f>
        <v>02000000FEFFFFFF</v>
      </c>
      <c r="I450" s="2" t="e">
        <f>_xlfn.LET(_xlpm.big,DEC2HEX(_xlfn.BITLSHIFT(M450-_xlfn.XLOOKUP(O450,Data!A:A,Data!F:F),4)+O450,8),_xlfn.CONCAT(MID(_xlpm.big,7,2),MID(_xlpm.big,5,2),MID(_xlpm.big,3,2),MID(_xlpm.big,1,2)))</f>
        <v>#NUM!</v>
      </c>
      <c r="J450" s="2" t="str">
        <f t="shared" ref="J450:J513" si="28">_xlfn.CONCAT("02",DEC2HEX(P450,2),"0000")</f>
        <v>02000000</v>
      </c>
      <c r="K450" s="2" t="str">
        <f>_xlfn.LET(_xlpm.big,IF(H450,DEC2HEX(HEX2DEC(F450),8),DEC2HEX(N450-_xlfn.XLOOKUP(P450,Data!A:A,Data!F:F),8)),_xlfn.CONCAT(MID(_xlpm.big,7,2),MID(_xlpm.big,5,2),MID(_xlpm.big,3,2),MID(_xlpm.big,1,2)))</f>
        <v>FEFFFFFF</v>
      </c>
      <c r="L450" s="2">
        <f t="shared" ref="L450:L513" si="29">HEX2DEC(D450)</f>
        <v>0</v>
      </c>
      <c r="M450" s="2">
        <f t="shared" ref="M450:M513" si="30">HEX2DEC(E450)</f>
        <v>0</v>
      </c>
      <c r="N450" s="2">
        <f t="shared" ref="N450:N513" si="31">HEX2DEC(F450)</f>
        <v>0</v>
      </c>
      <c r="O450" s="2" cm="1">
        <f t="array" ref="O450">_xlfn.IFS(M450&lt;Data!$F$3,0,M450&lt;Data!$F$4,1,TRUE,2)</f>
        <v>0</v>
      </c>
      <c r="P450" s="2" cm="1">
        <f t="array" ref="P450">_xlfn.IFS(H450,3,N450&lt;Data!$F$3,0,N450&lt;Data!$F$4,1,TRUE,2)</f>
        <v>0</v>
      </c>
    </row>
    <row r="451" spans="4:16">
      <c r="D451" s="3"/>
      <c r="E451" s="3"/>
      <c r="F451" s="3"/>
      <c r="G451" s="2" t="str" cm="1">
        <f t="array" ref="G451">_xlfn.CONCAT(IFERROR(I451:K451,""))</f>
        <v>02000000FEFFFFFF</v>
      </c>
      <c r="I451" s="2" t="e">
        <f>_xlfn.LET(_xlpm.big,DEC2HEX(_xlfn.BITLSHIFT(M451-_xlfn.XLOOKUP(O451,Data!A:A,Data!F:F),4)+O451,8),_xlfn.CONCAT(MID(_xlpm.big,7,2),MID(_xlpm.big,5,2),MID(_xlpm.big,3,2),MID(_xlpm.big,1,2)))</f>
        <v>#NUM!</v>
      </c>
      <c r="J451" s="2" t="str">
        <f t="shared" si="28"/>
        <v>02000000</v>
      </c>
      <c r="K451" s="2" t="str">
        <f>_xlfn.LET(_xlpm.big,IF(H451,DEC2HEX(HEX2DEC(F451),8),DEC2HEX(N451-_xlfn.XLOOKUP(P451,Data!A:A,Data!F:F),8)),_xlfn.CONCAT(MID(_xlpm.big,7,2),MID(_xlpm.big,5,2),MID(_xlpm.big,3,2),MID(_xlpm.big,1,2)))</f>
        <v>FEFFFFFF</v>
      </c>
      <c r="L451" s="2">
        <f t="shared" si="29"/>
        <v>0</v>
      </c>
      <c r="M451" s="2">
        <f t="shared" si="30"/>
        <v>0</v>
      </c>
      <c r="N451" s="2">
        <f t="shared" si="31"/>
        <v>0</v>
      </c>
      <c r="O451" s="2" cm="1">
        <f t="array" ref="O451">_xlfn.IFS(M451&lt;Data!$F$3,0,M451&lt;Data!$F$4,1,TRUE,2)</f>
        <v>0</v>
      </c>
      <c r="P451" s="2" cm="1">
        <f t="array" ref="P451">_xlfn.IFS(H451,3,N451&lt;Data!$F$3,0,N451&lt;Data!$F$4,1,TRUE,2)</f>
        <v>0</v>
      </c>
    </row>
    <row r="452" spans="4:16">
      <c r="D452" s="3"/>
      <c r="E452" s="3"/>
      <c r="F452" s="3"/>
      <c r="G452" s="2" t="str" cm="1">
        <f t="array" ref="G452">_xlfn.CONCAT(IFERROR(I452:K452,""))</f>
        <v>02000000FEFFFFFF</v>
      </c>
      <c r="I452" s="2" t="e">
        <f>_xlfn.LET(_xlpm.big,DEC2HEX(_xlfn.BITLSHIFT(M452-_xlfn.XLOOKUP(O452,Data!A:A,Data!F:F),4)+O452,8),_xlfn.CONCAT(MID(_xlpm.big,7,2),MID(_xlpm.big,5,2),MID(_xlpm.big,3,2),MID(_xlpm.big,1,2)))</f>
        <v>#NUM!</v>
      </c>
      <c r="J452" s="2" t="str">
        <f t="shared" si="28"/>
        <v>02000000</v>
      </c>
      <c r="K452" s="2" t="str">
        <f>_xlfn.LET(_xlpm.big,IF(H452,DEC2HEX(HEX2DEC(F452),8),DEC2HEX(N452-_xlfn.XLOOKUP(P452,Data!A:A,Data!F:F),8)),_xlfn.CONCAT(MID(_xlpm.big,7,2),MID(_xlpm.big,5,2),MID(_xlpm.big,3,2),MID(_xlpm.big,1,2)))</f>
        <v>FEFFFFFF</v>
      </c>
      <c r="L452" s="2">
        <f t="shared" si="29"/>
        <v>0</v>
      </c>
      <c r="M452" s="2">
        <f t="shared" si="30"/>
        <v>0</v>
      </c>
      <c r="N452" s="2">
        <f t="shared" si="31"/>
        <v>0</v>
      </c>
      <c r="O452" s="2" cm="1">
        <f t="array" ref="O452">_xlfn.IFS(M452&lt;Data!$F$3,0,M452&lt;Data!$F$4,1,TRUE,2)</f>
        <v>0</v>
      </c>
      <c r="P452" s="2" cm="1">
        <f t="array" ref="P452">_xlfn.IFS(H452,3,N452&lt;Data!$F$3,0,N452&lt;Data!$F$4,1,TRUE,2)</f>
        <v>0</v>
      </c>
    </row>
    <row r="453" spans="4:16">
      <c r="D453" s="3"/>
      <c r="E453" s="3"/>
      <c r="F453" s="3"/>
      <c r="G453" s="2" t="str" cm="1">
        <f t="array" ref="G453">_xlfn.CONCAT(IFERROR(I453:K453,""))</f>
        <v>02000000FEFFFFFF</v>
      </c>
      <c r="I453" s="2" t="e">
        <f>_xlfn.LET(_xlpm.big,DEC2HEX(_xlfn.BITLSHIFT(M453-_xlfn.XLOOKUP(O453,Data!A:A,Data!F:F),4)+O453,8),_xlfn.CONCAT(MID(_xlpm.big,7,2),MID(_xlpm.big,5,2),MID(_xlpm.big,3,2),MID(_xlpm.big,1,2)))</f>
        <v>#NUM!</v>
      </c>
      <c r="J453" s="2" t="str">
        <f t="shared" si="28"/>
        <v>02000000</v>
      </c>
      <c r="K453" s="2" t="str">
        <f>_xlfn.LET(_xlpm.big,IF(H453,DEC2HEX(HEX2DEC(F453),8),DEC2HEX(N453-_xlfn.XLOOKUP(P453,Data!A:A,Data!F:F),8)),_xlfn.CONCAT(MID(_xlpm.big,7,2),MID(_xlpm.big,5,2),MID(_xlpm.big,3,2),MID(_xlpm.big,1,2)))</f>
        <v>FEFFFFFF</v>
      </c>
      <c r="L453" s="2">
        <f t="shared" si="29"/>
        <v>0</v>
      </c>
      <c r="M453" s="2">
        <f t="shared" si="30"/>
        <v>0</v>
      </c>
      <c r="N453" s="2">
        <f t="shared" si="31"/>
        <v>0</v>
      </c>
      <c r="O453" s="2" cm="1">
        <f t="array" ref="O453">_xlfn.IFS(M453&lt;Data!$F$3,0,M453&lt;Data!$F$4,1,TRUE,2)</f>
        <v>0</v>
      </c>
      <c r="P453" s="2" cm="1">
        <f t="array" ref="P453">_xlfn.IFS(H453,3,N453&lt;Data!$F$3,0,N453&lt;Data!$F$4,1,TRUE,2)</f>
        <v>0</v>
      </c>
    </row>
    <row r="454" spans="4:16">
      <c r="D454" s="3"/>
      <c r="E454" s="3"/>
      <c r="F454" s="3"/>
      <c r="G454" s="2" t="str" cm="1">
        <f t="array" ref="G454">_xlfn.CONCAT(IFERROR(I454:K454,""))</f>
        <v>02000000FEFFFFFF</v>
      </c>
      <c r="I454" s="2" t="e">
        <f>_xlfn.LET(_xlpm.big,DEC2HEX(_xlfn.BITLSHIFT(M454-_xlfn.XLOOKUP(O454,Data!A:A,Data!F:F),4)+O454,8),_xlfn.CONCAT(MID(_xlpm.big,7,2),MID(_xlpm.big,5,2),MID(_xlpm.big,3,2),MID(_xlpm.big,1,2)))</f>
        <v>#NUM!</v>
      </c>
      <c r="J454" s="2" t="str">
        <f t="shared" si="28"/>
        <v>02000000</v>
      </c>
      <c r="K454" s="2" t="str">
        <f>_xlfn.LET(_xlpm.big,IF(H454,DEC2HEX(HEX2DEC(F454),8),DEC2HEX(N454-_xlfn.XLOOKUP(P454,Data!A:A,Data!F:F),8)),_xlfn.CONCAT(MID(_xlpm.big,7,2),MID(_xlpm.big,5,2),MID(_xlpm.big,3,2),MID(_xlpm.big,1,2)))</f>
        <v>FEFFFFFF</v>
      </c>
      <c r="L454" s="2">
        <f t="shared" si="29"/>
        <v>0</v>
      </c>
      <c r="M454" s="2">
        <f t="shared" si="30"/>
        <v>0</v>
      </c>
      <c r="N454" s="2">
        <f t="shared" si="31"/>
        <v>0</v>
      </c>
      <c r="O454" s="2" cm="1">
        <f t="array" ref="O454">_xlfn.IFS(M454&lt;Data!$F$3,0,M454&lt;Data!$F$4,1,TRUE,2)</f>
        <v>0</v>
      </c>
      <c r="P454" s="2" cm="1">
        <f t="array" ref="P454">_xlfn.IFS(H454,3,N454&lt;Data!$F$3,0,N454&lt;Data!$F$4,1,TRUE,2)</f>
        <v>0</v>
      </c>
    </row>
    <row r="455" spans="4:16">
      <c r="D455" s="3"/>
      <c r="E455" s="3"/>
      <c r="F455" s="3"/>
      <c r="G455" s="2" t="str" cm="1">
        <f t="array" ref="G455">_xlfn.CONCAT(IFERROR(I455:K455,""))</f>
        <v>02000000FEFFFFFF</v>
      </c>
      <c r="I455" s="2" t="e">
        <f>_xlfn.LET(_xlpm.big,DEC2HEX(_xlfn.BITLSHIFT(M455-_xlfn.XLOOKUP(O455,Data!A:A,Data!F:F),4)+O455,8),_xlfn.CONCAT(MID(_xlpm.big,7,2),MID(_xlpm.big,5,2),MID(_xlpm.big,3,2),MID(_xlpm.big,1,2)))</f>
        <v>#NUM!</v>
      </c>
      <c r="J455" s="2" t="str">
        <f t="shared" si="28"/>
        <v>02000000</v>
      </c>
      <c r="K455" s="2" t="str">
        <f>_xlfn.LET(_xlpm.big,IF(H455,DEC2HEX(HEX2DEC(F455),8),DEC2HEX(N455-_xlfn.XLOOKUP(P455,Data!A:A,Data!F:F),8)),_xlfn.CONCAT(MID(_xlpm.big,7,2),MID(_xlpm.big,5,2),MID(_xlpm.big,3,2),MID(_xlpm.big,1,2)))</f>
        <v>FEFFFFFF</v>
      </c>
      <c r="L455" s="2">
        <f t="shared" si="29"/>
        <v>0</v>
      </c>
      <c r="M455" s="2">
        <f t="shared" si="30"/>
        <v>0</v>
      </c>
      <c r="N455" s="2">
        <f t="shared" si="31"/>
        <v>0</v>
      </c>
      <c r="O455" s="2" cm="1">
        <f t="array" ref="O455">_xlfn.IFS(M455&lt;Data!$F$3,0,M455&lt;Data!$F$4,1,TRUE,2)</f>
        <v>0</v>
      </c>
      <c r="P455" s="2" cm="1">
        <f t="array" ref="P455">_xlfn.IFS(H455,3,N455&lt;Data!$F$3,0,N455&lt;Data!$F$4,1,TRUE,2)</f>
        <v>0</v>
      </c>
    </row>
    <row r="456" spans="4:16">
      <c r="D456" s="3"/>
      <c r="E456" s="3"/>
      <c r="F456" s="3"/>
      <c r="G456" s="2" t="str" cm="1">
        <f t="array" ref="G456">_xlfn.CONCAT(IFERROR(I456:K456,""))</f>
        <v>02000000FEFFFFFF</v>
      </c>
      <c r="I456" s="2" t="e">
        <f>_xlfn.LET(_xlpm.big,DEC2HEX(_xlfn.BITLSHIFT(M456-_xlfn.XLOOKUP(O456,Data!A:A,Data!F:F),4)+O456,8),_xlfn.CONCAT(MID(_xlpm.big,7,2),MID(_xlpm.big,5,2),MID(_xlpm.big,3,2),MID(_xlpm.big,1,2)))</f>
        <v>#NUM!</v>
      </c>
      <c r="J456" s="2" t="str">
        <f t="shared" si="28"/>
        <v>02000000</v>
      </c>
      <c r="K456" s="2" t="str">
        <f>_xlfn.LET(_xlpm.big,IF(H456,DEC2HEX(HEX2DEC(F456),8),DEC2HEX(N456-_xlfn.XLOOKUP(P456,Data!A:A,Data!F:F),8)),_xlfn.CONCAT(MID(_xlpm.big,7,2),MID(_xlpm.big,5,2),MID(_xlpm.big,3,2),MID(_xlpm.big,1,2)))</f>
        <v>FEFFFFFF</v>
      </c>
      <c r="L456" s="2">
        <f t="shared" si="29"/>
        <v>0</v>
      </c>
      <c r="M456" s="2">
        <f t="shared" si="30"/>
        <v>0</v>
      </c>
      <c r="N456" s="2">
        <f t="shared" si="31"/>
        <v>0</v>
      </c>
      <c r="O456" s="2" cm="1">
        <f t="array" ref="O456">_xlfn.IFS(M456&lt;Data!$F$3,0,M456&lt;Data!$F$4,1,TRUE,2)</f>
        <v>0</v>
      </c>
      <c r="P456" s="2" cm="1">
        <f t="array" ref="P456">_xlfn.IFS(H456,3,N456&lt;Data!$F$3,0,N456&lt;Data!$F$4,1,TRUE,2)</f>
        <v>0</v>
      </c>
    </row>
    <row r="457" spans="4:16">
      <c r="D457" s="3"/>
      <c r="E457" s="3"/>
      <c r="F457" s="3"/>
      <c r="G457" s="2" t="str" cm="1">
        <f t="array" ref="G457">_xlfn.CONCAT(IFERROR(I457:K457,""))</f>
        <v>02000000FEFFFFFF</v>
      </c>
      <c r="I457" s="2" t="e">
        <f>_xlfn.LET(_xlpm.big,DEC2HEX(_xlfn.BITLSHIFT(M457-_xlfn.XLOOKUP(O457,Data!A:A,Data!F:F),4)+O457,8),_xlfn.CONCAT(MID(_xlpm.big,7,2),MID(_xlpm.big,5,2),MID(_xlpm.big,3,2),MID(_xlpm.big,1,2)))</f>
        <v>#NUM!</v>
      </c>
      <c r="J457" s="2" t="str">
        <f t="shared" si="28"/>
        <v>02000000</v>
      </c>
      <c r="K457" s="2" t="str">
        <f>_xlfn.LET(_xlpm.big,IF(H457,DEC2HEX(HEX2DEC(F457),8),DEC2HEX(N457-_xlfn.XLOOKUP(P457,Data!A:A,Data!F:F),8)),_xlfn.CONCAT(MID(_xlpm.big,7,2),MID(_xlpm.big,5,2),MID(_xlpm.big,3,2),MID(_xlpm.big,1,2)))</f>
        <v>FEFFFFFF</v>
      </c>
      <c r="L457" s="2">
        <f t="shared" si="29"/>
        <v>0</v>
      </c>
      <c r="M457" s="2">
        <f t="shared" si="30"/>
        <v>0</v>
      </c>
      <c r="N457" s="2">
        <f t="shared" si="31"/>
        <v>0</v>
      </c>
      <c r="O457" s="2" cm="1">
        <f t="array" ref="O457">_xlfn.IFS(M457&lt;Data!$F$3,0,M457&lt;Data!$F$4,1,TRUE,2)</f>
        <v>0</v>
      </c>
      <c r="P457" s="2" cm="1">
        <f t="array" ref="P457">_xlfn.IFS(H457,3,N457&lt;Data!$F$3,0,N457&lt;Data!$F$4,1,TRUE,2)</f>
        <v>0</v>
      </c>
    </row>
    <row r="458" spans="4:16">
      <c r="D458" s="3"/>
      <c r="E458" s="3"/>
      <c r="F458" s="3"/>
      <c r="G458" s="2" t="str" cm="1">
        <f t="array" ref="G458">_xlfn.CONCAT(IFERROR(I458:K458,""))</f>
        <v>02000000FEFFFFFF</v>
      </c>
      <c r="I458" s="2" t="e">
        <f>_xlfn.LET(_xlpm.big,DEC2HEX(_xlfn.BITLSHIFT(M458-_xlfn.XLOOKUP(O458,Data!A:A,Data!F:F),4)+O458,8),_xlfn.CONCAT(MID(_xlpm.big,7,2),MID(_xlpm.big,5,2),MID(_xlpm.big,3,2),MID(_xlpm.big,1,2)))</f>
        <v>#NUM!</v>
      </c>
      <c r="J458" s="2" t="str">
        <f t="shared" si="28"/>
        <v>02000000</v>
      </c>
      <c r="K458" s="2" t="str">
        <f>_xlfn.LET(_xlpm.big,IF(H458,DEC2HEX(HEX2DEC(F458),8),DEC2HEX(N458-_xlfn.XLOOKUP(P458,Data!A:A,Data!F:F),8)),_xlfn.CONCAT(MID(_xlpm.big,7,2),MID(_xlpm.big,5,2),MID(_xlpm.big,3,2),MID(_xlpm.big,1,2)))</f>
        <v>FEFFFFFF</v>
      </c>
      <c r="L458" s="2">
        <f t="shared" si="29"/>
        <v>0</v>
      </c>
      <c r="M458" s="2">
        <f t="shared" si="30"/>
        <v>0</v>
      </c>
      <c r="N458" s="2">
        <f t="shared" si="31"/>
        <v>0</v>
      </c>
      <c r="O458" s="2" cm="1">
        <f t="array" ref="O458">_xlfn.IFS(M458&lt;Data!$F$3,0,M458&lt;Data!$F$4,1,TRUE,2)</f>
        <v>0</v>
      </c>
      <c r="P458" s="2" cm="1">
        <f t="array" ref="P458">_xlfn.IFS(H458,3,N458&lt;Data!$F$3,0,N458&lt;Data!$F$4,1,TRUE,2)</f>
        <v>0</v>
      </c>
    </row>
    <row r="459" spans="4:16">
      <c r="D459" s="3"/>
      <c r="E459" s="3"/>
      <c r="F459" s="3"/>
      <c r="G459" s="2" t="str" cm="1">
        <f t="array" ref="G459">_xlfn.CONCAT(IFERROR(I459:K459,""))</f>
        <v>02000000FEFFFFFF</v>
      </c>
      <c r="I459" s="2" t="e">
        <f>_xlfn.LET(_xlpm.big,DEC2HEX(_xlfn.BITLSHIFT(M459-_xlfn.XLOOKUP(O459,Data!A:A,Data!F:F),4)+O459,8),_xlfn.CONCAT(MID(_xlpm.big,7,2),MID(_xlpm.big,5,2),MID(_xlpm.big,3,2),MID(_xlpm.big,1,2)))</f>
        <v>#NUM!</v>
      </c>
      <c r="J459" s="2" t="str">
        <f t="shared" si="28"/>
        <v>02000000</v>
      </c>
      <c r="K459" s="2" t="str">
        <f>_xlfn.LET(_xlpm.big,IF(H459,DEC2HEX(HEX2DEC(F459),8),DEC2HEX(N459-_xlfn.XLOOKUP(P459,Data!A:A,Data!F:F),8)),_xlfn.CONCAT(MID(_xlpm.big,7,2),MID(_xlpm.big,5,2),MID(_xlpm.big,3,2),MID(_xlpm.big,1,2)))</f>
        <v>FEFFFFFF</v>
      </c>
      <c r="L459" s="2">
        <f t="shared" si="29"/>
        <v>0</v>
      </c>
      <c r="M459" s="2">
        <f t="shared" si="30"/>
        <v>0</v>
      </c>
      <c r="N459" s="2">
        <f t="shared" si="31"/>
        <v>0</v>
      </c>
      <c r="O459" s="2" cm="1">
        <f t="array" ref="O459">_xlfn.IFS(M459&lt;Data!$F$3,0,M459&lt;Data!$F$4,1,TRUE,2)</f>
        <v>0</v>
      </c>
      <c r="P459" s="2" cm="1">
        <f t="array" ref="P459">_xlfn.IFS(H459,3,N459&lt;Data!$F$3,0,N459&lt;Data!$F$4,1,TRUE,2)</f>
        <v>0</v>
      </c>
    </row>
    <row r="460" spans="4:16">
      <c r="D460" s="3"/>
      <c r="E460" s="3"/>
      <c r="F460" s="3"/>
      <c r="G460" s="2" t="str" cm="1">
        <f t="array" ref="G460">_xlfn.CONCAT(IFERROR(I460:K460,""))</f>
        <v>02000000FEFFFFFF</v>
      </c>
      <c r="I460" s="2" t="e">
        <f>_xlfn.LET(_xlpm.big,DEC2HEX(_xlfn.BITLSHIFT(M460-_xlfn.XLOOKUP(O460,Data!A:A,Data!F:F),4)+O460,8),_xlfn.CONCAT(MID(_xlpm.big,7,2),MID(_xlpm.big,5,2),MID(_xlpm.big,3,2),MID(_xlpm.big,1,2)))</f>
        <v>#NUM!</v>
      </c>
      <c r="J460" s="2" t="str">
        <f t="shared" si="28"/>
        <v>02000000</v>
      </c>
      <c r="K460" s="2" t="str">
        <f>_xlfn.LET(_xlpm.big,IF(H460,DEC2HEX(HEX2DEC(F460),8),DEC2HEX(N460-_xlfn.XLOOKUP(P460,Data!A:A,Data!F:F),8)),_xlfn.CONCAT(MID(_xlpm.big,7,2),MID(_xlpm.big,5,2),MID(_xlpm.big,3,2),MID(_xlpm.big,1,2)))</f>
        <v>FEFFFFFF</v>
      </c>
      <c r="L460" s="2">
        <f t="shared" si="29"/>
        <v>0</v>
      </c>
      <c r="M460" s="2">
        <f t="shared" si="30"/>
        <v>0</v>
      </c>
      <c r="N460" s="2">
        <f t="shared" si="31"/>
        <v>0</v>
      </c>
      <c r="O460" s="2" cm="1">
        <f t="array" ref="O460">_xlfn.IFS(M460&lt;Data!$F$3,0,M460&lt;Data!$F$4,1,TRUE,2)</f>
        <v>0</v>
      </c>
      <c r="P460" s="2" cm="1">
        <f t="array" ref="P460">_xlfn.IFS(H460,3,N460&lt;Data!$F$3,0,N460&lt;Data!$F$4,1,TRUE,2)</f>
        <v>0</v>
      </c>
    </row>
    <row r="461" spans="4:16">
      <c r="D461" s="3"/>
      <c r="E461" s="3"/>
      <c r="F461" s="3"/>
      <c r="G461" s="2" t="str" cm="1">
        <f t="array" ref="G461">_xlfn.CONCAT(IFERROR(I461:K461,""))</f>
        <v>02000000FEFFFFFF</v>
      </c>
      <c r="I461" s="2" t="e">
        <f>_xlfn.LET(_xlpm.big,DEC2HEX(_xlfn.BITLSHIFT(M461-_xlfn.XLOOKUP(O461,Data!A:A,Data!F:F),4)+O461,8),_xlfn.CONCAT(MID(_xlpm.big,7,2),MID(_xlpm.big,5,2),MID(_xlpm.big,3,2),MID(_xlpm.big,1,2)))</f>
        <v>#NUM!</v>
      </c>
      <c r="J461" s="2" t="str">
        <f t="shared" si="28"/>
        <v>02000000</v>
      </c>
      <c r="K461" s="2" t="str">
        <f>_xlfn.LET(_xlpm.big,IF(H461,DEC2HEX(HEX2DEC(F461),8),DEC2HEX(N461-_xlfn.XLOOKUP(P461,Data!A:A,Data!F:F),8)),_xlfn.CONCAT(MID(_xlpm.big,7,2),MID(_xlpm.big,5,2),MID(_xlpm.big,3,2),MID(_xlpm.big,1,2)))</f>
        <v>FEFFFFFF</v>
      </c>
      <c r="L461" s="2">
        <f t="shared" si="29"/>
        <v>0</v>
      </c>
      <c r="M461" s="2">
        <f t="shared" si="30"/>
        <v>0</v>
      </c>
      <c r="N461" s="2">
        <f t="shared" si="31"/>
        <v>0</v>
      </c>
      <c r="O461" s="2" cm="1">
        <f t="array" ref="O461">_xlfn.IFS(M461&lt;Data!$F$3,0,M461&lt;Data!$F$4,1,TRUE,2)</f>
        <v>0</v>
      </c>
      <c r="P461" s="2" cm="1">
        <f t="array" ref="P461">_xlfn.IFS(H461,3,N461&lt;Data!$F$3,0,N461&lt;Data!$F$4,1,TRUE,2)</f>
        <v>0</v>
      </c>
    </row>
    <row r="462" spans="4:16">
      <c r="D462" s="3"/>
      <c r="E462" s="3"/>
      <c r="F462" s="3"/>
      <c r="G462" s="2" t="str" cm="1">
        <f t="array" ref="G462">_xlfn.CONCAT(IFERROR(I462:K462,""))</f>
        <v>02000000FEFFFFFF</v>
      </c>
      <c r="I462" s="2" t="e">
        <f>_xlfn.LET(_xlpm.big,DEC2HEX(_xlfn.BITLSHIFT(M462-_xlfn.XLOOKUP(O462,Data!A:A,Data!F:F),4)+O462,8),_xlfn.CONCAT(MID(_xlpm.big,7,2),MID(_xlpm.big,5,2),MID(_xlpm.big,3,2),MID(_xlpm.big,1,2)))</f>
        <v>#NUM!</v>
      </c>
      <c r="J462" s="2" t="str">
        <f t="shared" si="28"/>
        <v>02000000</v>
      </c>
      <c r="K462" s="2" t="str">
        <f>_xlfn.LET(_xlpm.big,IF(H462,DEC2HEX(HEX2DEC(F462),8),DEC2HEX(N462-_xlfn.XLOOKUP(P462,Data!A:A,Data!F:F),8)),_xlfn.CONCAT(MID(_xlpm.big,7,2),MID(_xlpm.big,5,2),MID(_xlpm.big,3,2),MID(_xlpm.big,1,2)))</f>
        <v>FEFFFFFF</v>
      </c>
      <c r="L462" s="2">
        <f t="shared" si="29"/>
        <v>0</v>
      </c>
      <c r="M462" s="2">
        <f t="shared" si="30"/>
        <v>0</v>
      </c>
      <c r="N462" s="2">
        <f t="shared" si="31"/>
        <v>0</v>
      </c>
      <c r="O462" s="2" cm="1">
        <f t="array" ref="O462">_xlfn.IFS(M462&lt;Data!$F$3,0,M462&lt;Data!$F$4,1,TRUE,2)</f>
        <v>0</v>
      </c>
      <c r="P462" s="2" cm="1">
        <f t="array" ref="P462">_xlfn.IFS(H462,3,N462&lt;Data!$F$3,0,N462&lt;Data!$F$4,1,TRUE,2)</f>
        <v>0</v>
      </c>
    </row>
    <row r="463" spans="4:16">
      <c r="D463" s="3"/>
      <c r="E463" s="3"/>
      <c r="F463" s="3"/>
      <c r="G463" s="2" t="str" cm="1">
        <f t="array" ref="G463">_xlfn.CONCAT(IFERROR(I463:K463,""))</f>
        <v>02000000FEFFFFFF</v>
      </c>
      <c r="I463" s="2" t="e">
        <f>_xlfn.LET(_xlpm.big,DEC2HEX(_xlfn.BITLSHIFT(M463-_xlfn.XLOOKUP(O463,Data!A:A,Data!F:F),4)+O463,8),_xlfn.CONCAT(MID(_xlpm.big,7,2),MID(_xlpm.big,5,2),MID(_xlpm.big,3,2),MID(_xlpm.big,1,2)))</f>
        <v>#NUM!</v>
      </c>
      <c r="J463" s="2" t="str">
        <f t="shared" si="28"/>
        <v>02000000</v>
      </c>
      <c r="K463" s="2" t="str">
        <f>_xlfn.LET(_xlpm.big,IF(H463,DEC2HEX(HEX2DEC(F463),8),DEC2HEX(N463-_xlfn.XLOOKUP(P463,Data!A:A,Data!F:F),8)),_xlfn.CONCAT(MID(_xlpm.big,7,2),MID(_xlpm.big,5,2),MID(_xlpm.big,3,2),MID(_xlpm.big,1,2)))</f>
        <v>FEFFFFFF</v>
      </c>
      <c r="L463" s="2">
        <f t="shared" si="29"/>
        <v>0</v>
      </c>
      <c r="M463" s="2">
        <f t="shared" si="30"/>
        <v>0</v>
      </c>
      <c r="N463" s="2">
        <f t="shared" si="31"/>
        <v>0</v>
      </c>
      <c r="O463" s="2" cm="1">
        <f t="array" ref="O463">_xlfn.IFS(M463&lt;Data!$F$3,0,M463&lt;Data!$F$4,1,TRUE,2)</f>
        <v>0</v>
      </c>
      <c r="P463" s="2" cm="1">
        <f t="array" ref="P463">_xlfn.IFS(H463,3,N463&lt;Data!$F$3,0,N463&lt;Data!$F$4,1,TRUE,2)</f>
        <v>0</v>
      </c>
    </row>
    <row r="464" spans="4:16">
      <c r="D464" s="3"/>
      <c r="E464" s="3"/>
      <c r="F464" s="3"/>
      <c r="G464" s="2" t="str" cm="1">
        <f t="array" ref="G464">_xlfn.CONCAT(IFERROR(I464:K464,""))</f>
        <v>02000000FEFFFFFF</v>
      </c>
      <c r="I464" s="2" t="e">
        <f>_xlfn.LET(_xlpm.big,DEC2HEX(_xlfn.BITLSHIFT(M464-_xlfn.XLOOKUP(O464,Data!A:A,Data!F:F),4)+O464,8),_xlfn.CONCAT(MID(_xlpm.big,7,2),MID(_xlpm.big,5,2),MID(_xlpm.big,3,2),MID(_xlpm.big,1,2)))</f>
        <v>#NUM!</v>
      </c>
      <c r="J464" s="2" t="str">
        <f t="shared" si="28"/>
        <v>02000000</v>
      </c>
      <c r="K464" s="2" t="str">
        <f>_xlfn.LET(_xlpm.big,IF(H464,DEC2HEX(HEX2DEC(F464),8),DEC2HEX(N464-_xlfn.XLOOKUP(P464,Data!A:A,Data!F:F),8)),_xlfn.CONCAT(MID(_xlpm.big,7,2),MID(_xlpm.big,5,2),MID(_xlpm.big,3,2),MID(_xlpm.big,1,2)))</f>
        <v>FEFFFFFF</v>
      </c>
      <c r="L464" s="2">
        <f t="shared" si="29"/>
        <v>0</v>
      </c>
      <c r="M464" s="2">
        <f t="shared" si="30"/>
        <v>0</v>
      </c>
      <c r="N464" s="2">
        <f t="shared" si="31"/>
        <v>0</v>
      </c>
      <c r="O464" s="2" cm="1">
        <f t="array" ref="O464">_xlfn.IFS(M464&lt;Data!$F$3,0,M464&lt;Data!$F$4,1,TRUE,2)</f>
        <v>0</v>
      </c>
      <c r="P464" s="2" cm="1">
        <f t="array" ref="P464">_xlfn.IFS(H464,3,N464&lt;Data!$F$3,0,N464&lt;Data!$F$4,1,TRUE,2)</f>
        <v>0</v>
      </c>
    </row>
    <row r="465" spans="4:16">
      <c r="D465" s="3"/>
      <c r="E465" s="3"/>
      <c r="F465" s="3"/>
      <c r="G465" s="2" t="str" cm="1">
        <f t="array" ref="G465">_xlfn.CONCAT(IFERROR(I465:K465,""))</f>
        <v>02000000FEFFFFFF</v>
      </c>
      <c r="I465" s="2" t="e">
        <f>_xlfn.LET(_xlpm.big,DEC2HEX(_xlfn.BITLSHIFT(M465-_xlfn.XLOOKUP(O465,Data!A:A,Data!F:F),4)+O465,8),_xlfn.CONCAT(MID(_xlpm.big,7,2),MID(_xlpm.big,5,2),MID(_xlpm.big,3,2),MID(_xlpm.big,1,2)))</f>
        <v>#NUM!</v>
      </c>
      <c r="J465" s="2" t="str">
        <f t="shared" si="28"/>
        <v>02000000</v>
      </c>
      <c r="K465" s="2" t="str">
        <f>_xlfn.LET(_xlpm.big,IF(H465,DEC2HEX(HEX2DEC(F465),8),DEC2HEX(N465-_xlfn.XLOOKUP(P465,Data!A:A,Data!F:F),8)),_xlfn.CONCAT(MID(_xlpm.big,7,2),MID(_xlpm.big,5,2),MID(_xlpm.big,3,2),MID(_xlpm.big,1,2)))</f>
        <v>FEFFFFFF</v>
      </c>
      <c r="L465" s="2">
        <f t="shared" si="29"/>
        <v>0</v>
      </c>
      <c r="M465" s="2">
        <f t="shared" si="30"/>
        <v>0</v>
      </c>
      <c r="N465" s="2">
        <f t="shared" si="31"/>
        <v>0</v>
      </c>
      <c r="O465" s="2" cm="1">
        <f t="array" ref="O465">_xlfn.IFS(M465&lt;Data!$F$3,0,M465&lt;Data!$F$4,1,TRUE,2)</f>
        <v>0</v>
      </c>
      <c r="P465" s="2" cm="1">
        <f t="array" ref="P465">_xlfn.IFS(H465,3,N465&lt;Data!$F$3,0,N465&lt;Data!$F$4,1,TRUE,2)</f>
        <v>0</v>
      </c>
    </row>
    <row r="466" spans="4:16">
      <c r="D466" s="3"/>
      <c r="E466" s="3"/>
      <c r="F466" s="3"/>
      <c r="G466" s="2" t="str" cm="1">
        <f t="array" ref="G466">_xlfn.CONCAT(IFERROR(I466:K466,""))</f>
        <v>02000000FEFFFFFF</v>
      </c>
      <c r="I466" s="2" t="e">
        <f>_xlfn.LET(_xlpm.big,DEC2HEX(_xlfn.BITLSHIFT(M466-_xlfn.XLOOKUP(O466,Data!A:A,Data!F:F),4)+O466,8),_xlfn.CONCAT(MID(_xlpm.big,7,2),MID(_xlpm.big,5,2),MID(_xlpm.big,3,2),MID(_xlpm.big,1,2)))</f>
        <v>#NUM!</v>
      </c>
      <c r="J466" s="2" t="str">
        <f t="shared" si="28"/>
        <v>02000000</v>
      </c>
      <c r="K466" s="2" t="str">
        <f>_xlfn.LET(_xlpm.big,IF(H466,DEC2HEX(HEX2DEC(F466),8),DEC2HEX(N466-_xlfn.XLOOKUP(P466,Data!A:A,Data!F:F),8)),_xlfn.CONCAT(MID(_xlpm.big,7,2),MID(_xlpm.big,5,2),MID(_xlpm.big,3,2),MID(_xlpm.big,1,2)))</f>
        <v>FEFFFFFF</v>
      </c>
      <c r="L466" s="2">
        <f t="shared" si="29"/>
        <v>0</v>
      </c>
      <c r="M466" s="2">
        <f t="shared" si="30"/>
        <v>0</v>
      </c>
      <c r="N466" s="2">
        <f t="shared" si="31"/>
        <v>0</v>
      </c>
      <c r="O466" s="2" cm="1">
        <f t="array" ref="O466">_xlfn.IFS(M466&lt;Data!$F$3,0,M466&lt;Data!$F$4,1,TRUE,2)</f>
        <v>0</v>
      </c>
      <c r="P466" s="2" cm="1">
        <f t="array" ref="P466">_xlfn.IFS(H466,3,N466&lt;Data!$F$3,0,N466&lt;Data!$F$4,1,TRUE,2)</f>
        <v>0</v>
      </c>
    </row>
    <row r="467" spans="4:16">
      <c r="D467" s="3"/>
      <c r="E467" s="3"/>
      <c r="F467" s="3"/>
      <c r="G467" s="2" t="str" cm="1">
        <f t="array" ref="G467">_xlfn.CONCAT(IFERROR(I467:K467,""))</f>
        <v>02000000FEFFFFFF</v>
      </c>
      <c r="I467" s="2" t="e">
        <f>_xlfn.LET(_xlpm.big,DEC2HEX(_xlfn.BITLSHIFT(M467-_xlfn.XLOOKUP(O467,Data!A:A,Data!F:F),4)+O467,8),_xlfn.CONCAT(MID(_xlpm.big,7,2),MID(_xlpm.big,5,2),MID(_xlpm.big,3,2),MID(_xlpm.big,1,2)))</f>
        <v>#NUM!</v>
      </c>
      <c r="J467" s="2" t="str">
        <f t="shared" si="28"/>
        <v>02000000</v>
      </c>
      <c r="K467" s="2" t="str">
        <f>_xlfn.LET(_xlpm.big,IF(H467,DEC2HEX(HEX2DEC(F467),8),DEC2HEX(N467-_xlfn.XLOOKUP(P467,Data!A:A,Data!F:F),8)),_xlfn.CONCAT(MID(_xlpm.big,7,2),MID(_xlpm.big,5,2),MID(_xlpm.big,3,2),MID(_xlpm.big,1,2)))</f>
        <v>FEFFFFFF</v>
      </c>
      <c r="L467" s="2">
        <f t="shared" si="29"/>
        <v>0</v>
      </c>
      <c r="M467" s="2">
        <f t="shared" si="30"/>
        <v>0</v>
      </c>
      <c r="N467" s="2">
        <f t="shared" si="31"/>
        <v>0</v>
      </c>
      <c r="O467" s="2" cm="1">
        <f t="array" ref="O467">_xlfn.IFS(M467&lt;Data!$F$3,0,M467&lt;Data!$F$4,1,TRUE,2)</f>
        <v>0</v>
      </c>
      <c r="P467" s="2" cm="1">
        <f t="array" ref="P467">_xlfn.IFS(H467,3,N467&lt;Data!$F$3,0,N467&lt;Data!$F$4,1,TRUE,2)</f>
        <v>0</v>
      </c>
    </row>
    <row r="468" spans="4:16">
      <c r="D468" s="3"/>
      <c r="E468" s="3"/>
      <c r="F468" s="3"/>
      <c r="G468" s="2" t="str" cm="1">
        <f t="array" ref="G468">_xlfn.CONCAT(IFERROR(I468:K468,""))</f>
        <v>02000000FEFFFFFF</v>
      </c>
      <c r="I468" s="2" t="e">
        <f>_xlfn.LET(_xlpm.big,DEC2HEX(_xlfn.BITLSHIFT(M468-_xlfn.XLOOKUP(O468,Data!A:A,Data!F:F),4)+O468,8),_xlfn.CONCAT(MID(_xlpm.big,7,2),MID(_xlpm.big,5,2),MID(_xlpm.big,3,2),MID(_xlpm.big,1,2)))</f>
        <v>#NUM!</v>
      </c>
      <c r="J468" s="2" t="str">
        <f t="shared" si="28"/>
        <v>02000000</v>
      </c>
      <c r="K468" s="2" t="str">
        <f>_xlfn.LET(_xlpm.big,IF(H468,DEC2HEX(HEX2DEC(F468),8),DEC2HEX(N468-_xlfn.XLOOKUP(P468,Data!A:A,Data!F:F),8)),_xlfn.CONCAT(MID(_xlpm.big,7,2),MID(_xlpm.big,5,2),MID(_xlpm.big,3,2),MID(_xlpm.big,1,2)))</f>
        <v>FEFFFFFF</v>
      </c>
      <c r="L468" s="2">
        <f t="shared" si="29"/>
        <v>0</v>
      </c>
      <c r="M468" s="2">
        <f t="shared" si="30"/>
        <v>0</v>
      </c>
      <c r="N468" s="2">
        <f t="shared" si="31"/>
        <v>0</v>
      </c>
      <c r="O468" s="2" cm="1">
        <f t="array" ref="O468">_xlfn.IFS(M468&lt;Data!$F$3,0,M468&lt;Data!$F$4,1,TRUE,2)</f>
        <v>0</v>
      </c>
      <c r="P468" s="2" cm="1">
        <f t="array" ref="P468">_xlfn.IFS(H468,3,N468&lt;Data!$F$3,0,N468&lt;Data!$F$4,1,TRUE,2)</f>
        <v>0</v>
      </c>
    </row>
    <row r="469" spans="4:16">
      <c r="D469" s="3"/>
      <c r="E469" s="3"/>
      <c r="F469" s="3"/>
      <c r="G469" s="2" t="str" cm="1">
        <f t="array" ref="G469">_xlfn.CONCAT(IFERROR(I469:K469,""))</f>
        <v>02000000FEFFFFFF</v>
      </c>
      <c r="I469" s="2" t="e">
        <f>_xlfn.LET(_xlpm.big,DEC2HEX(_xlfn.BITLSHIFT(M469-_xlfn.XLOOKUP(O469,Data!A:A,Data!F:F),4)+O469,8),_xlfn.CONCAT(MID(_xlpm.big,7,2),MID(_xlpm.big,5,2),MID(_xlpm.big,3,2),MID(_xlpm.big,1,2)))</f>
        <v>#NUM!</v>
      </c>
      <c r="J469" s="2" t="str">
        <f t="shared" si="28"/>
        <v>02000000</v>
      </c>
      <c r="K469" s="2" t="str">
        <f>_xlfn.LET(_xlpm.big,IF(H469,DEC2HEX(HEX2DEC(F469),8),DEC2HEX(N469-_xlfn.XLOOKUP(P469,Data!A:A,Data!F:F),8)),_xlfn.CONCAT(MID(_xlpm.big,7,2),MID(_xlpm.big,5,2),MID(_xlpm.big,3,2),MID(_xlpm.big,1,2)))</f>
        <v>FEFFFFFF</v>
      </c>
      <c r="L469" s="2">
        <f t="shared" si="29"/>
        <v>0</v>
      </c>
      <c r="M469" s="2">
        <f t="shared" si="30"/>
        <v>0</v>
      </c>
      <c r="N469" s="2">
        <f t="shared" si="31"/>
        <v>0</v>
      </c>
      <c r="O469" s="2" cm="1">
        <f t="array" ref="O469">_xlfn.IFS(M469&lt;Data!$F$3,0,M469&lt;Data!$F$4,1,TRUE,2)</f>
        <v>0</v>
      </c>
      <c r="P469" s="2" cm="1">
        <f t="array" ref="P469">_xlfn.IFS(H469,3,N469&lt;Data!$F$3,0,N469&lt;Data!$F$4,1,TRUE,2)</f>
        <v>0</v>
      </c>
    </row>
    <row r="470" spans="4:16">
      <c r="D470" s="3"/>
      <c r="E470" s="3"/>
      <c r="F470" s="3"/>
      <c r="G470" s="2" t="str" cm="1">
        <f t="array" ref="G470">_xlfn.CONCAT(IFERROR(I470:K470,""))</f>
        <v>02000000FEFFFFFF</v>
      </c>
      <c r="I470" s="2" t="e">
        <f>_xlfn.LET(_xlpm.big,DEC2HEX(_xlfn.BITLSHIFT(M470-_xlfn.XLOOKUP(O470,Data!A:A,Data!F:F),4)+O470,8),_xlfn.CONCAT(MID(_xlpm.big,7,2),MID(_xlpm.big,5,2),MID(_xlpm.big,3,2),MID(_xlpm.big,1,2)))</f>
        <v>#NUM!</v>
      </c>
      <c r="J470" s="2" t="str">
        <f t="shared" si="28"/>
        <v>02000000</v>
      </c>
      <c r="K470" s="2" t="str">
        <f>_xlfn.LET(_xlpm.big,IF(H470,DEC2HEX(HEX2DEC(F470),8),DEC2HEX(N470-_xlfn.XLOOKUP(P470,Data!A:A,Data!F:F),8)),_xlfn.CONCAT(MID(_xlpm.big,7,2),MID(_xlpm.big,5,2),MID(_xlpm.big,3,2),MID(_xlpm.big,1,2)))</f>
        <v>FEFFFFFF</v>
      </c>
      <c r="L470" s="2">
        <f t="shared" si="29"/>
        <v>0</v>
      </c>
      <c r="M470" s="2">
        <f t="shared" si="30"/>
        <v>0</v>
      </c>
      <c r="N470" s="2">
        <f t="shared" si="31"/>
        <v>0</v>
      </c>
      <c r="O470" s="2" cm="1">
        <f t="array" ref="O470">_xlfn.IFS(M470&lt;Data!$F$3,0,M470&lt;Data!$F$4,1,TRUE,2)</f>
        <v>0</v>
      </c>
      <c r="P470" s="2" cm="1">
        <f t="array" ref="P470">_xlfn.IFS(H470,3,N470&lt;Data!$F$3,0,N470&lt;Data!$F$4,1,TRUE,2)</f>
        <v>0</v>
      </c>
    </row>
    <row r="471" spans="4:16">
      <c r="D471" s="3"/>
      <c r="E471" s="3"/>
      <c r="F471" s="3"/>
      <c r="G471" s="2" t="str" cm="1">
        <f t="array" ref="G471">_xlfn.CONCAT(IFERROR(I471:K471,""))</f>
        <v>02000000FEFFFFFF</v>
      </c>
      <c r="I471" s="2" t="e">
        <f>_xlfn.LET(_xlpm.big,DEC2HEX(_xlfn.BITLSHIFT(M471-_xlfn.XLOOKUP(O471,Data!A:A,Data!F:F),4)+O471,8),_xlfn.CONCAT(MID(_xlpm.big,7,2),MID(_xlpm.big,5,2),MID(_xlpm.big,3,2),MID(_xlpm.big,1,2)))</f>
        <v>#NUM!</v>
      </c>
      <c r="J471" s="2" t="str">
        <f t="shared" si="28"/>
        <v>02000000</v>
      </c>
      <c r="K471" s="2" t="str">
        <f>_xlfn.LET(_xlpm.big,IF(H471,DEC2HEX(HEX2DEC(F471),8),DEC2HEX(N471-_xlfn.XLOOKUP(P471,Data!A:A,Data!F:F),8)),_xlfn.CONCAT(MID(_xlpm.big,7,2),MID(_xlpm.big,5,2),MID(_xlpm.big,3,2),MID(_xlpm.big,1,2)))</f>
        <v>FEFFFFFF</v>
      </c>
      <c r="L471" s="2">
        <f t="shared" si="29"/>
        <v>0</v>
      </c>
      <c r="M471" s="2">
        <f t="shared" si="30"/>
        <v>0</v>
      </c>
      <c r="N471" s="2">
        <f t="shared" si="31"/>
        <v>0</v>
      </c>
      <c r="O471" s="2" cm="1">
        <f t="array" ref="O471">_xlfn.IFS(M471&lt;Data!$F$3,0,M471&lt;Data!$F$4,1,TRUE,2)</f>
        <v>0</v>
      </c>
      <c r="P471" s="2" cm="1">
        <f t="array" ref="P471">_xlfn.IFS(H471,3,N471&lt;Data!$F$3,0,N471&lt;Data!$F$4,1,TRUE,2)</f>
        <v>0</v>
      </c>
    </row>
    <row r="472" spans="4:16">
      <c r="D472" s="3"/>
      <c r="E472" s="3"/>
      <c r="F472" s="3"/>
      <c r="G472" s="2" t="str" cm="1">
        <f t="array" ref="G472">_xlfn.CONCAT(IFERROR(I472:K472,""))</f>
        <v>02000000FEFFFFFF</v>
      </c>
      <c r="I472" s="2" t="e">
        <f>_xlfn.LET(_xlpm.big,DEC2HEX(_xlfn.BITLSHIFT(M472-_xlfn.XLOOKUP(O472,Data!A:A,Data!F:F),4)+O472,8),_xlfn.CONCAT(MID(_xlpm.big,7,2),MID(_xlpm.big,5,2),MID(_xlpm.big,3,2),MID(_xlpm.big,1,2)))</f>
        <v>#NUM!</v>
      </c>
      <c r="J472" s="2" t="str">
        <f t="shared" si="28"/>
        <v>02000000</v>
      </c>
      <c r="K472" s="2" t="str">
        <f>_xlfn.LET(_xlpm.big,IF(H472,DEC2HEX(HEX2DEC(F472),8),DEC2HEX(N472-_xlfn.XLOOKUP(P472,Data!A:A,Data!F:F),8)),_xlfn.CONCAT(MID(_xlpm.big,7,2),MID(_xlpm.big,5,2),MID(_xlpm.big,3,2),MID(_xlpm.big,1,2)))</f>
        <v>FEFFFFFF</v>
      </c>
      <c r="L472" s="2">
        <f t="shared" si="29"/>
        <v>0</v>
      </c>
      <c r="M472" s="2">
        <f t="shared" si="30"/>
        <v>0</v>
      </c>
      <c r="N472" s="2">
        <f t="shared" si="31"/>
        <v>0</v>
      </c>
      <c r="O472" s="2" cm="1">
        <f t="array" ref="O472">_xlfn.IFS(M472&lt;Data!$F$3,0,M472&lt;Data!$F$4,1,TRUE,2)</f>
        <v>0</v>
      </c>
      <c r="P472" s="2" cm="1">
        <f t="array" ref="P472">_xlfn.IFS(H472,3,N472&lt;Data!$F$3,0,N472&lt;Data!$F$4,1,TRUE,2)</f>
        <v>0</v>
      </c>
    </row>
    <row r="473" spans="4:16">
      <c r="D473" s="3"/>
      <c r="E473" s="3"/>
      <c r="F473" s="3"/>
      <c r="G473" s="2" t="str" cm="1">
        <f t="array" ref="G473">_xlfn.CONCAT(IFERROR(I473:K473,""))</f>
        <v>02000000FEFFFFFF</v>
      </c>
      <c r="I473" s="2" t="e">
        <f>_xlfn.LET(_xlpm.big,DEC2HEX(_xlfn.BITLSHIFT(M473-_xlfn.XLOOKUP(O473,Data!A:A,Data!F:F),4)+O473,8),_xlfn.CONCAT(MID(_xlpm.big,7,2),MID(_xlpm.big,5,2),MID(_xlpm.big,3,2),MID(_xlpm.big,1,2)))</f>
        <v>#NUM!</v>
      </c>
      <c r="J473" s="2" t="str">
        <f t="shared" si="28"/>
        <v>02000000</v>
      </c>
      <c r="K473" s="2" t="str">
        <f>_xlfn.LET(_xlpm.big,IF(H473,DEC2HEX(HEX2DEC(F473),8),DEC2HEX(N473-_xlfn.XLOOKUP(P473,Data!A:A,Data!F:F),8)),_xlfn.CONCAT(MID(_xlpm.big,7,2),MID(_xlpm.big,5,2),MID(_xlpm.big,3,2),MID(_xlpm.big,1,2)))</f>
        <v>FEFFFFFF</v>
      </c>
      <c r="L473" s="2">
        <f t="shared" si="29"/>
        <v>0</v>
      </c>
      <c r="M473" s="2">
        <f t="shared" si="30"/>
        <v>0</v>
      </c>
      <c r="N473" s="2">
        <f t="shared" si="31"/>
        <v>0</v>
      </c>
      <c r="O473" s="2" cm="1">
        <f t="array" ref="O473">_xlfn.IFS(M473&lt;Data!$F$3,0,M473&lt;Data!$F$4,1,TRUE,2)</f>
        <v>0</v>
      </c>
      <c r="P473" s="2" cm="1">
        <f t="array" ref="P473">_xlfn.IFS(H473,3,N473&lt;Data!$F$3,0,N473&lt;Data!$F$4,1,TRUE,2)</f>
        <v>0</v>
      </c>
    </row>
    <row r="474" spans="4:16">
      <c r="D474" s="3"/>
      <c r="E474" s="3"/>
      <c r="F474" s="3"/>
      <c r="G474" s="2" t="str" cm="1">
        <f t="array" ref="G474">_xlfn.CONCAT(IFERROR(I474:K474,""))</f>
        <v>02000000FEFFFFFF</v>
      </c>
      <c r="I474" s="2" t="e">
        <f>_xlfn.LET(_xlpm.big,DEC2HEX(_xlfn.BITLSHIFT(M474-_xlfn.XLOOKUP(O474,Data!A:A,Data!F:F),4)+O474,8),_xlfn.CONCAT(MID(_xlpm.big,7,2),MID(_xlpm.big,5,2),MID(_xlpm.big,3,2),MID(_xlpm.big,1,2)))</f>
        <v>#NUM!</v>
      </c>
      <c r="J474" s="2" t="str">
        <f t="shared" si="28"/>
        <v>02000000</v>
      </c>
      <c r="K474" s="2" t="str">
        <f>_xlfn.LET(_xlpm.big,IF(H474,DEC2HEX(HEX2DEC(F474),8),DEC2HEX(N474-_xlfn.XLOOKUP(P474,Data!A:A,Data!F:F),8)),_xlfn.CONCAT(MID(_xlpm.big,7,2),MID(_xlpm.big,5,2),MID(_xlpm.big,3,2),MID(_xlpm.big,1,2)))</f>
        <v>FEFFFFFF</v>
      </c>
      <c r="L474" s="2">
        <f t="shared" si="29"/>
        <v>0</v>
      </c>
      <c r="M474" s="2">
        <f t="shared" si="30"/>
        <v>0</v>
      </c>
      <c r="N474" s="2">
        <f t="shared" si="31"/>
        <v>0</v>
      </c>
      <c r="O474" s="2" cm="1">
        <f t="array" ref="O474">_xlfn.IFS(M474&lt;Data!$F$3,0,M474&lt;Data!$F$4,1,TRUE,2)</f>
        <v>0</v>
      </c>
      <c r="P474" s="2" cm="1">
        <f t="array" ref="P474">_xlfn.IFS(H474,3,N474&lt;Data!$F$3,0,N474&lt;Data!$F$4,1,TRUE,2)</f>
        <v>0</v>
      </c>
    </row>
    <row r="475" spans="4:16">
      <c r="D475" s="3"/>
      <c r="E475" s="3"/>
      <c r="F475" s="3"/>
      <c r="G475" s="2" t="str" cm="1">
        <f t="array" ref="G475">_xlfn.CONCAT(IFERROR(I475:K475,""))</f>
        <v>02000000FEFFFFFF</v>
      </c>
      <c r="I475" s="2" t="e">
        <f>_xlfn.LET(_xlpm.big,DEC2HEX(_xlfn.BITLSHIFT(M475-_xlfn.XLOOKUP(O475,Data!A:A,Data!F:F),4)+O475,8),_xlfn.CONCAT(MID(_xlpm.big,7,2),MID(_xlpm.big,5,2),MID(_xlpm.big,3,2),MID(_xlpm.big,1,2)))</f>
        <v>#NUM!</v>
      </c>
      <c r="J475" s="2" t="str">
        <f t="shared" si="28"/>
        <v>02000000</v>
      </c>
      <c r="K475" s="2" t="str">
        <f>_xlfn.LET(_xlpm.big,IF(H475,DEC2HEX(HEX2DEC(F475),8),DEC2HEX(N475-_xlfn.XLOOKUP(P475,Data!A:A,Data!F:F),8)),_xlfn.CONCAT(MID(_xlpm.big,7,2),MID(_xlpm.big,5,2),MID(_xlpm.big,3,2),MID(_xlpm.big,1,2)))</f>
        <v>FEFFFFFF</v>
      </c>
      <c r="L475" s="2">
        <f t="shared" si="29"/>
        <v>0</v>
      </c>
      <c r="M475" s="2">
        <f t="shared" si="30"/>
        <v>0</v>
      </c>
      <c r="N475" s="2">
        <f t="shared" si="31"/>
        <v>0</v>
      </c>
      <c r="O475" s="2" cm="1">
        <f t="array" ref="O475">_xlfn.IFS(M475&lt;Data!$F$3,0,M475&lt;Data!$F$4,1,TRUE,2)</f>
        <v>0</v>
      </c>
      <c r="P475" s="2" cm="1">
        <f t="array" ref="P475">_xlfn.IFS(H475,3,N475&lt;Data!$F$3,0,N475&lt;Data!$F$4,1,TRUE,2)</f>
        <v>0</v>
      </c>
    </row>
    <row r="476" spans="4:16">
      <c r="D476" s="3"/>
      <c r="E476" s="3"/>
      <c r="F476" s="3"/>
      <c r="G476" s="2" t="str" cm="1">
        <f t="array" ref="G476">_xlfn.CONCAT(IFERROR(I476:K476,""))</f>
        <v>02000000FEFFFFFF</v>
      </c>
      <c r="I476" s="2" t="e">
        <f>_xlfn.LET(_xlpm.big,DEC2HEX(_xlfn.BITLSHIFT(M476-_xlfn.XLOOKUP(O476,Data!A:A,Data!F:F),4)+O476,8),_xlfn.CONCAT(MID(_xlpm.big,7,2),MID(_xlpm.big,5,2),MID(_xlpm.big,3,2),MID(_xlpm.big,1,2)))</f>
        <v>#NUM!</v>
      </c>
      <c r="J476" s="2" t="str">
        <f t="shared" si="28"/>
        <v>02000000</v>
      </c>
      <c r="K476" s="2" t="str">
        <f>_xlfn.LET(_xlpm.big,IF(H476,DEC2HEX(HEX2DEC(F476),8),DEC2HEX(N476-_xlfn.XLOOKUP(P476,Data!A:A,Data!F:F),8)),_xlfn.CONCAT(MID(_xlpm.big,7,2),MID(_xlpm.big,5,2),MID(_xlpm.big,3,2),MID(_xlpm.big,1,2)))</f>
        <v>FEFFFFFF</v>
      </c>
      <c r="L476" s="2">
        <f t="shared" si="29"/>
        <v>0</v>
      </c>
      <c r="M476" s="2">
        <f t="shared" si="30"/>
        <v>0</v>
      </c>
      <c r="N476" s="2">
        <f t="shared" si="31"/>
        <v>0</v>
      </c>
      <c r="O476" s="2" cm="1">
        <f t="array" ref="O476">_xlfn.IFS(M476&lt;Data!$F$3,0,M476&lt;Data!$F$4,1,TRUE,2)</f>
        <v>0</v>
      </c>
      <c r="P476" s="2" cm="1">
        <f t="array" ref="P476">_xlfn.IFS(H476,3,N476&lt;Data!$F$3,0,N476&lt;Data!$F$4,1,TRUE,2)</f>
        <v>0</v>
      </c>
    </row>
    <row r="477" spans="4:16">
      <c r="D477" s="3"/>
      <c r="E477" s="3"/>
      <c r="F477" s="3"/>
      <c r="G477" s="2" t="str" cm="1">
        <f t="array" ref="G477">_xlfn.CONCAT(IFERROR(I477:K477,""))</f>
        <v>02000000FEFFFFFF</v>
      </c>
      <c r="I477" s="2" t="e">
        <f>_xlfn.LET(_xlpm.big,DEC2HEX(_xlfn.BITLSHIFT(M477-_xlfn.XLOOKUP(O477,Data!A:A,Data!F:F),4)+O477,8),_xlfn.CONCAT(MID(_xlpm.big,7,2),MID(_xlpm.big,5,2),MID(_xlpm.big,3,2),MID(_xlpm.big,1,2)))</f>
        <v>#NUM!</v>
      </c>
      <c r="J477" s="2" t="str">
        <f t="shared" si="28"/>
        <v>02000000</v>
      </c>
      <c r="K477" s="2" t="str">
        <f>_xlfn.LET(_xlpm.big,IF(H477,DEC2HEX(HEX2DEC(F477),8),DEC2HEX(N477-_xlfn.XLOOKUP(P477,Data!A:A,Data!F:F),8)),_xlfn.CONCAT(MID(_xlpm.big,7,2),MID(_xlpm.big,5,2),MID(_xlpm.big,3,2),MID(_xlpm.big,1,2)))</f>
        <v>FEFFFFFF</v>
      </c>
      <c r="L477" s="2">
        <f t="shared" si="29"/>
        <v>0</v>
      </c>
      <c r="M477" s="2">
        <f t="shared" si="30"/>
        <v>0</v>
      </c>
      <c r="N477" s="2">
        <f t="shared" si="31"/>
        <v>0</v>
      </c>
      <c r="O477" s="2" cm="1">
        <f t="array" ref="O477">_xlfn.IFS(M477&lt;Data!$F$3,0,M477&lt;Data!$F$4,1,TRUE,2)</f>
        <v>0</v>
      </c>
      <c r="P477" s="2" cm="1">
        <f t="array" ref="P477">_xlfn.IFS(H477,3,N477&lt;Data!$F$3,0,N477&lt;Data!$F$4,1,TRUE,2)</f>
        <v>0</v>
      </c>
    </row>
    <row r="478" spans="4:16">
      <c r="D478" s="3"/>
      <c r="E478" s="3"/>
      <c r="F478" s="3"/>
      <c r="G478" s="2" t="str" cm="1">
        <f t="array" ref="G478">_xlfn.CONCAT(IFERROR(I478:K478,""))</f>
        <v>02000000FEFFFFFF</v>
      </c>
      <c r="I478" s="2" t="e">
        <f>_xlfn.LET(_xlpm.big,DEC2HEX(_xlfn.BITLSHIFT(M478-_xlfn.XLOOKUP(O478,Data!A:A,Data!F:F),4)+O478,8),_xlfn.CONCAT(MID(_xlpm.big,7,2),MID(_xlpm.big,5,2),MID(_xlpm.big,3,2),MID(_xlpm.big,1,2)))</f>
        <v>#NUM!</v>
      </c>
      <c r="J478" s="2" t="str">
        <f t="shared" si="28"/>
        <v>02000000</v>
      </c>
      <c r="K478" s="2" t="str">
        <f>_xlfn.LET(_xlpm.big,IF(H478,DEC2HEX(HEX2DEC(F478),8),DEC2HEX(N478-_xlfn.XLOOKUP(P478,Data!A:A,Data!F:F),8)),_xlfn.CONCAT(MID(_xlpm.big,7,2),MID(_xlpm.big,5,2),MID(_xlpm.big,3,2),MID(_xlpm.big,1,2)))</f>
        <v>FEFFFFFF</v>
      </c>
      <c r="L478" s="2">
        <f t="shared" si="29"/>
        <v>0</v>
      </c>
      <c r="M478" s="2">
        <f t="shared" si="30"/>
        <v>0</v>
      </c>
      <c r="N478" s="2">
        <f t="shared" si="31"/>
        <v>0</v>
      </c>
      <c r="O478" s="2" cm="1">
        <f t="array" ref="O478">_xlfn.IFS(M478&lt;Data!$F$3,0,M478&lt;Data!$F$4,1,TRUE,2)</f>
        <v>0</v>
      </c>
      <c r="P478" s="2" cm="1">
        <f t="array" ref="P478">_xlfn.IFS(H478,3,N478&lt;Data!$F$3,0,N478&lt;Data!$F$4,1,TRUE,2)</f>
        <v>0</v>
      </c>
    </row>
    <row r="479" spans="4:16">
      <c r="D479" s="3"/>
      <c r="E479" s="3"/>
      <c r="F479" s="3"/>
      <c r="G479" s="2" t="str" cm="1">
        <f t="array" ref="G479">_xlfn.CONCAT(IFERROR(I479:K479,""))</f>
        <v>02000000FEFFFFFF</v>
      </c>
      <c r="I479" s="2" t="e">
        <f>_xlfn.LET(_xlpm.big,DEC2HEX(_xlfn.BITLSHIFT(M479-_xlfn.XLOOKUP(O479,Data!A:A,Data!F:F),4)+O479,8),_xlfn.CONCAT(MID(_xlpm.big,7,2),MID(_xlpm.big,5,2),MID(_xlpm.big,3,2),MID(_xlpm.big,1,2)))</f>
        <v>#NUM!</v>
      </c>
      <c r="J479" s="2" t="str">
        <f t="shared" si="28"/>
        <v>02000000</v>
      </c>
      <c r="K479" s="2" t="str">
        <f>_xlfn.LET(_xlpm.big,IF(H479,DEC2HEX(HEX2DEC(F479),8),DEC2HEX(N479-_xlfn.XLOOKUP(P479,Data!A:A,Data!F:F),8)),_xlfn.CONCAT(MID(_xlpm.big,7,2),MID(_xlpm.big,5,2),MID(_xlpm.big,3,2),MID(_xlpm.big,1,2)))</f>
        <v>FEFFFFFF</v>
      </c>
      <c r="L479" s="2">
        <f t="shared" si="29"/>
        <v>0</v>
      </c>
      <c r="M479" s="2">
        <f t="shared" si="30"/>
        <v>0</v>
      </c>
      <c r="N479" s="2">
        <f t="shared" si="31"/>
        <v>0</v>
      </c>
      <c r="O479" s="2" cm="1">
        <f t="array" ref="O479">_xlfn.IFS(M479&lt;Data!$F$3,0,M479&lt;Data!$F$4,1,TRUE,2)</f>
        <v>0</v>
      </c>
      <c r="P479" s="2" cm="1">
        <f t="array" ref="P479">_xlfn.IFS(H479,3,N479&lt;Data!$F$3,0,N479&lt;Data!$F$4,1,TRUE,2)</f>
        <v>0</v>
      </c>
    </row>
    <row r="480" spans="4:16">
      <c r="D480" s="3"/>
      <c r="E480" s="3"/>
      <c r="F480" s="3"/>
      <c r="G480" s="2" t="str" cm="1">
        <f t="array" ref="G480">_xlfn.CONCAT(IFERROR(I480:K480,""))</f>
        <v>02000000FEFFFFFF</v>
      </c>
      <c r="I480" s="2" t="e">
        <f>_xlfn.LET(_xlpm.big,DEC2HEX(_xlfn.BITLSHIFT(M480-_xlfn.XLOOKUP(O480,Data!A:A,Data!F:F),4)+O480,8),_xlfn.CONCAT(MID(_xlpm.big,7,2),MID(_xlpm.big,5,2),MID(_xlpm.big,3,2),MID(_xlpm.big,1,2)))</f>
        <v>#NUM!</v>
      </c>
      <c r="J480" s="2" t="str">
        <f t="shared" si="28"/>
        <v>02000000</v>
      </c>
      <c r="K480" s="2" t="str">
        <f>_xlfn.LET(_xlpm.big,IF(H480,DEC2HEX(HEX2DEC(F480),8),DEC2HEX(N480-_xlfn.XLOOKUP(P480,Data!A:A,Data!F:F),8)),_xlfn.CONCAT(MID(_xlpm.big,7,2),MID(_xlpm.big,5,2),MID(_xlpm.big,3,2),MID(_xlpm.big,1,2)))</f>
        <v>FEFFFFFF</v>
      </c>
      <c r="L480" s="2">
        <f t="shared" si="29"/>
        <v>0</v>
      </c>
      <c r="M480" s="2">
        <f t="shared" si="30"/>
        <v>0</v>
      </c>
      <c r="N480" s="2">
        <f t="shared" si="31"/>
        <v>0</v>
      </c>
      <c r="O480" s="2" cm="1">
        <f t="array" ref="O480">_xlfn.IFS(M480&lt;Data!$F$3,0,M480&lt;Data!$F$4,1,TRUE,2)</f>
        <v>0</v>
      </c>
      <c r="P480" s="2" cm="1">
        <f t="array" ref="P480">_xlfn.IFS(H480,3,N480&lt;Data!$F$3,0,N480&lt;Data!$F$4,1,TRUE,2)</f>
        <v>0</v>
      </c>
    </row>
    <row r="481" spans="4:16">
      <c r="D481" s="3"/>
      <c r="E481" s="3"/>
      <c r="F481" s="3"/>
      <c r="G481" s="2" t="str" cm="1">
        <f t="array" ref="G481">_xlfn.CONCAT(IFERROR(I481:K481,""))</f>
        <v>02000000FEFFFFFF</v>
      </c>
      <c r="I481" s="2" t="e">
        <f>_xlfn.LET(_xlpm.big,DEC2HEX(_xlfn.BITLSHIFT(M481-_xlfn.XLOOKUP(O481,Data!A:A,Data!F:F),4)+O481,8),_xlfn.CONCAT(MID(_xlpm.big,7,2),MID(_xlpm.big,5,2),MID(_xlpm.big,3,2),MID(_xlpm.big,1,2)))</f>
        <v>#NUM!</v>
      </c>
      <c r="J481" s="2" t="str">
        <f t="shared" si="28"/>
        <v>02000000</v>
      </c>
      <c r="K481" s="2" t="str">
        <f>_xlfn.LET(_xlpm.big,IF(H481,DEC2HEX(HEX2DEC(F481),8),DEC2HEX(N481-_xlfn.XLOOKUP(P481,Data!A:A,Data!F:F),8)),_xlfn.CONCAT(MID(_xlpm.big,7,2),MID(_xlpm.big,5,2),MID(_xlpm.big,3,2),MID(_xlpm.big,1,2)))</f>
        <v>FEFFFFFF</v>
      </c>
      <c r="L481" s="2">
        <f t="shared" si="29"/>
        <v>0</v>
      </c>
      <c r="M481" s="2">
        <f t="shared" si="30"/>
        <v>0</v>
      </c>
      <c r="N481" s="2">
        <f t="shared" si="31"/>
        <v>0</v>
      </c>
      <c r="O481" s="2" cm="1">
        <f t="array" ref="O481">_xlfn.IFS(M481&lt;Data!$F$3,0,M481&lt;Data!$F$4,1,TRUE,2)</f>
        <v>0</v>
      </c>
      <c r="P481" s="2" cm="1">
        <f t="array" ref="P481">_xlfn.IFS(H481,3,N481&lt;Data!$F$3,0,N481&lt;Data!$F$4,1,TRUE,2)</f>
        <v>0</v>
      </c>
    </row>
    <row r="482" spans="4:16">
      <c r="D482" s="3"/>
      <c r="E482" s="3"/>
      <c r="F482" s="3"/>
      <c r="G482" s="2" t="str" cm="1">
        <f t="array" ref="G482">_xlfn.CONCAT(IFERROR(I482:K482,""))</f>
        <v>02000000FEFFFFFF</v>
      </c>
      <c r="I482" s="2" t="e">
        <f>_xlfn.LET(_xlpm.big,DEC2HEX(_xlfn.BITLSHIFT(M482-_xlfn.XLOOKUP(O482,Data!A:A,Data!F:F),4)+O482,8),_xlfn.CONCAT(MID(_xlpm.big,7,2),MID(_xlpm.big,5,2),MID(_xlpm.big,3,2),MID(_xlpm.big,1,2)))</f>
        <v>#NUM!</v>
      </c>
      <c r="J482" s="2" t="str">
        <f t="shared" si="28"/>
        <v>02000000</v>
      </c>
      <c r="K482" s="2" t="str">
        <f>_xlfn.LET(_xlpm.big,IF(H482,DEC2HEX(HEX2DEC(F482),8),DEC2HEX(N482-_xlfn.XLOOKUP(P482,Data!A:A,Data!F:F),8)),_xlfn.CONCAT(MID(_xlpm.big,7,2),MID(_xlpm.big,5,2),MID(_xlpm.big,3,2),MID(_xlpm.big,1,2)))</f>
        <v>FEFFFFFF</v>
      </c>
      <c r="L482" s="2">
        <f t="shared" si="29"/>
        <v>0</v>
      </c>
      <c r="M482" s="2">
        <f t="shared" si="30"/>
        <v>0</v>
      </c>
      <c r="N482" s="2">
        <f t="shared" si="31"/>
        <v>0</v>
      </c>
      <c r="O482" s="2" cm="1">
        <f t="array" ref="O482">_xlfn.IFS(M482&lt;Data!$F$3,0,M482&lt;Data!$F$4,1,TRUE,2)</f>
        <v>0</v>
      </c>
      <c r="P482" s="2" cm="1">
        <f t="array" ref="P482">_xlfn.IFS(H482,3,N482&lt;Data!$F$3,0,N482&lt;Data!$F$4,1,TRUE,2)</f>
        <v>0</v>
      </c>
    </row>
    <row r="483" spans="4:16">
      <c r="D483" s="3"/>
      <c r="E483" s="3"/>
      <c r="F483" s="3"/>
      <c r="G483" s="2" t="str" cm="1">
        <f t="array" ref="G483">_xlfn.CONCAT(IFERROR(I483:K483,""))</f>
        <v>02000000FEFFFFFF</v>
      </c>
      <c r="I483" s="2" t="e">
        <f>_xlfn.LET(_xlpm.big,DEC2HEX(_xlfn.BITLSHIFT(M483-_xlfn.XLOOKUP(O483,Data!A:A,Data!F:F),4)+O483,8),_xlfn.CONCAT(MID(_xlpm.big,7,2),MID(_xlpm.big,5,2),MID(_xlpm.big,3,2),MID(_xlpm.big,1,2)))</f>
        <v>#NUM!</v>
      </c>
      <c r="J483" s="2" t="str">
        <f t="shared" si="28"/>
        <v>02000000</v>
      </c>
      <c r="K483" s="2" t="str">
        <f>_xlfn.LET(_xlpm.big,IF(H483,DEC2HEX(HEX2DEC(F483),8),DEC2HEX(N483-_xlfn.XLOOKUP(P483,Data!A:A,Data!F:F),8)),_xlfn.CONCAT(MID(_xlpm.big,7,2),MID(_xlpm.big,5,2),MID(_xlpm.big,3,2),MID(_xlpm.big,1,2)))</f>
        <v>FEFFFFFF</v>
      </c>
      <c r="L483" s="2">
        <f t="shared" si="29"/>
        <v>0</v>
      </c>
      <c r="M483" s="2">
        <f t="shared" si="30"/>
        <v>0</v>
      </c>
      <c r="N483" s="2">
        <f t="shared" si="31"/>
        <v>0</v>
      </c>
      <c r="O483" s="2" cm="1">
        <f t="array" ref="O483">_xlfn.IFS(M483&lt;Data!$F$3,0,M483&lt;Data!$F$4,1,TRUE,2)</f>
        <v>0</v>
      </c>
      <c r="P483" s="2" cm="1">
        <f t="array" ref="P483">_xlfn.IFS(H483,3,N483&lt;Data!$F$3,0,N483&lt;Data!$F$4,1,TRUE,2)</f>
        <v>0</v>
      </c>
    </row>
    <row r="484" spans="4:16">
      <c r="D484" s="3"/>
      <c r="E484" s="3"/>
      <c r="F484" s="3"/>
      <c r="G484" s="2" t="str" cm="1">
        <f t="array" ref="G484">_xlfn.CONCAT(IFERROR(I484:K484,""))</f>
        <v>02000000FEFFFFFF</v>
      </c>
      <c r="I484" s="2" t="e">
        <f>_xlfn.LET(_xlpm.big,DEC2HEX(_xlfn.BITLSHIFT(M484-_xlfn.XLOOKUP(O484,Data!A:A,Data!F:F),4)+O484,8),_xlfn.CONCAT(MID(_xlpm.big,7,2),MID(_xlpm.big,5,2),MID(_xlpm.big,3,2),MID(_xlpm.big,1,2)))</f>
        <v>#NUM!</v>
      </c>
      <c r="J484" s="2" t="str">
        <f t="shared" si="28"/>
        <v>02000000</v>
      </c>
      <c r="K484" s="2" t="str">
        <f>_xlfn.LET(_xlpm.big,IF(H484,DEC2HEX(HEX2DEC(F484),8),DEC2HEX(N484-_xlfn.XLOOKUP(P484,Data!A:A,Data!F:F),8)),_xlfn.CONCAT(MID(_xlpm.big,7,2),MID(_xlpm.big,5,2),MID(_xlpm.big,3,2),MID(_xlpm.big,1,2)))</f>
        <v>FEFFFFFF</v>
      </c>
      <c r="L484" s="2">
        <f t="shared" si="29"/>
        <v>0</v>
      </c>
      <c r="M484" s="2">
        <f t="shared" si="30"/>
        <v>0</v>
      </c>
      <c r="N484" s="2">
        <f t="shared" si="31"/>
        <v>0</v>
      </c>
      <c r="O484" s="2" cm="1">
        <f t="array" ref="O484">_xlfn.IFS(M484&lt;Data!$F$3,0,M484&lt;Data!$F$4,1,TRUE,2)</f>
        <v>0</v>
      </c>
      <c r="P484" s="2" cm="1">
        <f t="array" ref="P484">_xlfn.IFS(H484,3,N484&lt;Data!$F$3,0,N484&lt;Data!$F$4,1,TRUE,2)</f>
        <v>0</v>
      </c>
    </row>
    <row r="485" spans="4:16">
      <c r="D485" s="3"/>
      <c r="E485" s="3"/>
      <c r="F485" s="3"/>
      <c r="G485" s="2" t="str" cm="1">
        <f t="array" ref="G485">_xlfn.CONCAT(IFERROR(I485:K485,""))</f>
        <v>02000000FEFFFFFF</v>
      </c>
      <c r="I485" s="2" t="e">
        <f>_xlfn.LET(_xlpm.big,DEC2HEX(_xlfn.BITLSHIFT(M485-_xlfn.XLOOKUP(O485,Data!A:A,Data!F:F),4)+O485,8),_xlfn.CONCAT(MID(_xlpm.big,7,2),MID(_xlpm.big,5,2),MID(_xlpm.big,3,2),MID(_xlpm.big,1,2)))</f>
        <v>#NUM!</v>
      </c>
      <c r="J485" s="2" t="str">
        <f t="shared" si="28"/>
        <v>02000000</v>
      </c>
      <c r="K485" s="2" t="str">
        <f>_xlfn.LET(_xlpm.big,IF(H485,DEC2HEX(HEX2DEC(F485),8),DEC2HEX(N485-_xlfn.XLOOKUP(P485,Data!A:A,Data!F:F),8)),_xlfn.CONCAT(MID(_xlpm.big,7,2),MID(_xlpm.big,5,2),MID(_xlpm.big,3,2),MID(_xlpm.big,1,2)))</f>
        <v>FEFFFFFF</v>
      </c>
      <c r="L485" s="2">
        <f t="shared" si="29"/>
        <v>0</v>
      </c>
      <c r="M485" s="2">
        <f t="shared" si="30"/>
        <v>0</v>
      </c>
      <c r="N485" s="2">
        <f t="shared" si="31"/>
        <v>0</v>
      </c>
      <c r="O485" s="2" cm="1">
        <f t="array" ref="O485">_xlfn.IFS(M485&lt;Data!$F$3,0,M485&lt;Data!$F$4,1,TRUE,2)</f>
        <v>0</v>
      </c>
      <c r="P485" s="2" cm="1">
        <f t="array" ref="P485">_xlfn.IFS(H485,3,N485&lt;Data!$F$3,0,N485&lt;Data!$F$4,1,TRUE,2)</f>
        <v>0</v>
      </c>
    </row>
    <row r="486" spans="4:16">
      <c r="D486" s="3"/>
      <c r="E486" s="3"/>
      <c r="F486" s="3"/>
      <c r="G486" s="2" t="str" cm="1">
        <f t="array" ref="G486">_xlfn.CONCAT(IFERROR(I486:K486,""))</f>
        <v>02000000FEFFFFFF</v>
      </c>
      <c r="I486" s="2" t="e">
        <f>_xlfn.LET(_xlpm.big,DEC2HEX(_xlfn.BITLSHIFT(M486-_xlfn.XLOOKUP(O486,Data!A:A,Data!F:F),4)+O486,8),_xlfn.CONCAT(MID(_xlpm.big,7,2),MID(_xlpm.big,5,2),MID(_xlpm.big,3,2),MID(_xlpm.big,1,2)))</f>
        <v>#NUM!</v>
      </c>
      <c r="J486" s="2" t="str">
        <f t="shared" si="28"/>
        <v>02000000</v>
      </c>
      <c r="K486" s="2" t="str">
        <f>_xlfn.LET(_xlpm.big,IF(H486,DEC2HEX(HEX2DEC(F486),8),DEC2HEX(N486-_xlfn.XLOOKUP(P486,Data!A:A,Data!F:F),8)),_xlfn.CONCAT(MID(_xlpm.big,7,2),MID(_xlpm.big,5,2),MID(_xlpm.big,3,2),MID(_xlpm.big,1,2)))</f>
        <v>FEFFFFFF</v>
      </c>
      <c r="L486" s="2">
        <f t="shared" si="29"/>
        <v>0</v>
      </c>
      <c r="M486" s="2">
        <f t="shared" si="30"/>
        <v>0</v>
      </c>
      <c r="N486" s="2">
        <f t="shared" si="31"/>
        <v>0</v>
      </c>
      <c r="O486" s="2" cm="1">
        <f t="array" ref="O486">_xlfn.IFS(M486&lt;Data!$F$3,0,M486&lt;Data!$F$4,1,TRUE,2)</f>
        <v>0</v>
      </c>
      <c r="P486" s="2" cm="1">
        <f t="array" ref="P486">_xlfn.IFS(H486,3,N486&lt;Data!$F$3,0,N486&lt;Data!$F$4,1,TRUE,2)</f>
        <v>0</v>
      </c>
    </row>
    <row r="487" spans="4:16">
      <c r="D487" s="3"/>
      <c r="E487" s="3"/>
      <c r="F487" s="3"/>
      <c r="G487" s="2" t="str" cm="1">
        <f t="array" ref="G487">_xlfn.CONCAT(IFERROR(I487:K487,""))</f>
        <v>02000000FEFFFFFF</v>
      </c>
      <c r="I487" s="2" t="e">
        <f>_xlfn.LET(_xlpm.big,DEC2HEX(_xlfn.BITLSHIFT(M487-_xlfn.XLOOKUP(O487,Data!A:A,Data!F:F),4)+O487,8),_xlfn.CONCAT(MID(_xlpm.big,7,2),MID(_xlpm.big,5,2),MID(_xlpm.big,3,2),MID(_xlpm.big,1,2)))</f>
        <v>#NUM!</v>
      </c>
      <c r="J487" s="2" t="str">
        <f t="shared" si="28"/>
        <v>02000000</v>
      </c>
      <c r="K487" s="2" t="str">
        <f>_xlfn.LET(_xlpm.big,IF(H487,DEC2HEX(HEX2DEC(F487),8),DEC2HEX(N487-_xlfn.XLOOKUP(P487,Data!A:A,Data!F:F),8)),_xlfn.CONCAT(MID(_xlpm.big,7,2),MID(_xlpm.big,5,2),MID(_xlpm.big,3,2),MID(_xlpm.big,1,2)))</f>
        <v>FEFFFFFF</v>
      </c>
      <c r="L487" s="2">
        <f t="shared" si="29"/>
        <v>0</v>
      </c>
      <c r="M487" s="2">
        <f t="shared" si="30"/>
        <v>0</v>
      </c>
      <c r="N487" s="2">
        <f t="shared" si="31"/>
        <v>0</v>
      </c>
      <c r="O487" s="2" cm="1">
        <f t="array" ref="O487">_xlfn.IFS(M487&lt;Data!$F$3,0,M487&lt;Data!$F$4,1,TRUE,2)</f>
        <v>0</v>
      </c>
      <c r="P487" s="2" cm="1">
        <f t="array" ref="P487">_xlfn.IFS(H487,3,N487&lt;Data!$F$3,0,N487&lt;Data!$F$4,1,TRUE,2)</f>
        <v>0</v>
      </c>
    </row>
    <row r="488" spans="4:16">
      <c r="D488" s="3"/>
      <c r="E488" s="3"/>
      <c r="F488" s="3"/>
      <c r="G488" s="2" t="str" cm="1">
        <f t="array" ref="G488">_xlfn.CONCAT(IFERROR(I488:K488,""))</f>
        <v>02000000FEFFFFFF</v>
      </c>
      <c r="I488" s="2" t="e">
        <f>_xlfn.LET(_xlpm.big,DEC2HEX(_xlfn.BITLSHIFT(M488-_xlfn.XLOOKUP(O488,Data!A:A,Data!F:F),4)+O488,8),_xlfn.CONCAT(MID(_xlpm.big,7,2),MID(_xlpm.big,5,2),MID(_xlpm.big,3,2),MID(_xlpm.big,1,2)))</f>
        <v>#NUM!</v>
      </c>
      <c r="J488" s="2" t="str">
        <f t="shared" si="28"/>
        <v>02000000</v>
      </c>
      <c r="K488" s="2" t="str">
        <f>_xlfn.LET(_xlpm.big,IF(H488,DEC2HEX(HEX2DEC(F488),8),DEC2HEX(N488-_xlfn.XLOOKUP(P488,Data!A:A,Data!F:F),8)),_xlfn.CONCAT(MID(_xlpm.big,7,2),MID(_xlpm.big,5,2),MID(_xlpm.big,3,2),MID(_xlpm.big,1,2)))</f>
        <v>FEFFFFFF</v>
      </c>
      <c r="L488" s="2">
        <f t="shared" si="29"/>
        <v>0</v>
      </c>
      <c r="M488" s="2">
        <f t="shared" si="30"/>
        <v>0</v>
      </c>
      <c r="N488" s="2">
        <f t="shared" si="31"/>
        <v>0</v>
      </c>
      <c r="O488" s="2" cm="1">
        <f t="array" ref="O488">_xlfn.IFS(M488&lt;Data!$F$3,0,M488&lt;Data!$F$4,1,TRUE,2)</f>
        <v>0</v>
      </c>
      <c r="P488" s="2" cm="1">
        <f t="array" ref="P488">_xlfn.IFS(H488,3,N488&lt;Data!$F$3,0,N488&lt;Data!$F$4,1,TRUE,2)</f>
        <v>0</v>
      </c>
    </row>
    <row r="489" spans="4:16">
      <c r="D489" s="3"/>
      <c r="E489" s="3"/>
      <c r="F489" s="3"/>
      <c r="G489" s="2" t="str" cm="1">
        <f t="array" ref="G489">_xlfn.CONCAT(IFERROR(I489:K489,""))</f>
        <v>02000000FEFFFFFF</v>
      </c>
      <c r="I489" s="2" t="e">
        <f>_xlfn.LET(_xlpm.big,DEC2HEX(_xlfn.BITLSHIFT(M489-_xlfn.XLOOKUP(O489,Data!A:A,Data!F:F),4)+O489,8),_xlfn.CONCAT(MID(_xlpm.big,7,2),MID(_xlpm.big,5,2),MID(_xlpm.big,3,2),MID(_xlpm.big,1,2)))</f>
        <v>#NUM!</v>
      </c>
      <c r="J489" s="2" t="str">
        <f t="shared" si="28"/>
        <v>02000000</v>
      </c>
      <c r="K489" s="2" t="str">
        <f>_xlfn.LET(_xlpm.big,IF(H489,DEC2HEX(HEX2DEC(F489),8),DEC2HEX(N489-_xlfn.XLOOKUP(P489,Data!A:A,Data!F:F),8)),_xlfn.CONCAT(MID(_xlpm.big,7,2),MID(_xlpm.big,5,2),MID(_xlpm.big,3,2),MID(_xlpm.big,1,2)))</f>
        <v>FEFFFFFF</v>
      </c>
      <c r="L489" s="2">
        <f t="shared" si="29"/>
        <v>0</v>
      </c>
      <c r="M489" s="2">
        <f t="shared" si="30"/>
        <v>0</v>
      </c>
      <c r="N489" s="2">
        <f t="shared" si="31"/>
        <v>0</v>
      </c>
      <c r="O489" s="2" cm="1">
        <f t="array" ref="O489">_xlfn.IFS(M489&lt;Data!$F$3,0,M489&lt;Data!$F$4,1,TRUE,2)</f>
        <v>0</v>
      </c>
      <c r="P489" s="2" cm="1">
        <f t="array" ref="P489">_xlfn.IFS(H489,3,N489&lt;Data!$F$3,0,N489&lt;Data!$F$4,1,TRUE,2)</f>
        <v>0</v>
      </c>
    </row>
    <row r="490" spans="4:16">
      <c r="D490" s="3"/>
      <c r="E490" s="3"/>
      <c r="F490" s="3"/>
      <c r="G490" s="2" t="str" cm="1">
        <f t="array" ref="G490">_xlfn.CONCAT(IFERROR(I490:K490,""))</f>
        <v>02000000FEFFFFFF</v>
      </c>
      <c r="I490" s="2" t="e">
        <f>_xlfn.LET(_xlpm.big,DEC2HEX(_xlfn.BITLSHIFT(M490-_xlfn.XLOOKUP(O490,Data!A:A,Data!F:F),4)+O490,8),_xlfn.CONCAT(MID(_xlpm.big,7,2),MID(_xlpm.big,5,2),MID(_xlpm.big,3,2),MID(_xlpm.big,1,2)))</f>
        <v>#NUM!</v>
      </c>
      <c r="J490" s="2" t="str">
        <f t="shared" si="28"/>
        <v>02000000</v>
      </c>
      <c r="K490" s="2" t="str">
        <f>_xlfn.LET(_xlpm.big,IF(H490,DEC2HEX(HEX2DEC(F490),8),DEC2HEX(N490-_xlfn.XLOOKUP(P490,Data!A:A,Data!F:F),8)),_xlfn.CONCAT(MID(_xlpm.big,7,2),MID(_xlpm.big,5,2),MID(_xlpm.big,3,2),MID(_xlpm.big,1,2)))</f>
        <v>FEFFFFFF</v>
      </c>
      <c r="L490" s="2">
        <f t="shared" si="29"/>
        <v>0</v>
      </c>
      <c r="M490" s="2">
        <f t="shared" si="30"/>
        <v>0</v>
      </c>
      <c r="N490" s="2">
        <f t="shared" si="31"/>
        <v>0</v>
      </c>
      <c r="O490" s="2" cm="1">
        <f t="array" ref="O490">_xlfn.IFS(M490&lt;Data!$F$3,0,M490&lt;Data!$F$4,1,TRUE,2)</f>
        <v>0</v>
      </c>
      <c r="P490" s="2" cm="1">
        <f t="array" ref="P490">_xlfn.IFS(H490,3,N490&lt;Data!$F$3,0,N490&lt;Data!$F$4,1,TRUE,2)</f>
        <v>0</v>
      </c>
    </row>
    <row r="491" spans="4:16">
      <c r="D491" s="3"/>
      <c r="E491" s="3"/>
      <c r="F491" s="3"/>
      <c r="G491" s="2" t="str" cm="1">
        <f t="array" ref="G491">_xlfn.CONCAT(IFERROR(I491:K491,""))</f>
        <v>02000000FEFFFFFF</v>
      </c>
      <c r="I491" s="2" t="e">
        <f>_xlfn.LET(_xlpm.big,DEC2HEX(_xlfn.BITLSHIFT(M491-_xlfn.XLOOKUP(O491,Data!A:A,Data!F:F),4)+O491,8),_xlfn.CONCAT(MID(_xlpm.big,7,2),MID(_xlpm.big,5,2),MID(_xlpm.big,3,2),MID(_xlpm.big,1,2)))</f>
        <v>#NUM!</v>
      </c>
      <c r="J491" s="2" t="str">
        <f t="shared" si="28"/>
        <v>02000000</v>
      </c>
      <c r="K491" s="2" t="str">
        <f>_xlfn.LET(_xlpm.big,IF(H491,DEC2HEX(HEX2DEC(F491),8),DEC2HEX(N491-_xlfn.XLOOKUP(P491,Data!A:A,Data!F:F),8)),_xlfn.CONCAT(MID(_xlpm.big,7,2),MID(_xlpm.big,5,2),MID(_xlpm.big,3,2),MID(_xlpm.big,1,2)))</f>
        <v>FEFFFFFF</v>
      </c>
      <c r="L491" s="2">
        <f t="shared" si="29"/>
        <v>0</v>
      </c>
      <c r="M491" s="2">
        <f t="shared" si="30"/>
        <v>0</v>
      </c>
      <c r="N491" s="2">
        <f t="shared" si="31"/>
        <v>0</v>
      </c>
      <c r="O491" s="2" cm="1">
        <f t="array" ref="O491">_xlfn.IFS(M491&lt;Data!$F$3,0,M491&lt;Data!$F$4,1,TRUE,2)</f>
        <v>0</v>
      </c>
      <c r="P491" s="2" cm="1">
        <f t="array" ref="P491">_xlfn.IFS(H491,3,N491&lt;Data!$F$3,0,N491&lt;Data!$F$4,1,TRUE,2)</f>
        <v>0</v>
      </c>
    </row>
    <row r="492" spans="4:16">
      <c r="D492" s="3"/>
      <c r="E492" s="3"/>
      <c r="F492" s="3"/>
      <c r="G492" s="2" t="str" cm="1">
        <f t="array" ref="G492">_xlfn.CONCAT(IFERROR(I492:K492,""))</f>
        <v>02000000FEFFFFFF</v>
      </c>
      <c r="I492" s="2" t="e">
        <f>_xlfn.LET(_xlpm.big,DEC2HEX(_xlfn.BITLSHIFT(M492-_xlfn.XLOOKUP(O492,Data!A:A,Data!F:F),4)+O492,8),_xlfn.CONCAT(MID(_xlpm.big,7,2),MID(_xlpm.big,5,2),MID(_xlpm.big,3,2),MID(_xlpm.big,1,2)))</f>
        <v>#NUM!</v>
      </c>
      <c r="J492" s="2" t="str">
        <f t="shared" si="28"/>
        <v>02000000</v>
      </c>
      <c r="K492" s="2" t="str">
        <f>_xlfn.LET(_xlpm.big,IF(H492,DEC2HEX(HEX2DEC(F492),8),DEC2HEX(N492-_xlfn.XLOOKUP(P492,Data!A:A,Data!F:F),8)),_xlfn.CONCAT(MID(_xlpm.big,7,2),MID(_xlpm.big,5,2),MID(_xlpm.big,3,2),MID(_xlpm.big,1,2)))</f>
        <v>FEFFFFFF</v>
      </c>
      <c r="L492" s="2">
        <f t="shared" si="29"/>
        <v>0</v>
      </c>
      <c r="M492" s="2">
        <f t="shared" si="30"/>
        <v>0</v>
      </c>
      <c r="N492" s="2">
        <f t="shared" si="31"/>
        <v>0</v>
      </c>
      <c r="O492" s="2" cm="1">
        <f t="array" ref="O492">_xlfn.IFS(M492&lt;Data!$F$3,0,M492&lt;Data!$F$4,1,TRUE,2)</f>
        <v>0</v>
      </c>
      <c r="P492" s="2" cm="1">
        <f t="array" ref="P492">_xlfn.IFS(H492,3,N492&lt;Data!$F$3,0,N492&lt;Data!$F$4,1,TRUE,2)</f>
        <v>0</v>
      </c>
    </row>
    <row r="493" spans="4:16">
      <c r="D493" s="3"/>
      <c r="E493" s="3"/>
      <c r="F493" s="3"/>
      <c r="G493" s="2" t="str" cm="1">
        <f t="array" ref="G493">_xlfn.CONCAT(IFERROR(I493:K493,""))</f>
        <v>02000000FEFFFFFF</v>
      </c>
      <c r="I493" s="2" t="e">
        <f>_xlfn.LET(_xlpm.big,DEC2HEX(_xlfn.BITLSHIFT(M493-_xlfn.XLOOKUP(O493,Data!A:A,Data!F:F),4)+O493,8),_xlfn.CONCAT(MID(_xlpm.big,7,2),MID(_xlpm.big,5,2),MID(_xlpm.big,3,2),MID(_xlpm.big,1,2)))</f>
        <v>#NUM!</v>
      </c>
      <c r="J493" s="2" t="str">
        <f t="shared" si="28"/>
        <v>02000000</v>
      </c>
      <c r="K493" s="2" t="str">
        <f>_xlfn.LET(_xlpm.big,IF(H493,DEC2HEX(HEX2DEC(F493),8),DEC2HEX(N493-_xlfn.XLOOKUP(P493,Data!A:A,Data!F:F),8)),_xlfn.CONCAT(MID(_xlpm.big,7,2),MID(_xlpm.big,5,2),MID(_xlpm.big,3,2),MID(_xlpm.big,1,2)))</f>
        <v>FEFFFFFF</v>
      </c>
      <c r="L493" s="2">
        <f t="shared" si="29"/>
        <v>0</v>
      </c>
      <c r="M493" s="2">
        <f t="shared" si="30"/>
        <v>0</v>
      </c>
      <c r="N493" s="2">
        <f t="shared" si="31"/>
        <v>0</v>
      </c>
      <c r="O493" s="2" cm="1">
        <f t="array" ref="O493">_xlfn.IFS(M493&lt;Data!$F$3,0,M493&lt;Data!$F$4,1,TRUE,2)</f>
        <v>0</v>
      </c>
      <c r="P493" s="2" cm="1">
        <f t="array" ref="P493">_xlfn.IFS(H493,3,N493&lt;Data!$F$3,0,N493&lt;Data!$F$4,1,TRUE,2)</f>
        <v>0</v>
      </c>
    </row>
    <row r="494" spans="4:16">
      <c r="D494" s="3"/>
      <c r="E494" s="3"/>
      <c r="F494" s="3"/>
      <c r="G494" s="2" t="str" cm="1">
        <f t="array" ref="G494">_xlfn.CONCAT(IFERROR(I494:K494,""))</f>
        <v>02000000FEFFFFFF</v>
      </c>
      <c r="I494" s="2" t="e">
        <f>_xlfn.LET(_xlpm.big,DEC2HEX(_xlfn.BITLSHIFT(M494-_xlfn.XLOOKUP(O494,Data!A:A,Data!F:F),4)+O494,8),_xlfn.CONCAT(MID(_xlpm.big,7,2),MID(_xlpm.big,5,2),MID(_xlpm.big,3,2),MID(_xlpm.big,1,2)))</f>
        <v>#NUM!</v>
      </c>
      <c r="J494" s="2" t="str">
        <f t="shared" si="28"/>
        <v>02000000</v>
      </c>
      <c r="K494" s="2" t="str">
        <f>_xlfn.LET(_xlpm.big,IF(H494,DEC2HEX(HEX2DEC(F494),8),DEC2HEX(N494-_xlfn.XLOOKUP(P494,Data!A:A,Data!F:F),8)),_xlfn.CONCAT(MID(_xlpm.big,7,2),MID(_xlpm.big,5,2),MID(_xlpm.big,3,2),MID(_xlpm.big,1,2)))</f>
        <v>FEFFFFFF</v>
      </c>
      <c r="L494" s="2">
        <f t="shared" si="29"/>
        <v>0</v>
      </c>
      <c r="M494" s="2">
        <f t="shared" si="30"/>
        <v>0</v>
      </c>
      <c r="N494" s="2">
        <f t="shared" si="31"/>
        <v>0</v>
      </c>
      <c r="O494" s="2" cm="1">
        <f t="array" ref="O494">_xlfn.IFS(M494&lt;Data!$F$3,0,M494&lt;Data!$F$4,1,TRUE,2)</f>
        <v>0</v>
      </c>
      <c r="P494" s="2" cm="1">
        <f t="array" ref="P494">_xlfn.IFS(H494,3,N494&lt;Data!$F$3,0,N494&lt;Data!$F$4,1,TRUE,2)</f>
        <v>0</v>
      </c>
    </row>
    <row r="495" spans="4:16">
      <c r="D495" s="3"/>
      <c r="E495" s="3"/>
      <c r="F495" s="3"/>
      <c r="G495" s="2" t="str" cm="1">
        <f t="array" ref="G495">_xlfn.CONCAT(IFERROR(I495:K495,""))</f>
        <v>02000000FEFFFFFF</v>
      </c>
      <c r="I495" s="2" t="e">
        <f>_xlfn.LET(_xlpm.big,DEC2HEX(_xlfn.BITLSHIFT(M495-_xlfn.XLOOKUP(O495,Data!A:A,Data!F:F),4)+O495,8),_xlfn.CONCAT(MID(_xlpm.big,7,2),MID(_xlpm.big,5,2),MID(_xlpm.big,3,2),MID(_xlpm.big,1,2)))</f>
        <v>#NUM!</v>
      </c>
      <c r="J495" s="2" t="str">
        <f t="shared" si="28"/>
        <v>02000000</v>
      </c>
      <c r="K495" s="2" t="str">
        <f>_xlfn.LET(_xlpm.big,IF(H495,DEC2HEX(HEX2DEC(F495),8),DEC2HEX(N495-_xlfn.XLOOKUP(P495,Data!A:A,Data!F:F),8)),_xlfn.CONCAT(MID(_xlpm.big,7,2),MID(_xlpm.big,5,2),MID(_xlpm.big,3,2),MID(_xlpm.big,1,2)))</f>
        <v>FEFFFFFF</v>
      </c>
      <c r="L495" s="2">
        <f t="shared" si="29"/>
        <v>0</v>
      </c>
      <c r="M495" s="2">
        <f t="shared" si="30"/>
        <v>0</v>
      </c>
      <c r="N495" s="2">
        <f t="shared" si="31"/>
        <v>0</v>
      </c>
      <c r="O495" s="2" cm="1">
        <f t="array" ref="O495">_xlfn.IFS(M495&lt;Data!$F$3,0,M495&lt;Data!$F$4,1,TRUE,2)</f>
        <v>0</v>
      </c>
      <c r="P495" s="2" cm="1">
        <f t="array" ref="P495">_xlfn.IFS(H495,3,N495&lt;Data!$F$3,0,N495&lt;Data!$F$4,1,TRUE,2)</f>
        <v>0</v>
      </c>
    </row>
    <row r="496" spans="4:16">
      <c r="D496" s="3"/>
      <c r="E496" s="3"/>
      <c r="F496" s="3"/>
      <c r="G496" s="2" t="str" cm="1">
        <f t="array" ref="G496">_xlfn.CONCAT(IFERROR(I496:K496,""))</f>
        <v>02000000FEFFFFFF</v>
      </c>
      <c r="I496" s="2" t="e">
        <f>_xlfn.LET(_xlpm.big,DEC2HEX(_xlfn.BITLSHIFT(M496-_xlfn.XLOOKUP(O496,Data!A:A,Data!F:F),4)+O496,8),_xlfn.CONCAT(MID(_xlpm.big,7,2),MID(_xlpm.big,5,2),MID(_xlpm.big,3,2),MID(_xlpm.big,1,2)))</f>
        <v>#NUM!</v>
      </c>
      <c r="J496" s="2" t="str">
        <f t="shared" si="28"/>
        <v>02000000</v>
      </c>
      <c r="K496" s="2" t="str">
        <f>_xlfn.LET(_xlpm.big,IF(H496,DEC2HEX(HEX2DEC(F496),8),DEC2HEX(N496-_xlfn.XLOOKUP(P496,Data!A:A,Data!F:F),8)),_xlfn.CONCAT(MID(_xlpm.big,7,2),MID(_xlpm.big,5,2),MID(_xlpm.big,3,2),MID(_xlpm.big,1,2)))</f>
        <v>FEFFFFFF</v>
      </c>
      <c r="L496" s="2">
        <f t="shared" si="29"/>
        <v>0</v>
      </c>
      <c r="M496" s="2">
        <f t="shared" si="30"/>
        <v>0</v>
      </c>
      <c r="N496" s="2">
        <f t="shared" si="31"/>
        <v>0</v>
      </c>
      <c r="O496" s="2" cm="1">
        <f t="array" ref="O496">_xlfn.IFS(M496&lt;Data!$F$3,0,M496&lt;Data!$F$4,1,TRUE,2)</f>
        <v>0</v>
      </c>
      <c r="P496" s="2" cm="1">
        <f t="array" ref="P496">_xlfn.IFS(H496,3,N496&lt;Data!$F$3,0,N496&lt;Data!$F$4,1,TRUE,2)</f>
        <v>0</v>
      </c>
    </row>
    <row r="497" spans="4:16">
      <c r="D497" s="3"/>
      <c r="E497" s="3"/>
      <c r="F497" s="3"/>
      <c r="G497" s="2" t="str" cm="1">
        <f t="array" ref="G497">_xlfn.CONCAT(IFERROR(I497:K497,""))</f>
        <v>02000000FEFFFFFF</v>
      </c>
      <c r="I497" s="2" t="e">
        <f>_xlfn.LET(_xlpm.big,DEC2HEX(_xlfn.BITLSHIFT(M497-_xlfn.XLOOKUP(O497,Data!A:A,Data!F:F),4)+O497,8),_xlfn.CONCAT(MID(_xlpm.big,7,2),MID(_xlpm.big,5,2),MID(_xlpm.big,3,2),MID(_xlpm.big,1,2)))</f>
        <v>#NUM!</v>
      </c>
      <c r="J497" s="2" t="str">
        <f t="shared" si="28"/>
        <v>02000000</v>
      </c>
      <c r="K497" s="2" t="str">
        <f>_xlfn.LET(_xlpm.big,IF(H497,DEC2HEX(HEX2DEC(F497),8),DEC2HEX(N497-_xlfn.XLOOKUP(P497,Data!A:A,Data!F:F),8)),_xlfn.CONCAT(MID(_xlpm.big,7,2),MID(_xlpm.big,5,2),MID(_xlpm.big,3,2),MID(_xlpm.big,1,2)))</f>
        <v>FEFFFFFF</v>
      </c>
      <c r="L497" s="2">
        <f t="shared" si="29"/>
        <v>0</v>
      </c>
      <c r="M497" s="2">
        <f t="shared" si="30"/>
        <v>0</v>
      </c>
      <c r="N497" s="2">
        <f t="shared" si="31"/>
        <v>0</v>
      </c>
      <c r="O497" s="2" cm="1">
        <f t="array" ref="O497">_xlfn.IFS(M497&lt;Data!$F$3,0,M497&lt;Data!$F$4,1,TRUE,2)</f>
        <v>0</v>
      </c>
      <c r="P497" s="2" cm="1">
        <f t="array" ref="P497">_xlfn.IFS(H497,3,N497&lt;Data!$F$3,0,N497&lt;Data!$F$4,1,TRUE,2)</f>
        <v>0</v>
      </c>
    </row>
    <row r="498" spans="4:16">
      <c r="D498" s="3"/>
      <c r="E498" s="3"/>
      <c r="F498" s="3"/>
      <c r="G498" s="2" t="str" cm="1">
        <f t="array" ref="G498">_xlfn.CONCAT(IFERROR(I498:K498,""))</f>
        <v>02000000FEFFFFFF</v>
      </c>
      <c r="I498" s="2" t="e">
        <f>_xlfn.LET(_xlpm.big,DEC2HEX(_xlfn.BITLSHIFT(M498-_xlfn.XLOOKUP(O498,Data!A:A,Data!F:F),4)+O498,8),_xlfn.CONCAT(MID(_xlpm.big,7,2),MID(_xlpm.big,5,2),MID(_xlpm.big,3,2),MID(_xlpm.big,1,2)))</f>
        <v>#NUM!</v>
      </c>
      <c r="J498" s="2" t="str">
        <f t="shared" si="28"/>
        <v>02000000</v>
      </c>
      <c r="K498" s="2" t="str">
        <f>_xlfn.LET(_xlpm.big,IF(H498,DEC2HEX(HEX2DEC(F498),8),DEC2HEX(N498-_xlfn.XLOOKUP(P498,Data!A:A,Data!F:F),8)),_xlfn.CONCAT(MID(_xlpm.big,7,2),MID(_xlpm.big,5,2),MID(_xlpm.big,3,2),MID(_xlpm.big,1,2)))</f>
        <v>FEFFFFFF</v>
      </c>
      <c r="L498" s="2">
        <f t="shared" si="29"/>
        <v>0</v>
      </c>
      <c r="M498" s="2">
        <f t="shared" si="30"/>
        <v>0</v>
      </c>
      <c r="N498" s="2">
        <f t="shared" si="31"/>
        <v>0</v>
      </c>
      <c r="O498" s="2" cm="1">
        <f t="array" ref="O498">_xlfn.IFS(M498&lt;Data!$F$3,0,M498&lt;Data!$F$4,1,TRUE,2)</f>
        <v>0</v>
      </c>
      <c r="P498" s="2" cm="1">
        <f t="array" ref="P498">_xlfn.IFS(H498,3,N498&lt;Data!$F$3,0,N498&lt;Data!$F$4,1,TRUE,2)</f>
        <v>0</v>
      </c>
    </row>
    <row r="499" spans="4:16">
      <c r="D499" s="3"/>
      <c r="E499" s="3"/>
      <c r="F499" s="3"/>
      <c r="G499" s="2" t="str" cm="1">
        <f t="array" ref="G499">_xlfn.CONCAT(IFERROR(I499:K499,""))</f>
        <v>02000000FEFFFFFF</v>
      </c>
      <c r="I499" s="2" t="e">
        <f>_xlfn.LET(_xlpm.big,DEC2HEX(_xlfn.BITLSHIFT(M499-_xlfn.XLOOKUP(O499,Data!A:A,Data!F:F),4)+O499,8),_xlfn.CONCAT(MID(_xlpm.big,7,2),MID(_xlpm.big,5,2),MID(_xlpm.big,3,2),MID(_xlpm.big,1,2)))</f>
        <v>#NUM!</v>
      </c>
      <c r="J499" s="2" t="str">
        <f t="shared" si="28"/>
        <v>02000000</v>
      </c>
      <c r="K499" s="2" t="str">
        <f>_xlfn.LET(_xlpm.big,IF(H499,DEC2HEX(HEX2DEC(F499),8),DEC2HEX(N499-_xlfn.XLOOKUP(P499,Data!A:A,Data!F:F),8)),_xlfn.CONCAT(MID(_xlpm.big,7,2),MID(_xlpm.big,5,2),MID(_xlpm.big,3,2),MID(_xlpm.big,1,2)))</f>
        <v>FEFFFFFF</v>
      </c>
      <c r="L499" s="2">
        <f t="shared" si="29"/>
        <v>0</v>
      </c>
      <c r="M499" s="2">
        <f t="shared" si="30"/>
        <v>0</v>
      </c>
      <c r="N499" s="2">
        <f t="shared" si="31"/>
        <v>0</v>
      </c>
      <c r="O499" s="2" cm="1">
        <f t="array" ref="O499">_xlfn.IFS(M499&lt;Data!$F$3,0,M499&lt;Data!$F$4,1,TRUE,2)</f>
        <v>0</v>
      </c>
      <c r="P499" s="2" cm="1">
        <f t="array" ref="P499">_xlfn.IFS(H499,3,N499&lt;Data!$F$3,0,N499&lt;Data!$F$4,1,TRUE,2)</f>
        <v>0</v>
      </c>
    </row>
    <row r="500" spans="4:16">
      <c r="D500" s="3"/>
      <c r="E500" s="3"/>
      <c r="F500" s="3"/>
      <c r="G500" s="2" t="str" cm="1">
        <f t="array" ref="G500">_xlfn.CONCAT(IFERROR(I500:K500,""))</f>
        <v>02000000FEFFFFFF</v>
      </c>
      <c r="I500" s="2" t="e">
        <f>_xlfn.LET(_xlpm.big,DEC2HEX(_xlfn.BITLSHIFT(M500-_xlfn.XLOOKUP(O500,Data!A:A,Data!F:F),4)+O500,8),_xlfn.CONCAT(MID(_xlpm.big,7,2),MID(_xlpm.big,5,2),MID(_xlpm.big,3,2),MID(_xlpm.big,1,2)))</f>
        <v>#NUM!</v>
      </c>
      <c r="J500" s="2" t="str">
        <f t="shared" si="28"/>
        <v>02000000</v>
      </c>
      <c r="K500" s="2" t="str">
        <f>_xlfn.LET(_xlpm.big,IF(H500,DEC2HEX(HEX2DEC(F500),8),DEC2HEX(N500-_xlfn.XLOOKUP(P500,Data!A:A,Data!F:F),8)),_xlfn.CONCAT(MID(_xlpm.big,7,2),MID(_xlpm.big,5,2),MID(_xlpm.big,3,2),MID(_xlpm.big,1,2)))</f>
        <v>FEFFFFFF</v>
      </c>
      <c r="L500" s="2">
        <f t="shared" si="29"/>
        <v>0</v>
      </c>
      <c r="M500" s="2">
        <f t="shared" si="30"/>
        <v>0</v>
      </c>
      <c r="N500" s="2">
        <f t="shared" si="31"/>
        <v>0</v>
      </c>
      <c r="O500" s="2" cm="1">
        <f t="array" ref="O500">_xlfn.IFS(M500&lt;Data!$F$3,0,M500&lt;Data!$F$4,1,TRUE,2)</f>
        <v>0</v>
      </c>
      <c r="P500" s="2" cm="1">
        <f t="array" ref="P500">_xlfn.IFS(H500,3,N500&lt;Data!$F$3,0,N500&lt;Data!$F$4,1,TRUE,2)</f>
        <v>0</v>
      </c>
    </row>
    <row r="501" spans="4:16">
      <c r="D501" s="3"/>
      <c r="E501" s="3"/>
      <c r="F501" s="3"/>
      <c r="G501" s="2" t="str" cm="1">
        <f t="array" ref="G501">_xlfn.CONCAT(IFERROR(I501:K501,""))</f>
        <v>02000000FEFFFFFF</v>
      </c>
      <c r="I501" s="2" t="e">
        <f>_xlfn.LET(_xlpm.big,DEC2HEX(_xlfn.BITLSHIFT(M501-_xlfn.XLOOKUP(O501,Data!A:A,Data!F:F),4)+O501,8),_xlfn.CONCAT(MID(_xlpm.big,7,2),MID(_xlpm.big,5,2),MID(_xlpm.big,3,2),MID(_xlpm.big,1,2)))</f>
        <v>#NUM!</v>
      </c>
      <c r="J501" s="2" t="str">
        <f t="shared" si="28"/>
        <v>02000000</v>
      </c>
      <c r="K501" s="2" t="str">
        <f>_xlfn.LET(_xlpm.big,IF(H501,DEC2HEX(HEX2DEC(F501),8),DEC2HEX(N501-_xlfn.XLOOKUP(P501,Data!A:A,Data!F:F),8)),_xlfn.CONCAT(MID(_xlpm.big,7,2),MID(_xlpm.big,5,2),MID(_xlpm.big,3,2),MID(_xlpm.big,1,2)))</f>
        <v>FEFFFFFF</v>
      </c>
      <c r="L501" s="2">
        <f t="shared" si="29"/>
        <v>0</v>
      </c>
      <c r="M501" s="2">
        <f t="shared" si="30"/>
        <v>0</v>
      </c>
      <c r="N501" s="2">
        <f t="shared" si="31"/>
        <v>0</v>
      </c>
      <c r="O501" s="2" cm="1">
        <f t="array" ref="O501">_xlfn.IFS(M501&lt;Data!$F$3,0,M501&lt;Data!$F$4,1,TRUE,2)</f>
        <v>0</v>
      </c>
      <c r="P501" s="2" cm="1">
        <f t="array" ref="P501">_xlfn.IFS(H501,3,N501&lt;Data!$F$3,0,N501&lt;Data!$F$4,1,TRUE,2)</f>
        <v>0</v>
      </c>
    </row>
    <row r="502" spans="4:16">
      <c r="D502" s="3"/>
      <c r="E502" s="3"/>
      <c r="F502" s="3"/>
      <c r="G502" s="2" t="str" cm="1">
        <f t="array" ref="G502">_xlfn.CONCAT(IFERROR(I502:K502,""))</f>
        <v>02000000FEFFFFFF</v>
      </c>
      <c r="I502" s="2" t="e">
        <f>_xlfn.LET(_xlpm.big,DEC2HEX(_xlfn.BITLSHIFT(M502-_xlfn.XLOOKUP(O502,Data!A:A,Data!F:F),4)+O502,8),_xlfn.CONCAT(MID(_xlpm.big,7,2),MID(_xlpm.big,5,2),MID(_xlpm.big,3,2),MID(_xlpm.big,1,2)))</f>
        <v>#NUM!</v>
      </c>
      <c r="J502" s="2" t="str">
        <f t="shared" si="28"/>
        <v>02000000</v>
      </c>
      <c r="K502" s="2" t="str">
        <f>_xlfn.LET(_xlpm.big,IF(H502,DEC2HEX(HEX2DEC(F502),8),DEC2HEX(N502-_xlfn.XLOOKUP(P502,Data!A:A,Data!F:F),8)),_xlfn.CONCAT(MID(_xlpm.big,7,2),MID(_xlpm.big,5,2),MID(_xlpm.big,3,2),MID(_xlpm.big,1,2)))</f>
        <v>FEFFFFFF</v>
      </c>
      <c r="L502" s="2">
        <f t="shared" si="29"/>
        <v>0</v>
      </c>
      <c r="M502" s="2">
        <f t="shared" si="30"/>
        <v>0</v>
      </c>
      <c r="N502" s="2">
        <f t="shared" si="31"/>
        <v>0</v>
      </c>
      <c r="O502" s="2" cm="1">
        <f t="array" ref="O502">_xlfn.IFS(M502&lt;Data!$F$3,0,M502&lt;Data!$F$4,1,TRUE,2)</f>
        <v>0</v>
      </c>
      <c r="P502" s="2" cm="1">
        <f t="array" ref="P502">_xlfn.IFS(H502,3,N502&lt;Data!$F$3,0,N502&lt;Data!$F$4,1,TRUE,2)</f>
        <v>0</v>
      </c>
    </row>
    <row r="503" spans="4:16">
      <c r="D503" s="3"/>
      <c r="E503" s="3"/>
      <c r="F503" s="3"/>
      <c r="G503" s="2" t="str" cm="1">
        <f t="array" ref="G503">_xlfn.CONCAT(IFERROR(I503:K503,""))</f>
        <v>02000000FEFFFFFF</v>
      </c>
      <c r="I503" s="2" t="e">
        <f>_xlfn.LET(_xlpm.big,DEC2HEX(_xlfn.BITLSHIFT(M503-_xlfn.XLOOKUP(O503,Data!A:A,Data!F:F),4)+O503,8),_xlfn.CONCAT(MID(_xlpm.big,7,2),MID(_xlpm.big,5,2),MID(_xlpm.big,3,2),MID(_xlpm.big,1,2)))</f>
        <v>#NUM!</v>
      </c>
      <c r="J503" s="2" t="str">
        <f t="shared" si="28"/>
        <v>02000000</v>
      </c>
      <c r="K503" s="2" t="str">
        <f>_xlfn.LET(_xlpm.big,IF(H503,DEC2HEX(HEX2DEC(F503),8),DEC2HEX(N503-_xlfn.XLOOKUP(P503,Data!A:A,Data!F:F),8)),_xlfn.CONCAT(MID(_xlpm.big,7,2),MID(_xlpm.big,5,2),MID(_xlpm.big,3,2),MID(_xlpm.big,1,2)))</f>
        <v>FEFFFFFF</v>
      </c>
      <c r="L503" s="2">
        <f t="shared" si="29"/>
        <v>0</v>
      </c>
      <c r="M503" s="2">
        <f t="shared" si="30"/>
        <v>0</v>
      </c>
      <c r="N503" s="2">
        <f t="shared" si="31"/>
        <v>0</v>
      </c>
      <c r="O503" s="2" cm="1">
        <f t="array" ref="O503">_xlfn.IFS(M503&lt;Data!$F$3,0,M503&lt;Data!$F$4,1,TRUE,2)</f>
        <v>0</v>
      </c>
      <c r="P503" s="2" cm="1">
        <f t="array" ref="P503">_xlfn.IFS(H503,3,N503&lt;Data!$F$3,0,N503&lt;Data!$F$4,1,TRUE,2)</f>
        <v>0</v>
      </c>
    </row>
    <row r="504" spans="4:16">
      <c r="D504" s="3"/>
      <c r="E504" s="3"/>
      <c r="F504" s="3"/>
      <c r="G504" s="2" t="str" cm="1">
        <f t="array" ref="G504">_xlfn.CONCAT(IFERROR(I504:K504,""))</f>
        <v>02000000FEFFFFFF</v>
      </c>
      <c r="I504" s="2" t="e">
        <f>_xlfn.LET(_xlpm.big,DEC2HEX(_xlfn.BITLSHIFT(M504-_xlfn.XLOOKUP(O504,Data!A:A,Data!F:F),4)+O504,8),_xlfn.CONCAT(MID(_xlpm.big,7,2),MID(_xlpm.big,5,2),MID(_xlpm.big,3,2),MID(_xlpm.big,1,2)))</f>
        <v>#NUM!</v>
      </c>
      <c r="J504" s="2" t="str">
        <f t="shared" si="28"/>
        <v>02000000</v>
      </c>
      <c r="K504" s="2" t="str">
        <f>_xlfn.LET(_xlpm.big,IF(H504,DEC2HEX(HEX2DEC(F504),8),DEC2HEX(N504-_xlfn.XLOOKUP(P504,Data!A:A,Data!F:F),8)),_xlfn.CONCAT(MID(_xlpm.big,7,2),MID(_xlpm.big,5,2),MID(_xlpm.big,3,2),MID(_xlpm.big,1,2)))</f>
        <v>FEFFFFFF</v>
      </c>
      <c r="L504" s="2">
        <f t="shared" si="29"/>
        <v>0</v>
      </c>
      <c r="M504" s="2">
        <f t="shared" si="30"/>
        <v>0</v>
      </c>
      <c r="N504" s="2">
        <f t="shared" si="31"/>
        <v>0</v>
      </c>
      <c r="O504" s="2" cm="1">
        <f t="array" ref="O504">_xlfn.IFS(M504&lt;Data!$F$3,0,M504&lt;Data!$F$4,1,TRUE,2)</f>
        <v>0</v>
      </c>
      <c r="P504" s="2" cm="1">
        <f t="array" ref="P504">_xlfn.IFS(H504,3,N504&lt;Data!$F$3,0,N504&lt;Data!$F$4,1,TRUE,2)</f>
        <v>0</v>
      </c>
    </row>
    <row r="505" spans="4:16">
      <c r="D505" s="3"/>
      <c r="E505" s="3"/>
      <c r="F505" s="3"/>
      <c r="G505" s="2" t="str" cm="1">
        <f t="array" ref="G505">_xlfn.CONCAT(IFERROR(I505:K505,""))</f>
        <v>02000000FEFFFFFF</v>
      </c>
      <c r="I505" s="2" t="e">
        <f>_xlfn.LET(_xlpm.big,DEC2HEX(_xlfn.BITLSHIFT(M505-_xlfn.XLOOKUP(O505,Data!A:A,Data!F:F),4)+O505,8),_xlfn.CONCAT(MID(_xlpm.big,7,2),MID(_xlpm.big,5,2),MID(_xlpm.big,3,2),MID(_xlpm.big,1,2)))</f>
        <v>#NUM!</v>
      </c>
      <c r="J505" s="2" t="str">
        <f t="shared" si="28"/>
        <v>02000000</v>
      </c>
      <c r="K505" s="2" t="str">
        <f>_xlfn.LET(_xlpm.big,IF(H505,DEC2HEX(HEX2DEC(F505),8),DEC2HEX(N505-_xlfn.XLOOKUP(P505,Data!A:A,Data!F:F),8)),_xlfn.CONCAT(MID(_xlpm.big,7,2),MID(_xlpm.big,5,2),MID(_xlpm.big,3,2),MID(_xlpm.big,1,2)))</f>
        <v>FEFFFFFF</v>
      </c>
      <c r="L505" s="2">
        <f t="shared" si="29"/>
        <v>0</v>
      </c>
      <c r="M505" s="2">
        <f t="shared" si="30"/>
        <v>0</v>
      </c>
      <c r="N505" s="2">
        <f t="shared" si="31"/>
        <v>0</v>
      </c>
      <c r="O505" s="2" cm="1">
        <f t="array" ref="O505">_xlfn.IFS(M505&lt;Data!$F$3,0,M505&lt;Data!$F$4,1,TRUE,2)</f>
        <v>0</v>
      </c>
      <c r="P505" s="2" cm="1">
        <f t="array" ref="P505">_xlfn.IFS(H505,3,N505&lt;Data!$F$3,0,N505&lt;Data!$F$4,1,TRUE,2)</f>
        <v>0</v>
      </c>
    </row>
    <row r="506" spans="4:16">
      <c r="D506" s="3"/>
      <c r="E506" s="3"/>
      <c r="F506" s="3"/>
      <c r="G506" s="2" t="str" cm="1">
        <f t="array" ref="G506">_xlfn.CONCAT(IFERROR(I506:K506,""))</f>
        <v>02000000FEFFFFFF</v>
      </c>
      <c r="I506" s="2" t="e">
        <f>_xlfn.LET(_xlpm.big,DEC2HEX(_xlfn.BITLSHIFT(M506-_xlfn.XLOOKUP(O506,Data!A:A,Data!F:F),4)+O506,8),_xlfn.CONCAT(MID(_xlpm.big,7,2),MID(_xlpm.big,5,2),MID(_xlpm.big,3,2),MID(_xlpm.big,1,2)))</f>
        <v>#NUM!</v>
      </c>
      <c r="J506" s="2" t="str">
        <f t="shared" si="28"/>
        <v>02000000</v>
      </c>
      <c r="K506" s="2" t="str">
        <f>_xlfn.LET(_xlpm.big,IF(H506,DEC2HEX(HEX2DEC(F506),8),DEC2HEX(N506-_xlfn.XLOOKUP(P506,Data!A:A,Data!F:F),8)),_xlfn.CONCAT(MID(_xlpm.big,7,2),MID(_xlpm.big,5,2),MID(_xlpm.big,3,2),MID(_xlpm.big,1,2)))</f>
        <v>FEFFFFFF</v>
      </c>
      <c r="L506" s="2">
        <f t="shared" si="29"/>
        <v>0</v>
      </c>
      <c r="M506" s="2">
        <f t="shared" si="30"/>
        <v>0</v>
      </c>
      <c r="N506" s="2">
        <f t="shared" si="31"/>
        <v>0</v>
      </c>
      <c r="O506" s="2" cm="1">
        <f t="array" ref="O506">_xlfn.IFS(M506&lt;Data!$F$3,0,M506&lt;Data!$F$4,1,TRUE,2)</f>
        <v>0</v>
      </c>
      <c r="P506" s="2" cm="1">
        <f t="array" ref="P506">_xlfn.IFS(H506,3,N506&lt;Data!$F$3,0,N506&lt;Data!$F$4,1,TRUE,2)</f>
        <v>0</v>
      </c>
    </row>
    <row r="507" spans="4:16">
      <c r="D507" s="3"/>
      <c r="E507" s="3"/>
      <c r="F507" s="3"/>
      <c r="G507" s="2" t="str" cm="1">
        <f t="array" ref="G507">_xlfn.CONCAT(IFERROR(I507:K507,""))</f>
        <v>02000000FEFFFFFF</v>
      </c>
      <c r="I507" s="2" t="e">
        <f>_xlfn.LET(_xlpm.big,DEC2HEX(_xlfn.BITLSHIFT(M507-_xlfn.XLOOKUP(O507,Data!A:A,Data!F:F),4)+O507,8),_xlfn.CONCAT(MID(_xlpm.big,7,2),MID(_xlpm.big,5,2),MID(_xlpm.big,3,2),MID(_xlpm.big,1,2)))</f>
        <v>#NUM!</v>
      </c>
      <c r="J507" s="2" t="str">
        <f t="shared" si="28"/>
        <v>02000000</v>
      </c>
      <c r="K507" s="2" t="str">
        <f>_xlfn.LET(_xlpm.big,IF(H507,DEC2HEX(HEX2DEC(F507),8),DEC2HEX(N507-_xlfn.XLOOKUP(P507,Data!A:A,Data!F:F),8)),_xlfn.CONCAT(MID(_xlpm.big,7,2),MID(_xlpm.big,5,2),MID(_xlpm.big,3,2),MID(_xlpm.big,1,2)))</f>
        <v>FEFFFFFF</v>
      </c>
      <c r="L507" s="2">
        <f t="shared" si="29"/>
        <v>0</v>
      </c>
      <c r="M507" s="2">
        <f t="shared" si="30"/>
        <v>0</v>
      </c>
      <c r="N507" s="2">
        <f t="shared" si="31"/>
        <v>0</v>
      </c>
      <c r="O507" s="2" cm="1">
        <f t="array" ref="O507">_xlfn.IFS(M507&lt;Data!$F$3,0,M507&lt;Data!$F$4,1,TRUE,2)</f>
        <v>0</v>
      </c>
      <c r="P507" s="2" cm="1">
        <f t="array" ref="P507">_xlfn.IFS(H507,3,N507&lt;Data!$F$3,0,N507&lt;Data!$F$4,1,TRUE,2)</f>
        <v>0</v>
      </c>
    </row>
    <row r="508" spans="4:16">
      <c r="D508" s="3"/>
      <c r="E508" s="3"/>
      <c r="F508" s="3"/>
      <c r="G508" s="2" t="str" cm="1">
        <f t="array" ref="G508">_xlfn.CONCAT(IFERROR(I508:K508,""))</f>
        <v>02000000FEFFFFFF</v>
      </c>
      <c r="I508" s="2" t="e">
        <f>_xlfn.LET(_xlpm.big,DEC2HEX(_xlfn.BITLSHIFT(M508-_xlfn.XLOOKUP(O508,Data!A:A,Data!F:F),4)+O508,8),_xlfn.CONCAT(MID(_xlpm.big,7,2),MID(_xlpm.big,5,2),MID(_xlpm.big,3,2),MID(_xlpm.big,1,2)))</f>
        <v>#NUM!</v>
      </c>
      <c r="J508" s="2" t="str">
        <f t="shared" si="28"/>
        <v>02000000</v>
      </c>
      <c r="K508" s="2" t="str">
        <f>_xlfn.LET(_xlpm.big,IF(H508,DEC2HEX(HEX2DEC(F508),8),DEC2HEX(N508-_xlfn.XLOOKUP(P508,Data!A:A,Data!F:F),8)),_xlfn.CONCAT(MID(_xlpm.big,7,2),MID(_xlpm.big,5,2),MID(_xlpm.big,3,2),MID(_xlpm.big,1,2)))</f>
        <v>FEFFFFFF</v>
      </c>
      <c r="L508" s="2">
        <f t="shared" si="29"/>
        <v>0</v>
      </c>
      <c r="M508" s="2">
        <f t="shared" si="30"/>
        <v>0</v>
      </c>
      <c r="N508" s="2">
        <f t="shared" si="31"/>
        <v>0</v>
      </c>
      <c r="O508" s="2" cm="1">
        <f t="array" ref="O508">_xlfn.IFS(M508&lt;Data!$F$3,0,M508&lt;Data!$F$4,1,TRUE,2)</f>
        <v>0</v>
      </c>
      <c r="P508" s="2" cm="1">
        <f t="array" ref="P508">_xlfn.IFS(H508,3,N508&lt;Data!$F$3,0,N508&lt;Data!$F$4,1,TRUE,2)</f>
        <v>0</v>
      </c>
    </row>
    <row r="509" spans="4:16">
      <c r="D509" s="3"/>
      <c r="E509" s="3"/>
      <c r="F509" s="3"/>
      <c r="G509" s="2" t="str" cm="1">
        <f t="array" ref="G509">_xlfn.CONCAT(IFERROR(I509:K509,""))</f>
        <v>02000000FEFFFFFF</v>
      </c>
      <c r="I509" s="2" t="e">
        <f>_xlfn.LET(_xlpm.big,DEC2HEX(_xlfn.BITLSHIFT(M509-_xlfn.XLOOKUP(O509,Data!A:A,Data!F:F),4)+O509,8),_xlfn.CONCAT(MID(_xlpm.big,7,2),MID(_xlpm.big,5,2),MID(_xlpm.big,3,2),MID(_xlpm.big,1,2)))</f>
        <v>#NUM!</v>
      </c>
      <c r="J509" s="2" t="str">
        <f t="shared" si="28"/>
        <v>02000000</v>
      </c>
      <c r="K509" s="2" t="str">
        <f>_xlfn.LET(_xlpm.big,IF(H509,DEC2HEX(HEX2DEC(F509),8),DEC2HEX(N509-_xlfn.XLOOKUP(P509,Data!A:A,Data!F:F),8)),_xlfn.CONCAT(MID(_xlpm.big,7,2),MID(_xlpm.big,5,2),MID(_xlpm.big,3,2),MID(_xlpm.big,1,2)))</f>
        <v>FEFFFFFF</v>
      </c>
      <c r="L509" s="2">
        <f t="shared" si="29"/>
        <v>0</v>
      </c>
      <c r="M509" s="2">
        <f t="shared" si="30"/>
        <v>0</v>
      </c>
      <c r="N509" s="2">
        <f t="shared" si="31"/>
        <v>0</v>
      </c>
      <c r="O509" s="2" cm="1">
        <f t="array" ref="O509">_xlfn.IFS(M509&lt;Data!$F$3,0,M509&lt;Data!$F$4,1,TRUE,2)</f>
        <v>0</v>
      </c>
      <c r="P509" s="2" cm="1">
        <f t="array" ref="P509">_xlfn.IFS(H509,3,N509&lt;Data!$F$3,0,N509&lt;Data!$F$4,1,TRUE,2)</f>
        <v>0</v>
      </c>
    </row>
    <row r="510" spans="4:16">
      <c r="D510" s="3"/>
      <c r="E510" s="3"/>
      <c r="F510" s="3"/>
      <c r="G510" s="2" t="str" cm="1">
        <f t="array" ref="G510">_xlfn.CONCAT(IFERROR(I510:K510,""))</f>
        <v>02000000FEFFFFFF</v>
      </c>
      <c r="I510" s="2" t="e">
        <f>_xlfn.LET(_xlpm.big,DEC2HEX(_xlfn.BITLSHIFT(M510-_xlfn.XLOOKUP(O510,Data!A:A,Data!F:F),4)+O510,8),_xlfn.CONCAT(MID(_xlpm.big,7,2),MID(_xlpm.big,5,2),MID(_xlpm.big,3,2),MID(_xlpm.big,1,2)))</f>
        <v>#NUM!</v>
      </c>
      <c r="J510" s="2" t="str">
        <f t="shared" si="28"/>
        <v>02000000</v>
      </c>
      <c r="K510" s="2" t="str">
        <f>_xlfn.LET(_xlpm.big,IF(H510,DEC2HEX(HEX2DEC(F510),8),DEC2HEX(N510-_xlfn.XLOOKUP(P510,Data!A:A,Data!F:F),8)),_xlfn.CONCAT(MID(_xlpm.big,7,2),MID(_xlpm.big,5,2),MID(_xlpm.big,3,2),MID(_xlpm.big,1,2)))</f>
        <v>FEFFFFFF</v>
      </c>
      <c r="L510" s="2">
        <f t="shared" si="29"/>
        <v>0</v>
      </c>
      <c r="M510" s="2">
        <f t="shared" si="30"/>
        <v>0</v>
      </c>
      <c r="N510" s="2">
        <f t="shared" si="31"/>
        <v>0</v>
      </c>
      <c r="O510" s="2" cm="1">
        <f t="array" ref="O510">_xlfn.IFS(M510&lt;Data!$F$3,0,M510&lt;Data!$F$4,1,TRUE,2)</f>
        <v>0</v>
      </c>
      <c r="P510" s="2" cm="1">
        <f t="array" ref="P510">_xlfn.IFS(H510,3,N510&lt;Data!$F$3,0,N510&lt;Data!$F$4,1,TRUE,2)</f>
        <v>0</v>
      </c>
    </row>
    <row r="511" spans="4:16">
      <c r="D511" s="3"/>
      <c r="E511" s="3"/>
      <c r="F511" s="3"/>
      <c r="G511" s="2" t="str" cm="1">
        <f t="array" ref="G511">_xlfn.CONCAT(IFERROR(I511:K511,""))</f>
        <v>02000000FEFFFFFF</v>
      </c>
      <c r="I511" s="2" t="e">
        <f>_xlfn.LET(_xlpm.big,DEC2HEX(_xlfn.BITLSHIFT(M511-_xlfn.XLOOKUP(O511,Data!A:A,Data!F:F),4)+O511,8),_xlfn.CONCAT(MID(_xlpm.big,7,2),MID(_xlpm.big,5,2),MID(_xlpm.big,3,2),MID(_xlpm.big,1,2)))</f>
        <v>#NUM!</v>
      </c>
      <c r="J511" s="2" t="str">
        <f t="shared" si="28"/>
        <v>02000000</v>
      </c>
      <c r="K511" s="2" t="str">
        <f>_xlfn.LET(_xlpm.big,IF(H511,DEC2HEX(HEX2DEC(F511),8),DEC2HEX(N511-_xlfn.XLOOKUP(P511,Data!A:A,Data!F:F),8)),_xlfn.CONCAT(MID(_xlpm.big,7,2),MID(_xlpm.big,5,2),MID(_xlpm.big,3,2),MID(_xlpm.big,1,2)))</f>
        <v>FEFFFFFF</v>
      </c>
      <c r="L511" s="2">
        <f t="shared" si="29"/>
        <v>0</v>
      </c>
      <c r="M511" s="2">
        <f t="shared" si="30"/>
        <v>0</v>
      </c>
      <c r="N511" s="2">
        <f t="shared" si="31"/>
        <v>0</v>
      </c>
      <c r="O511" s="2" cm="1">
        <f t="array" ref="O511">_xlfn.IFS(M511&lt;Data!$F$3,0,M511&lt;Data!$F$4,1,TRUE,2)</f>
        <v>0</v>
      </c>
      <c r="P511" s="2" cm="1">
        <f t="array" ref="P511">_xlfn.IFS(H511,3,N511&lt;Data!$F$3,0,N511&lt;Data!$F$4,1,TRUE,2)</f>
        <v>0</v>
      </c>
    </row>
    <row r="512" spans="4:16">
      <c r="D512" s="3"/>
      <c r="E512" s="3"/>
      <c r="F512" s="3"/>
      <c r="G512" s="2" t="str" cm="1">
        <f t="array" ref="G512">_xlfn.CONCAT(IFERROR(I512:K512,""))</f>
        <v>02000000FEFFFFFF</v>
      </c>
      <c r="I512" s="2" t="e">
        <f>_xlfn.LET(_xlpm.big,DEC2HEX(_xlfn.BITLSHIFT(M512-_xlfn.XLOOKUP(O512,Data!A:A,Data!F:F),4)+O512,8),_xlfn.CONCAT(MID(_xlpm.big,7,2),MID(_xlpm.big,5,2),MID(_xlpm.big,3,2),MID(_xlpm.big,1,2)))</f>
        <v>#NUM!</v>
      </c>
      <c r="J512" s="2" t="str">
        <f t="shared" si="28"/>
        <v>02000000</v>
      </c>
      <c r="K512" s="2" t="str">
        <f>_xlfn.LET(_xlpm.big,IF(H512,DEC2HEX(HEX2DEC(F512),8),DEC2HEX(N512-_xlfn.XLOOKUP(P512,Data!A:A,Data!F:F),8)),_xlfn.CONCAT(MID(_xlpm.big,7,2),MID(_xlpm.big,5,2),MID(_xlpm.big,3,2),MID(_xlpm.big,1,2)))</f>
        <v>FEFFFFFF</v>
      </c>
      <c r="L512" s="2">
        <f t="shared" si="29"/>
        <v>0</v>
      </c>
      <c r="M512" s="2">
        <f t="shared" si="30"/>
        <v>0</v>
      </c>
      <c r="N512" s="2">
        <f t="shared" si="31"/>
        <v>0</v>
      </c>
      <c r="O512" s="2" cm="1">
        <f t="array" ref="O512">_xlfn.IFS(M512&lt;Data!$F$3,0,M512&lt;Data!$F$4,1,TRUE,2)</f>
        <v>0</v>
      </c>
      <c r="P512" s="2" cm="1">
        <f t="array" ref="P512">_xlfn.IFS(H512,3,N512&lt;Data!$F$3,0,N512&lt;Data!$F$4,1,TRUE,2)</f>
        <v>0</v>
      </c>
    </row>
    <row r="513" spans="4:16">
      <c r="D513" s="3"/>
      <c r="E513" s="3"/>
      <c r="F513" s="3"/>
      <c r="G513" s="2" t="str" cm="1">
        <f t="array" ref="G513">_xlfn.CONCAT(IFERROR(I513:K513,""))</f>
        <v>02000000FEFFFFFF</v>
      </c>
      <c r="I513" s="2" t="e">
        <f>_xlfn.LET(_xlpm.big,DEC2HEX(_xlfn.BITLSHIFT(M513-_xlfn.XLOOKUP(O513,Data!A:A,Data!F:F),4)+O513,8),_xlfn.CONCAT(MID(_xlpm.big,7,2),MID(_xlpm.big,5,2),MID(_xlpm.big,3,2),MID(_xlpm.big,1,2)))</f>
        <v>#NUM!</v>
      </c>
      <c r="J513" s="2" t="str">
        <f t="shared" si="28"/>
        <v>02000000</v>
      </c>
      <c r="K513" s="2" t="str">
        <f>_xlfn.LET(_xlpm.big,IF(H513,DEC2HEX(HEX2DEC(F513),8),DEC2HEX(N513-_xlfn.XLOOKUP(P513,Data!A:A,Data!F:F),8)),_xlfn.CONCAT(MID(_xlpm.big,7,2),MID(_xlpm.big,5,2),MID(_xlpm.big,3,2),MID(_xlpm.big,1,2)))</f>
        <v>FEFFFFFF</v>
      </c>
      <c r="L513" s="2">
        <f t="shared" si="29"/>
        <v>0</v>
      </c>
      <c r="M513" s="2">
        <f t="shared" si="30"/>
        <v>0</v>
      </c>
      <c r="N513" s="2">
        <f t="shared" si="31"/>
        <v>0</v>
      </c>
      <c r="O513" s="2" cm="1">
        <f t="array" ref="O513">_xlfn.IFS(M513&lt;Data!$F$3,0,M513&lt;Data!$F$4,1,TRUE,2)</f>
        <v>0</v>
      </c>
      <c r="P513" s="2" cm="1">
        <f t="array" ref="P513">_xlfn.IFS(H513,3,N513&lt;Data!$F$3,0,N513&lt;Data!$F$4,1,TRUE,2)</f>
        <v>0</v>
      </c>
    </row>
    <row r="514" spans="4:16">
      <c r="D514" s="3"/>
      <c r="E514" s="3"/>
      <c r="F514" s="3"/>
      <c r="G514" s="2" t="str" cm="1">
        <f t="array" ref="G514">_xlfn.CONCAT(IFERROR(I514:K514,""))</f>
        <v>02000000FEFFFFFF</v>
      </c>
      <c r="I514" s="2" t="e">
        <f>_xlfn.LET(_xlpm.big,DEC2HEX(_xlfn.BITLSHIFT(M514-_xlfn.XLOOKUP(O514,Data!A:A,Data!F:F),4)+O514,8),_xlfn.CONCAT(MID(_xlpm.big,7,2),MID(_xlpm.big,5,2),MID(_xlpm.big,3,2),MID(_xlpm.big,1,2)))</f>
        <v>#NUM!</v>
      </c>
      <c r="J514" s="2" t="str">
        <f t="shared" ref="J514:J577" si="32">_xlfn.CONCAT("02",DEC2HEX(P514,2),"0000")</f>
        <v>02000000</v>
      </c>
      <c r="K514" s="2" t="str">
        <f>_xlfn.LET(_xlpm.big,IF(H514,DEC2HEX(HEX2DEC(F514),8),DEC2HEX(N514-_xlfn.XLOOKUP(P514,Data!A:A,Data!F:F),8)),_xlfn.CONCAT(MID(_xlpm.big,7,2),MID(_xlpm.big,5,2),MID(_xlpm.big,3,2),MID(_xlpm.big,1,2)))</f>
        <v>FEFFFFFF</v>
      </c>
      <c r="L514" s="2">
        <f t="shared" ref="L514:L577" si="33">HEX2DEC(D514)</f>
        <v>0</v>
      </c>
      <c r="M514" s="2">
        <f t="shared" ref="M514:M577" si="34">HEX2DEC(E514)</f>
        <v>0</v>
      </c>
      <c r="N514" s="2">
        <f t="shared" ref="N514:N577" si="35">HEX2DEC(F514)</f>
        <v>0</v>
      </c>
      <c r="O514" s="2" cm="1">
        <f t="array" ref="O514">_xlfn.IFS(M514&lt;Data!$F$3,0,M514&lt;Data!$F$4,1,TRUE,2)</f>
        <v>0</v>
      </c>
      <c r="P514" s="2" cm="1">
        <f t="array" ref="P514">_xlfn.IFS(H514,3,N514&lt;Data!$F$3,0,N514&lt;Data!$F$4,1,TRUE,2)</f>
        <v>0</v>
      </c>
    </row>
    <row r="515" spans="4:16">
      <c r="D515" s="3"/>
      <c r="E515" s="3"/>
      <c r="F515" s="3"/>
      <c r="G515" s="2" t="str" cm="1">
        <f t="array" ref="G515">_xlfn.CONCAT(IFERROR(I515:K515,""))</f>
        <v>02000000FEFFFFFF</v>
      </c>
      <c r="I515" s="2" t="e">
        <f>_xlfn.LET(_xlpm.big,DEC2HEX(_xlfn.BITLSHIFT(M515-_xlfn.XLOOKUP(O515,Data!A:A,Data!F:F),4)+O515,8),_xlfn.CONCAT(MID(_xlpm.big,7,2),MID(_xlpm.big,5,2),MID(_xlpm.big,3,2),MID(_xlpm.big,1,2)))</f>
        <v>#NUM!</v>
      </c>
      <c r="J515" s="2" t="str">
        <f t="shared" si="32"/>
        <v>02000000</v>
      </c>
      <c r="K515" s="2" t="str">
        <f>_xlfn.LET(_xlpm.big,IF(H515,DEC2HEX(HEX2DEC(F515),8),DEC2HEX(N515-_xlfn.XLOOKUP(P515,Data!A:A,Data!F:F),8)),_xlfn.CONCAT(MID(_xlpm.big,7,2),MID(_xlpm.big,5,2),MID(_xlpm.big,3,2),MID(_xlpm.big,1,2)))</f>
        <v>FEFFFFFF</v>
      </c>
      <c r="L515" s="2">
        <f t="shared" si="33"/>
        <v>0</v>
      </c>
      <c r="M515" s="2">
        <f t="shared" si="34"/>
        <v>0</v>
      </c>
      <c r="N515" s="2">
        <f t="shared" si="35"/>
        <v>0</v>
      </c>
      <c r="O515" s="2" cm="1">
        <f t="array" ref="O515">_xlfn.IFS(M515&lt;Data!$F$3,0,M515&lt;Data!$F$4,1,TRUE,2)</f>
        <v>0</v>
      </c>
      <c r="P515" s="2" cm="1">
        <f t="array" ref="P515">_xlfn.IFS(H515,3,N515&lt;Data!$F$3,0,N515&lt;Data!$F$4,1,TRUE,2)</f>
        <v>0</v>
      </c>
    </row>
    <row r="516" spans="4:16">
      <c r="D516" s="3"/>
      <c r="E516" s="3"/>
      <c r="F516" s="3"/>
      <c r="G516" s="2" t="str" cm="1">
        <f t="array" ref="G516">_xlfn.CONCAT(IFERROR(I516:K516,""))</f>
        <v>02000000FEFFFFFF</v>
      </c>
      <c r="I516" s="2" t="e">
        <f>_xlfn.LET(_xlpm.big,DEC2HEX(_xlfn.BITLSHIFT(M516-_xlfn.XLOOKUP(O516,Data!A:A,Data!F:F),4)+O516,8),_xlfn.CONCAT(MID(_xlpm.big,7,2),MID(_xlpm.big,5,2),MID(_xlpm.big,3,2),MID(_xlpm.big,1,2)))</f>
        <v>#NUM!</v>
      </c>
      <c r="J516" s="2" t="str">
        <f t="shared" si="32"/>
        <v>02000000</v>
      </c>
      <c r="K516" s="2" t="str">
        <f>_xlfn.LET(_xlpm.big,IF(H516,DEC2HEX(HEX2DEC(F516),8),DEC2HEX(N516-_xlfn.XLOOKUP(P516,Data!A:A,Data!F:F),8)),_xlfn.CONCAT(MID(_xlpm.big,7,2),MID(_xlpm.big,5,2),MID(_xlpm.big,3,2),MID(_xlpm.big,1,2)))</f>
        <v>FEFFFFFF</v>
      </c>
      <c r="L516" s="2">
        <f t="shared" si="33"/>
        <v>0</v>
      </c>
      <c r="M516" s="2">
        <f t="shared" si="34"/>
        <v>0</v>
      </c>
      <c r="N516" s="2">
        <f t="shared" si="35"/>
        <v>0</v>
      </c>
      <c r="O516" s="2" cm="1">
        <f t="array" ref="O516">_xlfn.IFS(M516&lt;Data!$F$3,0,M516&lt;Data!$F$4,1,TRUE,2)</f>
        <v>0</v>
      </c>
      <c r="P516" s="2" cm="1">
        <f t="array" ref="P516">_xlfn.IFS(H516,3,N516&lt;Data!$F$3,0,N516&lt;Data!$F$4,1,TRUE,2)</f>
        <v>0</v>
      </c>
    </row>
    <row r="517" spans="4:16">
      <c r="D517" s="3"/>
      <c r="E517" s="3"/>
      <c r="F517" s="3"/>
      <c r="G517" s="2" t="str" cm="1">
        <f t="array" ref="G517">_xlfn.CONCAT(IFERROR(I517:K517,""))</f>
        <v>02000000FEFFFFFF</v>
      </c>
      <c r="I517" s="2" t="e">
        <f>_xlfn.LET(_xlpm.big,DEC2HEX(_xlfn.BITLSHIFT(M517-_xlfn.XLOOKUP(O517,Data!A:A,Data!F:F),4)+O517,8),_xlfn.CONCAT(MID(_xlpm.big,7,2),MID(_xlpm.big,5,2),MID(_xlpm.big,3,2),MID(_xlpm.big,1,2)))</f>
        <v>#NUM!</v>
      </c>
      <c r="J517" s="2" t="str">
        <f t="shared" si="32"/>
        <v>02000000</v>
      </c>
      <c r="K517" s="2" t="str">
        <f>_xlfn.LET(_xlpm.big,IF(H517,DEC2HEX(HEX2DEC(F517),8),DEC2HEX(N517-_xlfn.XLOOKUP(P517,Data!A:A,Data!F:F),8)),_xlfn.CONCAT(MID(_xlpm.big,7,2),MID(_xlpm.big,5,2),MID(_xlpm.big,3,2),MID(_xlpm.big,1,2)))</f>
        <v>FEFFFFFF</v>
      </c>
      <c r="L517" s="2">
        <f t="shared" si="33"/>
        <v>0</v>
      </c>
      <c r="M517" s="2">
        <f t="shared" si="34"/>
        <v>0</v>
      </c>
      <c r="N517" s="2">
        <f t="shared" si="35"/>
        <v>0</v>
      </c>
      <c r="O517" s="2" cm="1">
        <f t="array" ref="O517">_xlfn.IFS(M517&lt;Data!$F$3,0,M517&lt;Data!$F$4,1,TRUE,2)</f>
        <v>0</v>
      </c>
      <c r="P517" s="2" cm="1">
        <f t="array" ref="P517">_xlfn.IFS(H517,3,N517&lt;Data!$F$3,0,N517&lt;Data!$F$4,1,TRUE,2)</f>
        <v>0</v>
      </c>
    </row>
    <row r="518" spans="4:16">
      <c r="D518" s="3"/>
      <c r="E518" s="3"/>
      <c r="F518" s="3"/>
      <c r="G518" s="2" t="str" cm="1">
        <f t="array" ref="G518">_xlfn.CONCAT(IFERROR(I518:K518,""))</f>
        <v>02000000FEFFFFFF</v>
      </c>
      <c r="I518" s="2" t="e">
        <f>_xlfn.LET(_xlpm.big,DEC2HEX(_xlfn.BITLSHIFT(M518-_xlfn.XLOOKUP(O518,Data!A:A,Data!F:F),4)+O518,8),_xlfn.CONCAT(MID(_xlpm.big,7,2),MID(_xlpm.big,5,2),MID(_xlpm.big,3,2),MID(_xlpm.big,1,2)))</f>
        <v>#NUM!</v>
      </c>
      <c r="J518" s="2" t="str">
        <f t="shared" si="32"/>
        <v>02000000</v>
      </c>
      <c r="K518" s="2" t="str">
        <f>_xlfn.LET(_xlpm.big,IF(H518,DEC2HEX(HEX2DEC(F518),8),DEC2HEX(N518-_xlfn.XLOOKUP(P518,Data!A:A,Data!F:F),8)),_xlfn.CONCAT(MID(_xlpm.big,7,2),MID(_xlpm.big,5,2),MID(_xlpm.big,3,2),MID(_xlpm.big,1,2)))</f>
        <v>FEFFFFFF</v>
      </c>
      <c r="L518" s="2">
        <f t="shared" si="33"/>
        <v>0</v>
      </c>
      <c r="M518" s="2">
        <f t="shared" si="34"/>
        <v>0</v>
      </c>
      <c r="N518" s="2">
        <f t="shared" si="35"/>
        <v>0</v>
      </c>
      <c r="O518" s="2" cm="1">
        <f t="array" ref="O518">_xlfn.IFS(M518&lt;Data!$F$3,0,M518&lt;Data!$F$4,1,TRUE,2)</f>
        <v>0</v>
      </c>
      <c r="P518" s="2" cm="1">
        <f t="array" ref="P518">_xlfn.IFS(H518,3,N518&lt;Data!$F$3,0,N518&lt;Data!$F$4,1,TRUE,2)</f>
        <v>0</v>
      </c>
    </row>
    <row r="519" spans="4:16">
      <c r="D519" s="3"/>
      <c r="E519" s="3"/>
      <c r="F519" s="3"/>
      <c r="G519" s="2" t="str" cm="1">
        <f t="array" ref="G519">_xlfn.CONCAT(IFERROR(I519:K519,""))</f>
        <v>02000000FEFFFFFF</v>
      </c>
      <c r="I519" s="2" t="e">
        <f>_xlfn.LET(_xlpm.big,DEC2HEX(_xlfn.BITLSHIFT(M519-_xlfn.XLOOKUP(O519,Data!A:A,Data!F:F),4)+O519,8),_xlfn.CONCAT(MID(_xlpm.big,7,2),MID(_xlpm.big,5,2),MID(_xlpm.big,3,2),MID(_xlpm.big,1,2)))</f>
        <v>#NUM!</v>
      </c>
      <c r="J519" s="2" t="str">
        <f t="shared" si="32"/>
        <v>02000000</v>
      </c>
      <c r="K519" s="2" t="str">
        <f>_xlfn.LET(_xlpm.big,IF(H519,DEC2HEX(HEX2DEC(F519),8),DEC2HEX(N519-_xlfn.XLOOKUP(P519,Data!A:A,Data!F:F),8)),_xlfn.CONCAT(MID(_xlpm.big,7,2),MID(_xlpm.big,5,2),MID(_xlpm.big,3,2),MID(_xlpm.big,1,2)))</f>
        <v>FEFFFFFF</v>
      </c>
      <c r="L519" s="2">
        <f t="shared" si="33"/>
        <v>0</v>
      </c>
      <c r="M519" s="2">
        <f t="shared" si="34"/>
        <v>0</v>
      </c>
      <c r="N519" s="2">
        <f t="shared" si="35"/>
        <v>0</v>
      </c>
      <c r="O519" s="2" cm="1">
        <f t="array" ref="O519">_xlfn.IFS(M519&lt;Data!$F$3,0,M519&lt;Data!$F$4,1,TRUE,2)</f>
        <v>0</v>
      </c>
      <c r="P519" s="2" cm="1">
        <f t="array" ref="P519">_xlfn.IFS(H519,3,N519&lt;Data!$F$3,0,N519&lt;Data!$F$4,1,TRUE,2)</f>
        <v>0</v>
      </c>
    </row>
    <row r="520" spans="4:16">
      <c r="D520" s="3"/>
      <c r="E520" s="3"/>
      <c r="F520" s="3"/>
      <c r="G520" s="2" t="str" cm="1">
        <f t="array" ref="G520">_xlfn.CONCAT(IFERROR(I520:K520,""))</f>
        <v>02000000FEFFFFFF</v>
      </c>
      <c r="I520" s="2" t="e">
        <f>_xlfn.LET(_xlpm.big,DEC2HEX(_xlfn.BITLSHIFT(M520-_xlfn.XLOOKUP(O520,Data!A:A,Data!F:F),4)+O520,8),_xlfn.CONCAT(MID(_xlpm.big,7,2),MID(_xlpm.big,5,2),MID(_xlpm.big,3,2),MID(_xlpm.big,1,2)))</f>
        <v>#NUM!</v>
      </c>
      <c r="J520" s="2" t="str">
        <f t="shared" si="32"/>
        <v>02000000</v>
      </c>
      <c r="K520" s="2" t="str">
        <f>_xlfn.LET(_xlpm.big,IF(H520,DEC2HEX(HEX2DEC(F520),8),DEC2HEX(N520-_xlfn.XLOOKUP(P520,Data!A:A,Data!F:F),8)),_xlfn.CONCAT(MID(_xlpm.big,7,2),MID(_xlpm.big,5,2),MID(_xlpm.big,3,2),MID(_xlpm.big,1,2)))</f>
        <v>FEFFFFFF</v>
      </c>
      <c r="L520" s="2">
        <f t="shared" si="33"/>
        <v>0</v>
      </c>
      <c r="M520" s="2">
        <f t="shared" si="34"/>
        <v>0</v>
      </c>
      <c r="N520" s="2">
        <f t="shared" si="35"/>
        <v>0</v>
      </c>
      <c r="O520" s="2" cm="1">
        <f t="array" ref="O520">_xlfn.IFS(M520&lt;Data!$F$3,0,M520&lt;Data!$F$4,1,TRUE,2)</f>
        <v>0</v>
      </c>
      <c r="P520" s="2" cm="1">
        <f t="array" ref="P520">_xlfn.IFS(H520,3,N520&lt;Data!$F$3,0,N520&lt;Data!$F$4,1,TRUE,2)</f>
        <v>0</v>
      </c>
    </row>
    <row r="521" spans="4:16">
      <c r="D521" s="3"/>
      <c r="E521" s="3"/>
      <c r="F521" s="3"/>
      <c r="G521" s="2" t="str" cm="1">
        <f t="array" ref="G521">_xlfn.CONCAT(IFERROR(I521:K521,""))</f>
        <v>02000000FEFFFFFF</v>
      </c>
      <c r="I521" s="2" t="e">
        <f>_xlfn.LET(_xlpm.big,DEC2HEX(_xlfn.BITLSHIFT(M521-_xlfn.XLOOKUP(O521,Data!A:A,Data!F:F),4)+O521,8),_xlfn.CONCAT(MID(_xlpm.big,7,2),MID(_xlpm.big,5,2),MID(_xlpm.big,3,2),MID(_xlpm.big,1,2)))</f>
        <v>#NUM!</v>
      </c>
      <c r="J521" s="2" t="str">
        <f t="shared" si="32"/>
        <v>02000000</v>
      </c>
      <c r="K521" s="2" t="str">
        <f>_xlfn.LET(_xlpm.big,IF(H521,DEC2HEX(HEX2DEC(F521),8),DEC2HEX(N521-_xlfn.XLOOKUP(P521,Data!A:A,Data!F:F),8)),_xlfn.CONCAT(MID(_xlpm.big,7,2),MID(_xlpm.big,5,2),MID(_xlpm.big,3,2),MID(_xlpm.big,1,2)))</f>
        <v>FEFFFFFF</v>
      </c>
      <c r="L521" s="2">
        <f t="shared" si="33"/>
        <v>0</v>
      </c>
      <c r="M521" s="2">
        <f t="shared" si="34"/>
        <v>0</v>
      </c>
      <c r="N521" s="2">
        <f t="shared" si="35"/>
        <v>0</v>
      </c>
      <c r="O521" s="2" cm="1">
        <f t="array" ref="O521">_xlfn.IFS(M521&lt;Data!$F$3,0,M521&lt;Data!$F$4,1,TRUE,2)</f>
        <v>0</v>
      </c>
      <c r="P521" s="2" cm="1">
        <f t="array" ref="P521">_xlfn.IFS(H521,3,N521&lt;Data!$F$3,0,N521&lt;Data!$F$4,1,TRUE,2)</f>
        <v>0</v>
      </c>
    </row>
    <row r="522" spans="4:16">
      <c r="D522" s="3"/>
      <c r="E522" s="3"/>
      <c r="F522" s="3"/>
      <c r="G522" s="2" t="str" cm="1">
        <f t="array" ref="G522">_xlfn.CONCAT(IFERROR(I522:K522,""))</f>
        <v>02000000FEFFFFFF</v>
      </c>
      <c r="I522" s="2" t="e">
        <f>_xlfn.LET(_xlpm.big,DEC2HEX(_xlfn.BITLSHIFT(M522-_xlfn.XLOOKUP(O522,Data!A:A,Data!F:F),4)+O522,8),_xlfn.CONCAT(MID(_xlpm.big,7,2),MID(_xlpm.big,5,2),MID(_xlpm.big,3,2),MID(_xlpm.big,1,2)))</f>
        <v>#NUM!</v>
      </c>
      <c r="J522" s="2" t="str">
        <f t="shared" si="32"/>
        <v>02000000</v>
      </c>
      <c r="K522" s="2" t="str">
        <f>_xlfn.LET(_xlpm.big,IF(H522,DEC2HEX(HEX2DEC(F522),8),DEC2HEX(N522-_xlfn.XLOOKUP(P522,Data!A:A,Data!F:F),8)),_xlfn.CONCAT(MID(_xlpm.big,7,2),MID(_xlpm.big,5,2),MID(_xlpm.big,3,2),MID(_xlpm.big,1,2)))</f>
        <v>FEFFFFFF</v>
      </c>
      <c r="L522" s="2">
        <f t="shared" si="33"/>
        <v>0</v>
      </c>
      <c r="M522" s="2">
        <f t="shared" si="34"/>
        <v>0</v>
      </c>
      <c r="N522" s="2">
        <f t="shared" si="35"/>
        <v>0</v>
      </c>
      <c r="O522" s="2" cm="1">
        <f t="array" ref="O522">_xlfn.IFS(M522&lt;Data!$F$3,0,M522&lt;Data!$F$4,1,TRUE,2)</f>
        <v>0</v>
      </c>
      <c r="P522" s="2" cm="1">
        <f t="array" ref="P522">_xlfn.IFS(H522,3,N522&lt;Data!$F$3,0,N522&lt;Data!$F$4,1,TRUE,2)</f>
        <v>0</v>
      </c>
    </row>
    <row r="523" spans="4:16">
      <c r="D523" s="3"/>
      <c r="E523" s="3"/>
      <c r="F523" s="3"/>
      <c r="G523" s="2" t="str" cm="1">
        <f t="array" ref="G523">_xlfn.CONCAT(IFERROR(I523:K523,""))</f>
        <v>02000000FEFFFFFF</v>
      </c>
      <c r="I523" s="2" t="e">
        <f>_xlfn.LET(_xlpm.big,DEC2HEX(_xlfn.BITLSHIFT(M523-_xlfn.XLOOKUP(O523,Data!A:A,Data!F:F),4)+O523,8),_xlfn.CONCAT(MID(_xlpm.big,7,2),MID(_xlpm.big,5,2),MID(_xlpm.big,3,2),MID(_xlpm.big,1,2)))</f>
        <v>#NUM!</v>
      </c>
      <c r="J523" s="2" t="str">
        <f t="shared" si="32"/>
        <v>02000000</v>
      </c>
      <c r="K523" s="2" t="str">
        <f>_xlfn.LET(_xlpm.big,IF(H523,DEC2HEX(HEX2DEC(F523),8),DEC2HEX(N523-_xlfn.XLOOKUP(P523,Data!A:A,Data!F:F),8)),_xlfn.CONCAT(MID(_xlpm.big,7,2),MID(_xlpm.big,5,2),MID(_xlpm.big,3,2),MID(_xlpm.big,1,2)))</f>
        <v>FEFFFFFF</v>
      </c>
      <c r="L523" s="2">
        <f t="shared" si="33"/>
        <v>0</v>
      </c>
      <c r="M523" s="2">
        <f t="shared" si="34"/>
        <v>0</v>
      </c>
      <c r="N523" s="2">
        <f t="shared" si="35"/>
        <v>0</v>
      </c>
      <c r="O523" s="2" cm="1">
        <f t="array" ref="O523">_xlfn.IFS(M523&lt;Data!$F$3,0,M523&lt;Data!$F$4,1,TRUE,2)</f>
        <v>0</v>
      </c>
      <c r="P523" s="2" cm="1">
        <f t="array" ref="P523">_xlfn.IFS(H523,3,N523&lt;Data!$F$3,0,N523&lt;Data!$F$4,1,TRUE,2)</f>
        <v>0</v>
      </c>
    </row>
    <row r="524" spans="4:16">
      <c r="D524" s="3"/>
      <c r="E524" s="3"/>
      <c r="F524" s="3"/>
      <c r="G524" s="2" t="str" cm="1">
        <f t="array" ref="G524">_xlfn.CONCAT(IFERROR(I524:K524,""))</f>
        <v>02000000FEFFFFFF</v>
      </c>
      <c r="I524" s="2" t="e">
        <f>_xlfn.LET(_xlpm.big,DEC2HEX(_xlfn.BITLSHIFT(M524-_xlfn.XLOOKUP(O524,Data!A:A,Data!F:F),4)+O524,8),_xlfn.CONCAT(MID(_xlpm.big,7,2),MID(_xlpm.big,5,2),MID(_xlpm.big,3,2),MID(_xlpm.big,1,2)))</f>
        <v>#NUM!</v>
      </c>
      <c r="J524" s="2" t="str">
        <f t="shared" si="32"/>
        <v>02000000</v>
      </c>
      <c r="K524" s="2" t="str">
        <f>_xlfn.LET(_xlpm.big,IF(H524,DEC2HEX(HEX2DEC(F524),8),DEC2HEX(N524-_xlfn.XLOOKUP(P524,Data!A:A,Data!F:F),8)),_xlfn.CONCAT(MID(_xlpm.big,7,2),MID(_xlpm.big,5,2),MID(_xlpm.big,3,2),MID(_xlpm.big,1,2)))</f>
        <v>FEFFFFFF</v>
      </c>
      <c r="L524" s="2">
        <f t="shared" si="33"/>
        <v>0</v>
      </c>
      <c r="M524" s="2">
        <f t="shared" si="34"/>
        <v>0</v>
      </c>
      <c r="N524" s="2">
        <f t="shared" si="35"/>
        <v>0</v>
      </c>
      <c r="O524" s="2" cm="1">
        <f t="array" ref="O524">_xlfn.IFS(M524&lt;Data!$F$3,0,M524&lt;Data!$F$4,1,TRUE,2)</f>
        <v>0</v>
      </c>
      <c r="P524" s="2" cm="1">
        <f t="array" ref="P524">_xlfn.IFS(H524,3,N524&lt;Data!$F$3,0,N524&lt;Data!$F$4,1,TRUE,2)</f>
        <v>0</v>
      </c>
    </row>
    <row r="525" spans="4:16">
      <c r="D525" s="3"/>
      <c r="E525" s="3"/>
      <c r="F525" s="3"/>
      <c r="G525" s="2" t="str" cm="1">
        <f t="array" ref="G525">_xlfn.CONCAT(IFERROR(I525:K525,""))</f>
        <v>02000000FEFFFFFF</v>
      </c>
      <c r="I525" s="2" t="e">
        <f>_xlfn.LET(_xlpm.big,DEC2HEX(_xlfn.BITLSHIFT(M525-_xlfn.XLOOKUP(O525,Data!A:A,Data!F:F),4)+O525,8),_xlfn.CONCAT(MID(_xlpm.big,7,2),MID(_xlpm.big,5,2),MID(_xlpm.big,3,2),MID(_xlpm.big,1,2)))</f>
        <v>#NUM!</v>
      </c>
      <c r="J525" s="2" t="str">
        <f t="shared" si="32"/>
        <v>02000000</v>
      </c>
      <c r="K525" s="2" t="str">
        <f>_xlfn.LET(_xlpm.big,IF(H525,DEC2HEX(HEX2DEC(F525),8),DEC2HEX(N525-_xlfn.XLOOKUP(P525,Data!A:A,Data!F:F),8)),_xlfn.CONCAT(MID(_xlpm.big,7,2),MID(_xlpm.big,5,2),MID(_xlpm.big,3,2),MID(_xlpm.big,1,2)))</f>
        <v>FEFFFFFF</v>
      </c>
      <c r="L525" s="2">
        <f t="shared" si="33"/>
        <v>0</v>
      </c>
      <c r="M525" s="2">
        <f t="shared" si="34"/>
        <v>0</v>
      </c>
      <c r="N525" s="2">
        <f t="shared" si="35"/>
        <v>0</v>
      </c>
      <c r="O525" s="2" cm="1">
        <f t="array" ref="O525">_xlfn.IFS(M525&lt;Data!$F$3,0,M525&lt;Data!$F$4,1,TRUE,2)</f>
        <v>0</v>
      </c>
      <c r="P525" s="2" cm="1">
        <f t="array" ref="P525">_xlfn.IFS(H525,3,N525&lt;Data!$F$3,0,N525&lt;Data!$F$4,1,TRUE,2)</f>
        <v>0</v>
      </c>
    </row>
    <row r="526" spans="4:16">
      <c r="D526" s="3"/>
      <c r="E526" s="3"/>
      <c r="F526" s="3"/>
      <c r="G526" s="2" t="str" cm="1">
        <f t="array" ref="G526">_xlfn.CONCAT(IFERROR(I526:K526,""))</f>
        <v>02000000FEFFFFFF</v>
      </c>
      <c r="I526" s="2" t="e">
        <f>_xlfn.LET(_xlpm.big,DEC2HEX(_xlfn.BITLSHIFT(M526-_xlfn.XLOOKUP(O526,Data!A:A,Data!F:F),4)+O526,8),_xlfn.CONCAT(MID(_xlpm.big,7,2),MID(_xlpm.big,5,2),MID(_xlpm.big,3,2),MID(_xlpm.big,1,2)))</f>
        <v>#NUM!</v>
      </c>
      <c r="J526" s="2" t="str">
        <f t="shared" si="32"/>
        <v>02000000</v>
      </c>
      <c r="K526" s="2" t="str">
        <f>_xlfn.LET(_xlpm.big,IF(H526,DEC2HEX(HEX2DEC(F526),8),DEC2HEX(N526-_xlfn.XLOOKUP(P526,Data!A:A,Data!F:F),8)),_xlfn.CONCAT(MID(_xlpm.big,7,2),MID(_xlpm.big,5,2),MID(_xlpm.big,3,2),MID(_xlpm.big,1,2)))</f>
        <v>FEFFFFFF</v>
      </c>
      <c r="L526" s="2">
        <f t="shared" si="33"/>
        <v>0</v>
      </c>
      <c r="M526" s="2">
        <f t="shared" si="34"/>
        <v>0</v>
      </c>
      <c r="N526" s="2">
        <f t="shared" si="35"/>
        <v>0</v>
      </c>
      <c r="O526" s="2" cm="1">
        <f t="array" ref="O526">_xlfn.IFS(M526&lt;Data!$F$3,0,M526&lt;Data!$F$4,1,TRUE,2)</f>
        <v>0</v>
      </c>
      <c r="P526" s="2" cm="1">
        <f t="array" ref="P526">_xlfn.IFS(H526,3,N526&lt;Data!$F$3,0,N526&lt;Data!$F$4,1,TRUE,2)</f>
        <v>0</v>
      </c>
    </row>
    <row r="527" spans="4:16">
      <c r="D527" s="3"/>
      <c r="E527" s="3"/>
      <c r="F527" s="3"/>
      <c r="G527" s="2" t="str" cm="1">
        <f t="array" ref="G527">_xlfn.CONCAT(IFERROR(I527:K527,""))</f>
        <v>02000000FEFFFFFF</v>
      </c>
      <c r="I527" s="2" t="e">
        <f>_xlfn.LET(_xlpm.big,DEC2HEX(_xlfn.BITLSHIFT(M527-_xlfn.XLOOKUP(O527,Data!A:A,Data!F:F),4)+O527,8),_xlfn.CONCAT(MID(_xlpm.big,7,2),MID(_xlpm.big,5,2),MID(_xlpm.big,3,2),MID(_xlpm.big,1,2)))</f>
        <v>#NUM!</v>
      </c>
      <c r="J527" s="2" t="str">
        <f t="shared" si="32"/>
        <v>02000000</v>
      </c>
      <c r="K527" s="2" t="str">
        <f>_xlfn.LET(_xlpm.big,IF(H527,DEC2HEX(HEX2DEC(F527),8),DEC2HEX(N527-_xlfn.XLOOKUP(P527,Data!A:A,Data!F:F),8)),_xlfn.CONCAT(MID(_xlpm.big,7,2),MID(_xlpm.big,5,2),MID(_xlpm.big,3,2),MID(_xlpm.big,1,2)))</f>
        <v>FEFFFFFF</v>
      </c>
      <c r="L527" s="2">
        <f t="shared" si="33"/>
        <v>0</v>
      </c>
      <c r="M527" s="2">
        <f t="shared" si="34"/>
        <v>0</v>
      </c>
      <c r="N527" s="2">
        <f t="shared" si="35"/>
        <v>0</v>
      </c>
      <c r="O527" s="2" cm="1">
        <f t="array" ref="O527">_xlfn.IFS(M527&lt;Data!$F$3,0,M527&lt;Data!$F$4,1,TRUE,2)</f>
        <v>0</v>
      </c>
      <c r="P527" s="2" cm="1">
        <f t="array" ref="P527">_xlfn.IFS(H527,3,N527&lt;Data!$F$3,0,N527&lt;Data!$F$4,1,TRUE,2)</f>
        <v>0</v>
      </c>
    </row>
    <row r="528" spans="4:16">
      <c r="D528" s="3"/>
      <c r="E528" s="3"/>
      <c r="F528" s="3"/>
      <c r="G528" s="2" t="str" cm="1">
        <f t="array" ref="G528">_xlfn.CONCAT(IFERROR(I528:K528,""))</f>
        <v>02000000FEFFFFFF</v>
      </c>
      <c r="I528" s="2" t="e">
        <f>_xlfn.LET(_xlpm.big,DEC2HEX(_xlfn.BITLSHIFT(M528-_xlfn.XLOOKUP(O528,Data!A:A,Data!F:F),4)+O528,8),_xlfn.CONCAT(MID(_xlpm.big,7,2),MID(_xlpm.big,5,2),MID(_xlpm.big,3,2),MID(_xlpm.big,1,2)))</f>
        <v>#NUM!</v>
      </c>
      <c r="J528" s="2" t="str">
        <f t="shared" si="32"/>
        <v>02000000</v>
      </c>
      <c r="K528" s="2" t="str">
        <f>_xlfn.LET(_xlpm.big,IF(H528,DEC2HEX(HEX2DEC(F528),8),DEC2HEX(N528-_xlfn.XLOOKUP(P528,Data!A:A,Data!F:F),8)),_xlfn.CONCAT(MID(_xlpm.big,7,2),MID(_xlpm.big,5,2),MID(_xlpm.big,3,2),MID(_xlpm.big,1,2)))</f>
        <v>FEFFFFFF</v>
      </c>
      <c r="L528" s="2">
        <f t="shared" si="33"/>
        <v>0</v>
      </c>
      <c r="M528" s="2">
        <f t="shared" si="34"/>
        <v>0</v>
      </c>
      <c r="N528" s="2">
        <f t="shared" si="35"/>
        <v>0</v>
      </c>
      <c r="O528" s="2" cm="1">
        <f t="array" ref="O528">_xlfn.IFS(M528&lt;Data!$F$3,0,M528&lt;Data!$F$4,1,TRUE,2)</f>
        <v>0</v>
      </c>
      <c r="P528" s="2" cm="1">
        <f t="array" ref="P528">_xlfn.IFS(H528,3,N528&lt;Data!$F$3,0,N528&lt;Data!$F$4,1,TRUE,2)</f>
        <v>0</v>
      </c>
    </row>
    <row r="529" spans="4:16">
      <c r="D529" s="3"/>
      <c r="E529" s="3"/>
      <c r="F529" s="3"/>
      <c r="G529" s="2" t="str" cm="1">
        <f t="array" ref="G529">_xlfn.CONCAT(IFERROR(I529:K529,""))</f>
        <v>02000000FEFFFFFF</v>
      </c>
      <c r="I529" s="2" t="e">
        <f>_xlfn.LET(_xlpm.big,DEC2HEX(_xlfn.BITLSHIFT(M529-_xlfn.XLOOKUP(O529,Data!A:A,Data!F:F),4)+O529,8),_xlfn.CONCAT(MID(_xlpm.big,7,2),MID(_xlpm.big,5,2),MID(_xlpm.big,3,2),MID(_xlpm.big,1,2)))</f>
        <v>#NUM!</v>
      </c>
      <c r="J529" s="2" t="str">
        <f t="shared" si="32"/>
        <v>02000000</v>
      </c>
      <c r="K529" s="2" t="str">
        <f>_xlfn.LET(_xlpm.big,IF(H529,DEC2HEX(HEX2DEC(F529),8),DEC2HEX(N529-_xlfn.XLOOKUP(P529,Data!A:A,Data!F:F),8)),_xlfn.CONCAT(MID(_xlpm.big,7,2),MID(_xlpm.big,5,2),MID(_xlpm.big,3,2),MID(_xlpm.big,1,2)))</f>
        <v>FEFFFFFF</v>
      </c>
      <c r="L529" s="2">
        <f t="shared" si="33"/>
        <v>0</v>
      </c>
      <c r="M529" s="2">
        <f t="shared" si="34"/>
        <v>0</v>
      </c>
      <c r="N529" s="2">
        <f t="shared" si="35"/>
        <v>0</v>
      </c>
      <c r="O529" s="2" cm="1">
        <f t="array" ref="O529">_xlfn.IFS(M529&lt;Data!$F$3,0,M529&lt;Data!$F$4,1,TRUE,2)</f>
        <v>0</v>
      </c>
      <c r="P529" s="2" cm="1">
        <f t="array" ref="P529">_xlfn.IFS(H529,3,N529&lt;Data!$F$3,0,N529&lt;Data!$F$4,1,TRUE,2)</f>
        <v>0</v>
      </c>
    </row>
    <row r="530" spans="4:16">
      <c r="D530" s="3"/>
      <c r="E530" s="3"/>
      <c r="F530" s="3"/>
      <c r="G530" s="2" t="str" cm="1">
        <f t="array" ref="G530">_xlfn.CONCAT(IFERROR(I530:K530,""))</f>
        <v>02000000FEFFFFFF</v>
      </c>
      <c r="I530" s="2" t="e">
        <f>_xlfn.LET(_xlpm.big,DEC2HEX(_xlfn.BITLSHIFT(M530-_xlfn.XLOOKUP(O530,Data!A:A,Data!F:F),4)+O530,8),_xlfn.CONCAT(MID(_xlpm.big,7,2),MID(_xlpm.big,5,2),MID(_xlpm.big,3,2),MID(_xlpm.big,1,2)))</f>
        <v>#NUM!</v>
      </c>
      <c r="J530" s="2" t="str">
        <f t="shared" si="32"/>
        <v>02000000</v>
      </c>
      <c r="K530" s="2" t="str">
        <f>_xlfn.LET(_xlpm.big,IF(H530,DEC2HEX(HEX2DEC(F530),8),DEC2HEX(N530-_xlfn.XLOOKUP(P530,Data!A:A,Data!F:F),8)),_xlfn.CONCAT(MID(_xlpm.big,7,2),MID(_xlpm.big,5,2),MID(_xlpm.big,3,2),MID(_xlpm.big,1,2)))</f>
        <v>FEFFFFFF</v>
      </c>
      <c r="L530" s="2">
        <f t="shared" si="33"/>
        <v>0</v>
      </c>
      <c r="M530" s="2">
        <f t="shared" si="34"/>
        <v>0</v>
      </c>
      <c r="N530" s="2">
        <f t="shared" si="35"/>
        <v>0</v>
      </c>
      <c r="O530" s="2" cm="1">
        <f t="array" ref="O530">_xlfn.IFS(M530&lt;Data!$F$3,0,M530&lt;Data!$F$4,1,TRUE,2)</f>
        <v>0</v>
      </c>
      <c r="P530" s="2" cm="1">
        <f t="array" ref="P530">_xlfn.IFS(H530,3,N530&lt;Data!$F$3,0,N530&lt;Data!$F$4,1,TRUE,2)</f>
        <v>0</v>
      </c>
    </row>
    <row r="531" spans="4:16">
      <c r="D531" s="3"/>
      <c r="E531" s="3"/>
      <c r="F531" s="3"/>
      <c r="G531" s="2" t="str" cm="1">
        <f t="array" ref="G531">_xlfn.CONCAT(IFERROR(I531:K531,""))</f>
        <v>02000000FEFFFFFF</v>
      </c>
      <c r="I531" s="2" t="e">
        <f>_xlfn.LET(_xlpm.big,DEC2HEX(_xlfn.BITLSHIFT(M531-_xlfn.XLOOKUP(O531,Data!A:A,Data!F:F),4)+O531,8),_xlfn.CONCAT(MID(_xlpm.big,7,2),MID(_xlpm.big,5,2),MID(_xlpm.big,3,2),MID(_xlpm.big,1,2)))</f>
        <v>#NUM!</v>
      </c>
      <c r="J531" s="2" t="str">
        <f t="shared" si="32"/>
        <v>02000000</v>
      </c>
      <c r="K531" s="2" t="str">
        <f>_xlfn.LET(_xlpm.big,IF(H531,DEC2HEX(HEX2DEC(F531),8),DEC2HEX(N531-_xlfn.XLOOKUP(P531,Data!A:A,Data!F:F),8)),_xlfn.CONCAT(MID(_xlpm.big,7,2),MID(_xlpm.big,5,2),MID(_xlpm.big,3,2),MID(_xlpm.big,1,2)))</f>
        <v>FEFFFFFF</v>
      </c>
      <c r="L531" s="2">
        <f t="shared" si="33"/>
        <v>0</v>
      </c>
      <c r="M531" s="2">
        <f t="shared" si="34"/>
        <v>0</v>
      </c>
      <c r="N531" s="2">
        <f t="shared" si="35"/>
        <v>0</v>
      </c>
      <c r="O531" s="2" cm="1">
        <f t="array" ref="O531">_xlfn.IFS(M531&lt;Data!$F$3,0,M531&lt;Data!$F$4,1,TRUE,2)</f>
        <v>0</v>
      </c>
      <c r="P531" s="2" cm="1">
        <f t="array" ref="P531">_xlfn.IFS(H531,3,N531&lt;Data!$F$3,0,N531&lt;Data!$F$4,1,TRUE,2)</f>
        <v>0</v>
      </c>
    </row>
    <row r="532" spans="4:16">
      <c r="D532" s="3"/>
      <c r="E532" s="3"/>
      <c r="F532" s="3"/>
      <c r="G532" s="2" t="str" cm="1">
        <f t="array" ref="G532">_xlfn.CONCAT(IFERROR(I532:K532,""))</f>
        <v>02000000FEFFFFFF</v>
      </c>
      <c r="I532" s="2" t="e">
        <f>_xlfn.LET(_xlpm.big,DEC2HEX(_xlfn.BITLSHIFT(M532-_xlfn.XLOOKUP(O532,Data!A:A,Data!F:F),4)+O532,8),_xlfn.CONCAT(MID(_xlpm.big,7,2),MID(_xlpm.big,5,2),MID(_xlpm.big,3,2),MID(_xlpm.big,1,2)))</f>
        <v>#NUM!</v>
      </c>
      <c r="J532" s="2" t="str">
        <f t="shared" si="32"/>
        <v>02000000</v>
      </c>
      <c r="K532" s="2" t="str">
        <f>_xlfn.LET(_xlpm.big,IF(H532,DEC2HEX(HEX2DEC(F532),8),DEC2HEX(N532-_xlfn.XLOOKUP(P532,Data!A:A,Data!F:F),8)),_xlfn.CONCAT(MID(_xlpm.big,7,2),MID(_xlpm.big,5,2),MID(_xlpm.big,3,2),MID(_xlpm.big,1,2)))</f>
        <v>FEFFFFFF</v>
      </c>
      <c r="L532" s="2">
        <f t="shared" si="33"/>
        <v>0</v>
      </c>
      <c r="M532" s="2">
        <f t="shared" si="34"/>
        <v>0</v>
      </c>
      <c r="N532" s="2">
        <f t="shared" si="35"/>
        <v>0</v>
      </c>
      <c r="O532" s="2" cm="1">
        <f t="array" ref="O532">_xlfn.IFS(M532&lt;Data!$F$3,0,M532&lt;Data!$F$4,1,TRUE,2)</f>
        <v>0</v>
      </c>
      <c r="P532" s="2" cm="1">
        <f t="array" ref="P532">_xlfn.IFS(H532,3,N532&lt;Data!$F$3,0,N532&lt;Data!$F$4,1,TRUE,2)</f>
        <v>0</v>
      </c>
    </row>
    <row r="533" spans="4:16">
      <c r="D533" s="3"/>
      <c r="E533" s="3"/>
      <c r="F533" s="3"/>
      <c r="G533" s="2" t="str" cm="1">
        <f t="array" ref="G533">_xlfn.CONCAT(IFERROR(I533:K533,""))</f>
        <v>02000000FEFFFFFF</v>
      </c>
      <c r="I533" s="2" t="e">
        <f>_xlfn.LET(_xlpm.big,DEC2HEX(_xlfn.BITLSHIFT(M533-_xlfn.XLOOKUP(O533,Data!A:A,Data!F:F),4)+O533,8),_xlfn.CONCAT(MID(_xlpm.big,7,2),MID(_xlpm.big,5,2),MID(_xlpm.big,3,2),MID(_xlpm.big,1,2)))</f>
        <v>#NUM!</v>
      </c>
      <c r="J533" s="2" t="str">
        <f t="shared" si="32"/>
        <v>02000000</v>
      </c>
      <c r="K533" s="2" t="str">
        <f>_xlfn.LET(_xlpm.big,IF(H533,DEC2HEX(HEX2DEC(F533),8),DEC2HEX(N533-_xlfn.XLOOKUP(P533,Data!A:A,Data!F:F),8)),_xlfn.CONCAT(MID(_xlpm.big,7,2),MID(_xlpm.big,5,2),MID(_xlpm.big,3,2),MID(_xlpm.big,1,2)))</f>
        <v>FEFFFFFF</v>
      </c>
      <c r="L533" s="2">
        <f t="shared" si="33"/>
        <v>0</v>
      </c>
      <c r="M533" s="2">
        <f t="shared" si="34"/>
        <v>0</v>
      </c>
      <c r="N533" s="2">
        <f t="shared" si="35"/>
        <v>0</v>
      </c>
      <c r="O533" s="2" cm="1">
        <f t="array" ref="O533">_xlfn.IFS(M533&lt;Data!$F$3,0,M533&lt;Data!$F$4,1,TRUE,2)</f>
        <v>0</v>
      </c>
      <c r="P533" s="2" cm="1">
        <f t="array" ref="P533">_xlfn.IFS(H533,3,N533&lt;Data!$F$3,0,N533&lt;Data!$F$4,1,TRUE,2)</f>
        <v>0</v>
      </c>
    </row>
    <row r="534" spans="4:16">
      <c r="D534" s="3"/>
      <c r="E534" s="3"/>
      <c r="F534" s="3"/>
      <c r="G534" s="2" t="str" cm="1">
        <f t="array" ref="G534">_xlfn.CONCAT(IFERROR(I534:K534,""))</f>
        <v>0203000000000000</v>
      </c>
      <c r="H534" s="2" t="b">
        <v>1</v>
      </c>
      <c r="I534" s="2" t="e">
        <f>_xlfn.LET(_xlpm.big,DEC2HEX(_xlfn.BITLSHIFT(M534-_xlfn.XLOOKUP(O534,Data!A:A,Data!F:F),4)+O534,8),_xlfn.CONCAT(MID(_xlpm.big,7,2),MID(_xlpm.big,5,2),MID(_xlpm.big,3,2),MID(_xlpm.big,1,2)))</f>
        <v>#NUM!</v>
      </c>
      <c r="J534" s="2" t="str">
        <f t="shared" si="32"/>
        <v>02030000</v>
      </c>
      <c r="K534" s="2" t="str">
        <f>_xlfn.LET(_xlpm.big,IF(H534,DEC2HEX(HEX2DEC(F534),8),DEC2HEX(N534-_xlfn.XLOOKUP(P534,Data!A:A,Data!F:F),8)),_xlfn.CONCAT(MID(_xlpm.big,7,2),MID(_xlpm.big,5,2),MID(_xlpm.big,3,2),MID(_xlpm.big,1,2)))</f>
        <v>00000000</v>
      </c>
      <c r="L534" s="2">
        <f t="shared" si="33"/>
        <v>0</v>
      </c>
      <c r="M534" s="2">
        <f t="shared" si="34"/>
        <v>0</v>
      </c>
      <c r="N534" s="2">
        <f t="shared" si="35"/>
        <v>0</v>
      </c>
      <c r="O534" s="2" cm="1">
        <f t="array" ref="O534">_xlfn.IFS(M534&lt;Data!$F$3,0,M534&lt;Data!$F$4,1,TRUE,2)</f>
        <v>0</v>
      </c>
      <c r="P534" s="2" cm="1">
        <f t="array" ref="P534">_xlfn.IFS(H534,3,N534&lt;Data!$F$3,0,N534&lt;Data!$F$4,1,TRUE,2)</f>
        <v>3</v>
      </c>
    </row>
    <row r="535" spans="4:16">
      <c r="D535" s="3"/>
      <c r="E535" s="3"/>
      <c r="F535" s="3"/>
      <c r="G535" s="2" t="str" cm="1">
        <f t="array" ref="G535">_xlfn.CONCAT(IFERROR(I535:K535,""))</f>
        <v>02000000FEFFFFFF</v>
      </c>
      <c r="I535" s="2" t="e">
        <f>_xlfn.LET(_xlpm.big,DEC2HEX(_xlfn.BITLSHIFT(M535-_xlfn.XLOOKUP(O535,Data!A:A,Data!F:F),4)+O535,8),_xlfn.CONCAT(MID(_xlpm.big,7,2),MID(_xlpm.big,5,2),MID(_xlpm.big,3,2),MID(_xlpm.big,1,2)))</f>
        <v>#NUM!</v>
      </c>
      <c r="J535" s="2" t="str">
        <f t="shared" si="32"/>
        <v>02000000</v>
      </c>
      <c r="K535" s="2" t="str">
        <f>_xlfn.LET(_xlpm.big,IF(H535,DEC2HEX(HEX2DEC(F535),8),DEC2HEX(N535-_xlfn.XLOOKUP(P535,Data!A:A,Data!F:F),8)),_xlfn.CONCAT(MID(_xlpm.big,7,2),MID(_xlpm.big,5,2),MID(_xlpm.big,3,2),MID(_xlpm.big,1,2)))</f>
        <v>FEFFFFFF</v>
      </c>
      <c r="L535" s="2">
        <f t="shared" si="33"/>
        <v>0</v>
      </c>
      <c r="M535" s="2">
        <f t="shared" si="34"/>
        <v>0</v>
      </c>
      <c r="N535" s="2">
        <f t="shared" si="35"/>
        <v>0</v>
      </c>
      <c r="O535" s="2" cm="1">
        <f t="array" ref="O535">_xlfn.IFS(M535&lt;Data!$F$3,0,M535&lt;Data!$F$4,1,TRUE,2)</f>
        <v>0</v>
      </c>
      <c r="P535" s="2" cm="1">
        <f t="array" ref="P535">_xlfn.IFS(H535,3,N535&lt;Data!$F$3,0,N535&lt;Data!$F$4,1,TRUE,2)</f>
        <v>0</v>
      </c>
    </row>
    <row r="536" spans="4:16">
      <c r="D536" s="3"/>
      <c r="E536" s="3"/>
      <c r="F536" s="3"/>
      <c r="G536" s="2" t="str" cm="1">
        <f t="array" ref="G536">_xlfn.CONCAT(IFERROR(I536:K536,""))</f>
        <v>0203000000000000</v>
      </c>
      <c r="H536" s="2" t="b">
        <v>1</v>
      </c>
      <c r="I536" s="2" t="e">
        <f>_xlfn.LET(_xlpm.big,DEC2HEX(_xlfn.BITLSHIFT(M536-_xlfn.XLOOKUP(O536,Data!A:A,Data!F:F),4)+O536,8),_xlfn.CONCAT(MID(_xlpm.big,7,2),MID(_xlpm.big,5,2),MID(_xlpm.big,3,2),MID(_xlpm.big,1,2)))</f>
        <v>#NUM!</v>
      </c>
      <c r="J536" s="2" t="str">
        <f t="shared" si="32"/>
        <v>02030000</v>
      </c>
      <c r="K536" s="2" t="str">
        <f>_xlfn.LET(_xlpm.big,IF(H536,DEC2HEX(HEX2DEC(F536),8),DEC2HEX(N536-_xlfn.XLOOKUP(P536,Data!A:A,Data!F:F),8)),_xlfn.CONCAT(MID(_xlpm.big,7,2),MID(_xlpm.big,5,2),MID(_xlpm.big,3,2),MID(_xlpm.big,1,2)))</f>
        <v>00000000</v>
      </c>
      <c r="L536" s="2">
        <f t="shared" si="33"/>
        <v>0</v>
      </c>
      <c r="M536" s="2">
        <f t="shared" si="34"/>
        <v>0</v>
      </c>
      <c r="N536" s="2">
        <f t="shared" si="35"/>
        <v>0</v>
      </c>
      <c r="O536" s="2" cm="1">
        <f t="array" ref="O536">_xlfn.IFS(M536&lt;Data!$F$3,0,M536&lt;Data!$F$4,1,TRUE,2)</f>
        <v>0</v>
      </c>
      <c r="P536" s="2" cm="1">
        <f t="array" ref="P536">_xlfn.IFS(H536,3,N536&lt;Data!$F$3,0,N536&lt;Data!$F$4,1,TRUE,2)</f>
        <v>3</v>
      </c>
    </row>
    <row r="537" spans="4:16">
      <c r="D537" s="3"/>
      <c r="E537" s="3"/>
      <c r="F537" s="3"/>
      <c r="G537" s="2" t="str" cm="1">
        <f t="array" ref="G537">_xlfn.CONCAT(IFERROR(I537:K537,""))</f>
        <v>02000000FEFFFFFF</v>
      </c>
      <c r="I537" s="2" t="e">
        <f>_xlfn.LET(_xlpm.big,DEC2HEX(_xlfn.BITLSHIFT(M537-_xlfn.XLOOKUP(O537,Data!A:A,Data!F:F),4)+O537,8),_xlfn.CONCAT(MID(_xlpm.big,7,2),MID(_xlpm.big,5,2),MID(_xlpm.big,3,2),MID(_xlpm.big,1,2)))</f>
        <v>#NUM!</v>
      </c>
      <c r="J537" s="2" t="str">
        <f t="shared" si="32"/>
        <v>02000000</v>
      </c>
      <c r="K537" s="2" t="str">
        <f>_xlfn.LET(_xlpm.big,IF(H537,DEC2HEX(HEX2DEC(F537),8),DEC2HEX(N537-_xlfn.XLOOKUP(P537,Data!A:A,Data!F:F),8)),_xlfn.CONCAT(MID(_xlpm.big,7,2),MID(_xlpm.big,5,2),MID(_xlpm.big,3,2),MID(_xlpm.big,1,2)))</f>
        <v>FEFFFFFF</v>
      </c>
      <c r="L537" s="2">
        <f t="shared" si="33"/>
        <v>0</v>
      </c>
      <c r="M537" s="2">
        <f t="shared" si="34"/>
        <v>0</v>
      </c>
      <c r="N537" s="2">
        <f t="shared" si="35"/>
        <v>0</v>
      </c>
      <c r="O537" s="2" cm="1">
        <f t="array" ref="O537">_xlfn.IFS(M537&lt;Data!$F$3,0,M537&lt;Data!$F$4,1,TRUE,2)</f>
        <v>0</v>
      </c>
      <c r="P537" s="2" cm="1">
        <f t="array" ref="P537">_xlfn.IFS(H537,3,N537&lt;Data!$F$3,0,N537&lt;Data!$F$4,1,TRUE,2)</f>
        <v>0</v>
      </c>
    </row>
    <row r="538" spans="4:16">
      <c r="D538" s="3"/>
      <c r="E538" s="3"/>
      <c r="F538" s="3"/>
      <c r="G538" s="2" t="str" cm="1">
        <f t="array" ref="G538">_xlfn.CONCAT(IFERROR(I538:K538,""))</f>
        <v>02000000FEFFFFFF</v>
      </c>
      <c r="I538" s="2" t="e">
        <f>_xlfn.LET(_xlpm.big,DEC2HEX(_xlfn.BITLSHIFT(M538-_xlfn.XLOOKUP(O538,Data!A:A,Data!F:F),4)+O538,8),_xlfn.CONCAT(MID(_xlpm.big,7,2),MID(_xlpm.big,5,2),MID(_xlpm.big,3,2),MID(_xlpm.big,1,2)))</f>
        <v>#NUM!</v>
      </c>
      <c r="J538" s="2" t="str">
        <f t="shared" si="32"/>
        <v>02000000</v>
      </c>
      <c r="K538" s="2" t="str">
        <f>_xlfn.LET(_xlpm.big,IF(H538,DEC2HEX(HEX2DEC(F538),8),DEC2HEX(N538-_xlfn.XLOOKUP(P538,Data!A:A,Data!F:F),8)),_xlfn.CONCAT(MID(_xlpm.big,7,2),MID(_xlpm.big,5,2),MID(_xlpm.big,3,2),MID(_xlpm.big,1,2)))</f>
        <v>FEFFFFFF</v>
      </c>
      <c r="L538" s="2">
        <f t="shared" si="33"/>
        <v>0</v>
      </c>
      <c r="M538" s="2">
        <f t="shared" si="34"/>
        <v>0</v>
      </c>
      <c r="N538" s="2">
        <f t="shared" si="35"/>
        <v>0</v>
      </c>
      <c r="O538" s="2" cm="1">
        <f t="array" ref="O538">_xlfn.IFS(M538&lt;Data!$F$3,0,M538&lt;Data!$F$4,1,TRUE,2)</f>
        <v>0</v>
      </c>
      <c r="P538" s="2" cm="1">
        <f t="array" ref="P538">_xlfn.IFS(H538,3,N538&lt;Data!$F$3,0,N538&lt;Data!$F$4,1,TRUE,2)</f>
        <v>0</v>
      </c>
    </row>
    <row r="539" spans="4:16">
      <c r="D539" s="3"/>
      <c r="E539" s="3"/>
      <c r="F539" s="3"/>
      <c r="G539" s="2" t="str" cm="1">
        <f t="array" ref="G539">_xlfn.CONCAT(IFERROR(I539:K539,""))</f>
        <v>02000000FEFFFFFF</v>
      </c>
      <c r="I539" s="2" t="e">
        <f>_xlfn.LET(_xlpm.big,DEC2HEX(_xlfn.BITLSHIFT(M539-_xlfn.XLOOKUP(O539,Data!A:A,Data!F:F),4)+O539,8),_xlfn.CONCAT(MID(_xlpm.big,7,2),MID(_xlpm.big,5,2),MID(_xlpm.big,3,2),MID(_xlpm.big,1,2)))</f>
        <v>#NUM!</v>
      </c>
      <c r="J539" s="2" t="str">
        <f t="shared" si="32"/>
        <v>02000000</v>
      </c>
      <c r="K539" s="2" t="str">
        <f>_xlfn.LET(_xlpm.big,IF(H539,DEC2HEX(HEX2DEC(F539),8),DEC2HEX(N539-_xlfn.XLOOKUP(P539,Data!A:A,Data!F:F),8)),_xlfn.CONCAT(MID(_xlpm.big,7,2),MID(_xlpm.big,5,2),MID(_xlpm.big,3,2),MID(_xlpm.big,1,2)))</f>
        <v>FEFFFFFF</v>
      </c>
      <c r="L539" s="2">
        <f t="shared" si="33"/>
        <v>0</v>
      </c>
      <c r="M539" s="2">
        <f t="shared" si="34"/>
        <v>0</v>
      </c>
      <c r="N539" s="2">
        <f t="shared" si="35"/>
        <v>0</v>
      </c>
      <c r="O539" s="2" cm="1">
        <f t="array" ref="O539">_xlfn.IFS(M539&lt;Data!$F$3,0,M539&lt;Data!$F$4,1,TRUE,2)</f>
        <v>0</v>
      </c>
      <c r="P539" s="2" cm="1">
        <f t="array" ref="P539">_xlfn.IFS(H539,3,N539&lt;Data!$F$3,0,N539&lt;Data!$F$4,1,TRUE,2)</f>
        <v>0</v>
      </c>
    </row>
    <row r="540" spans="4:16">
      <c r="D540" s="3"/>
      <c r="E540" s="3"/>
      <c r="F540" s="3"/>
      <c r="G540" s="2" t="str" cm="1">
        <f t="array" ref="G540">_xlfn.CONCAT(IFERROR(I540:K540,""))</f>
        <v>02000000FEFFFFFF</v>
      </c>
      <c r="I540" s="2" t="e">
        <f>_xlfn.LET(_xlpm.big,DEC2HEX(_xlfn.BITLSHIFT(M540-_xlfn.XLOOKUP(O540,Data!A:A,Data!F:F),4)+O540,8),_xlfn.CONCAT(MID(_xlpm.big,7,2),MID(_xlpm.big,5,2),MID(_xlpm.big,3,2),MID(_xlpm.big,1,2)))</f>
        <v>#NUM!</v>
      </c>
      <c r="J540" s="2" t="str">
        <f t="shared" si="32"/>
        <v>02000000</v>
      </c>
      <c r="K540" s="2" t="str">
        <f>_xlfn.LET(_xlpm.big,IF(H540,DEC2HEX(HEX2DEC(F540),8),DEC2HEX(N540-_xlfn.XLOOKUP(P540,Data!A:A,Data!F:F),8)),_xlfn.CONCAT(MID(_xlpm.big,7,2),MID(_xlpm.big,5,2),MID(_xlpm.big,3,2),MID(_xlpm.big,1,2)))</f>
        <v>FEFFFFFF</v>
      </c>
      <c r="L540" s="2">
        <f t="shared" si="33"/>
        <v>0</v>
      </c>
      <c r="M540" s="2">
        <f t="shared" si="34"/>
        <v>0</v>
      </c>
      <c r="N540" s="2">
        <f t="shared" si="35"/>
        <v>0</v>
      </c>
      <c r="O540" s="2" cm="1">
        <f t="array" ref="O540">_xlfn.IFS(M540&lt;Data!$F$3,0,M540&lt;Data!$F$4,1,TRUE,2)</f>
        <v>0</v>
      </c>
      <c r="P540" s="2" cm="1">
        <f t="array" ref="P540">_xlfn.IFS(H540,3,N540&lt;Data!$F$3,0,N540&lt;Data!$F$4,1,TRUE,2)</f>
        <v>0</v>
      </c>
    </row>
    <row r="541" spans="4:16">
      <c r="D541" s="3"/>
      <c r="E541" s="3"/>
      <c r="F541" s="3"/>
      <c r="G541" s="2" t="str" cm="1">
        <f t="array" ref="G541">_xlfn.CONCAT(IFERROR(I541:K541,""))</f>
        <v>02000000FEFFFFFF</v>
      </c>
      <c r="I541" s="2" t="e">
        <f>_xlfn.LET(_xlpm.big,DEC2HEX(_xlfn.BITLSHIFT(M541-_xlfn.XLOOKUP(O541,Data!A:A,Data!F:F),4)+O541,8),_xlfn.CONCAT(MID(_xlpm.big,7,2),MID(_xlpm.big,5,2),MID(_xlpm.big,3,2),MID(_xlpm.big,1,2)))</f>
        <v>#NUM!</v>
      </c>
      <c r="J541" s="2" t="str">
        <f t="shared" si="32"/>
        <v>02000000</v>
      </c>
      <c r="K541" s="2" t="str">
        <f>_xlfn.LET(_xlpm.big,IF(H541,DEC2HEX(HEX2DEC(F541),8),DEC2HEX(N541-_xlfn.XLOOKUP(P541,Data!A:A,Data!F:F),8)),_xlfn.CONCAT(MID(_xlpm.big,7,2),MID(_xlpm.big,5,2),MID(_xlpm.big,3,2),MID(_xlpm.big,1,2)))</f>
        <v>FEFFFFFF</v>
      </c>
      <c r="L541" s="2">
        <f t="shared" si="33"/>
        <v>0</v>
      </c>
      <c r="M541" s="2">
        <f t="shared" si="34"/>
        <v>0</v>
      </c>
      <c r="N541" s="2">
        <f t="shared" si="35"/>
        <v>0</v>
      </c>
      <c r="O541" s="2" cm="1">
        <f t="array" ref="O541">_xlfn.IFS(M541&lt;Data!$F$3,0,M541&lt;Data!$F$4,1,TRUE,2)</f>
        <v>0</v>
      </c>
      <c r="P541" s="2" cm="1">
        <f t="array" ref="P541">_xlfn.IFS(H541,3,N541&lt;Data!$F$3,0,N541&lt;Data!$F$4,1,TRUE,2)</f>
        <v>0</v>
      </c>
    </row>
    <row r="542" spans="4:16">
      <c r="D542" s="3"/>
      <c r="E542" s="3"/>
      <c r="F542" s="3"/>
      <c r="G542" s="2" t="str" cm="1">
        <f t="array" ref="G542">_xlfn.CONCAT(IFERROR(I542:K542,""))</f>
        <v>02000000FEFFFFFF</v>
      </c>
      <c r="I542" s="2" t="e">
        <f>_xlfn.LET(_xlpm.big,DEC2HEX(_xlfn.BITLSHIFT(M542-_xlfn.XLOOKUP(O542,Data!A:A,Data!F:F),4)+O542,8),_xlfn.CONCAT(MID(_xlpm.big,7,2),MID(_xlpm.big,5,2),MID(_xlpm.big,3,2),MID(_xlpm.big,1,2)))</f>
        <v>#NUM!</v>
      </c>
      <c r="J542" s="2" t="str">
        <f t="shared" si="32"/>
        <v>02000000</v>
      </c>
      <c r="K542" s="2" t="str">
        <f>_xlfn.LET(_xlpm.big,IF(H542,DEC2HEX(HEX2DEC(F542),8),DEC2HEX(N542-_xlfn.XLOOKUP(P542,Data!A:A,Data!F:F),8)),_xlfn.CONCAT(MID(_xlpm.big,7,2),MID(_xlpm.big,5,2),MID(_xlpm.big,3,2),MID(_xlpm.big,1,2)))</f>
        <v>FEFFFFFF</v>
      </c>
      <c r="L542" s="2">
        <f t="shared" si="33"/>
        <v>0</v>
      </c>
      <c r="M542" s="2">
        <f t="shared" si="34"/>
        <v>0</v>
      </c>
      <c r="N542" s="2">
        <f t="shared" si="35"/>
        <v>0</v>
      </c>
      <c r="O542" s="2" cm="1">
        <f t="array" ref="O542">_xlfn.IFS(M542&lt;Data!$F$3,0,M542&lt;Data!$F$4,1,TRUE,2)</f>
        <v>0</v>
      </c>
      <c r="P542" s="2" cm="1">
        <f t="array" ref="P542">_xlfn.IFS(H542,3,N542&lt;Data!$F$3,0,N542&lt;Data!$F$4,1,TRUE,2)</f>
        <v>0</v>
      </c>
    </row>
    <row r="543" spans="4:16">
      <c r="D543" s="3"/>
      <c r="E543" s="3"/>
      <c r="F543" s="3"/>
      <c r="G543" s="2" t="str" cm="1">
        <f t="array" ref="G543">_xlfn.CONCAT(IFERROR(I543:K543,""))</f>
        <v>02000000FEFFFFFF</v>
      </c>
      <c r="I543" s="2" t="e">
        <f>_xlfn.LET(_xlpm.big,DEC2HEX(_xlfn.BITLSHIFT(M543-_xlfn.XLOOKUP(O543,Data!A:A,Data!F:F),4)+O543,8),_xlfn.CONCAT(MID(_xlpm.big,7,2),MID(_xlpm.big,5,2),MID(_xlpm.big,3,2),MID(_xlpm.big,1,2)))</f>
        <v>#NUM!</v>
      </c>
      <c r="J543" s="2" t="str">
        <f t="shared" si="32"/>
        <v>02000000</v>
      </c>
      <c r="K543" s="2" t="str">
        <f>_xlfn.LET(_xlpm.big,IF(H543,DEC2HEX(HEX2DEC(F543),8),DEC2HEX(N543-_xlfn.XLOOKUP(P543,Data!A:A,Data!F:F),8)),_xlfn.CONCAT(MID(_xlpm.big,7,2),MID(_xlpm.big,5,2),MID(_xlpm.big,3,2),MID(_xlpm.big,1,2)))</f>
        <v>FEFFFFFF</v>
      </c>
      <c r="L543" s="2">
        <f t="shared" si="33"/>
        <v>0</v>
      </c>
      <c r="M543" s="2">
        <f t="shared" si="34"/>
        <v>0</v>
      </c>
      <c r="N543" s="2">
        <f t="shared" si="35"/>
        <v>0</v>
      </c>
      <c r="O543" s="2" cm="1">
        <f t="array" ref="O543">_xlfn.IFS(M543&lt;Data!$F$3,0,M543&lt;Data!$F$4,1,TRUE,2)</f>
        <v>0</v>
      </c>
      <c r="P543" s="2" cm="1">
        <f t="array" ref="P543">_xlfn.IFS(H543,3,N543&lt;Data!$F$3,0,N543&lt;Data!$F$4,1,TRUE,2)</f>
        <v>0</v>
      </c>
    </row>
    <row r="544" spans="4:16">
      <c r="D544" s="3"/>
      <c r="E544" s="3"/>
      <c r="F544" s="3"/>
      <c r="G544" s="2" t="str" cm="1">
        <f t="array" ref="G544">_xlfn.CONCAT(IFERROR(I544:K544,""))</f>
        <v>02000000FEFFFFFF</v>
      </c>
      <c r="I544" s="2" t="e">
        <f>_xlfn.LET(_xlpm.big,DEC2HEX(_xlfn.BITLSHIFT(M544-_xlfn.XLOOKUP(O544,Data!A:A,Data!F:F),4)+O544,8),_xlfn.CONCAT(MID(_xlpm.big,7,2),MID(_xlpm.big,5,2),MID(_xlpm.big,3,2),MID(_xlpm.big,1,2)))</f>
        <v>#NUM!</v>
      </c>
      <c r="J544" s="2" t="str">
        <f t="shared" si="32"/>
        <v>02000000</v>
      </c>
      <c r="K544" s="2" t="str">
        <f>_xlfn.LET(_xlpm.big,IF(H544,DEC2HEX(HEX2DEC(F544),8),DEC2HEX(N544-_xlfn.XLOOKUP(P544,Data!A:A,Data!F:F),8)),_xlfn.CONCAT(MID(_xlpm.big,7,2),MID(_xlpm.big,5,2),MID(_xlpm.big,3,2),MID(_xlpm.big,1,2)))</f>
        <v>FEFFFFFF</v>
      </c>
      <c r="L544" s="2">
        <f t="shared" si="33"/>
        <v>0</v>
      </c>
      <c r="M544" s="2">
        <f t="shared" si="34"/>
        <v>0</v>
      </c>
      <c r="N544" s="2">
        <f t="shared" si="35"/>
        <v>0</v>
      </c>
      <c r="O544" s="2" cm="1">
        <f t="array" ref="O544">_xlfn.IFS(M544&lt;Data!$F$3,0,M544&lt;Data!$F$4,1,TRUE,2)</f>
        <v>0</v>
      </c>
      <c r="P544" s="2" cm="1">
        <f t="array" ref="P544">_xlfn.IFS(H544,3,N544&lt;Data!$F$3,0,N544&lt;Data!$F$4,1,TRUE,2)</f>
        <v>0</v>
      </c>
    </row>
    <row r="545" spans="4:16">
      <c r="D545" s="3"/>
      <c r="E545" s="3"/>
      <c r="F545" s="3"/>
      <c r="G545" s="2" t="str" cm="1">
        <f t="array" ref="G545">_xlfn.CONCAT(IFERROR(I545:K545,""))</f>
        <v>02000000FEFFFFFF</v>
      </c>
      <c r="I545" s="2" t="e">
        <f>_xlfn.LET(_xlpm.big,DEC2HEX(_xlfn.BITLSHIFT(M545-_xlfn.XLOOKUP(O545,Data!A:A,Data!F:F),4)+O545,8),_xlfn.CONCAT(MID(_xlpm.big,7,2),MID(_xlpm.big,5,2),MID(_xlpm.big,3,2),MID(_xlpm.big,1,2)))</f>
        <v>#NUM!</v>
      </c>
      <c r="J545" s="2" t="str">
        <f t="shared" si="32"/>
        <v>02000000</v>
      </c>
      <c r="K545" s="2" t="str">
        <f>_xlfn.LET(_xlpm.big,IF(H545,DEC2HEX(HEX2DEC(F545),8),DEC2HEX(N545-_xlfn.XLOOKUP(P545,Data!A:A,Data!F:F),8)),_xlfn.CONCAT(MID(_xlpm.big,7,2),MID(_xlpm.big,5,2),MID(_xlpm.big,3,2),MID(_xlpm.big,1,2)))</f>
        <v>FEFFFFFF</v>
      </c>
      <c r="L545" s="2">
        <f t="shared" si="33"/>
        <v>0</v>
      </c>
      <c r="M545" s="2">
        <f t="shared" si="34"/>
        <v>0</v>
      </c>
      <c r="N545" s="2">
        <f t="shared" si="35"/>
        <v>0</v>
      </c>
      <c r="O545" s="2" cm="1">
        <f t="array" ref="O545">_xlfn.IFS(M545&lt;Data!$F$3,0,M545&lt;Data!$F$4,1,TRUE,2)</f>
        <v>0</v>
      </c>
      <c r="P545" s="2" cm="1">
        <f t="array" ref="P545">_xlfn.IFS(H545,3,N545&lt;Data!$F$3,0,N545&lt;Data!$F$4,1,TRUE,2)</f>
        <v>0</v>
      </c>
    </row>
    <row r="546" spans="4:16">
      <c r="D546" s="3"/>
      <c r="E546" s="3"/>
      <c r="F546" s="3"/>
      <c r="G546" s="2" t="str" cm="1">
        <f t="array" ref="G546">_xlfn.CONCAT(IFERROR(I546:K546,""))</f>
        <v>02000000FEFFFFFF</v>
      </c>
      <c r="I546" s="2" t="e">
        <f>_xlfn.LET(_xlpm.big,DEC2HEX(_xlfn.BITLSHIFT(M546-_xlfn.XLOOKUP(O546,Data!A:A,Data!F:F),4)+O546,8),_xlfn.CONCAT(MID(_xlpm.big,7,2),MID(_xlpm.big,5,2),MID(_xlpm.big,3,2),MID(_xlpm.big,1,2)))</f>
        <v>#NUM!</v>
      </c>
      <c r="J546" s="2" t="str">
        <f t="shared" si="32"/>
        <v>02000000</v>
      </c>
      <c r="K546" s="2" t="str">
        <f>_xlfn.LET(_xlpm.big,IF(H546,DEC2HEX(HEX2DEC(F546),8),DEC2HEX(N546-_xlfn.XLOOKUP(P546,Data!A:A,Data!F:F),8)),_xlfn.CONCAT(MID(_xlpm.big,7,2),MID(_xlpm.big,5,2),MID(_xlpm.big,3,2),MID(_xlpm.big,1,2)))</f>
        <v>FEFFFFFF</v>
      </c>
      <c r="L546" s="2">
        <f t="shared" si="33"/>
        <v>0</v>
      </c>
      <c r="M546" s="2">
        <f t="shared" si="34"/>
        <v>0</v>
      </c>
      <c r="N546" s="2">
        <f t="shared" si="35"/>
        <v>0</v>
      </c>
      <c r="O546" s="2" cm="1">
        <f t="array" ref="O546">_xlfn.IFS(M546&lt;Data!$F$3,0,M546&lt;Data!$F$4,1,TRUE,2)</f>
        <v>0</v>
      </c>
      <c r="P546" s="2" cm="1">
        <f t="array" ref="P546">_xlfn.IFS(H546,3,N546&lt;Data!$F$3,0,N546&lt;Data!$F$4,1,TRUE,2)</f>
        <v>0</v>
      </c>
    </row>
    <row r="547" spans="4:16">
      <c r="D547" s="3"/>
      <c r="E547" s="3"/>
      <c r="F547" s="3"/>
      <c r="G547" s="2" t="str" cm="1">
        <f t="array" ref="G547">_xlfn.CONCAT(IFERROR(I547:K547,""))</f>
        <v>02000000FEFFFFFF</v>
      </c>
      <c r="I547" s="2" t="e">
        <f>_xlfn.LET(_xlpm.big,DEC2HEX(_xlfn.BITLSHIFT(M547-_xlfn.XLOOKUP(O547,Data!A:A,Data!F:F),4)+O547,8),_xlfn.CONCAT(MID(_xlpm.big,7,2),MID(_xlpm.big,5,2),MID(_xlpm.big,3,2),MID(_xlpm.big,1,2)))</f>
        <v>#NUM!</v>
      </c>
      <c r="J547" s="2" t="str">
        <f t="shared" si="32"/>
        <v>02000000</v>
      </c>
      <c r="K547" s="2" t="str">
        <f>_xlfn.LET(_xlpm.big,IF(H547,DEC2HEX(HEX2DEC(F547),8),DEC2HEX(N547-_xlfn.XLOOKUP(P547,Data!A:A,Data!F:F),8)),_xlfn.CONCAT(MID(_xlpm.big,7,2),MID(_xlpm.big,5,2),MID(_xlpm.big,3,2),MID(_xlpm.big,1,2)))</f>
        <v>FEFFFFFF</v>
      </c>
      <c r="L547" s="2">
        <f t="shared" si="33"/>
        <v>0</v>
      </c>
      <c r="M547" s="2">
        <f t="shared" si="34"/>
        <v>0</v>
      </c>
      <c r="N547" s="2">
        <f t="shared" si="35"/>
        <v>0</v>
      </c>
      <c r="O547" s="2" cm="1">
        <f t="array" ref="O547">_xlfn.IFS(M547&lt;Data!$F$3,0,M547&lt;Data!$F$4,1,TRUE,2)</f>
        <v>0</v>
      </c>
      <c r="P547" s="2" cm="1">
        <f t="array" ref="P547">_xlfn.IFS(H547,3,N547&lt;Data!$F$3,0,N547&lt;Data!$F$4,1,TRUE,2)</f>
        <v>0</v>
      </c>
    </row>
    <row r="548" spans="4:16">
      <c r="D548" s="3"/>
      <c r="E548" s="3"/>
      <c r="F548" s="3"/>
      <c r="G548" s="2" t="str" cm="1">
        <f t="array" ref="G548">_xlfn.CONCAT(IFERROR(I548:K548,""))</f>
        <v>02000000FEFFFFFF</v>
      </c>
      <c r="I548" s="2" t="e">
        <f>_xlfn.LET(_xlpm.big,DEC2HEX(_xlfn.BITLSHIFT(M548-_xlfn.XLOOKUP(O548,Data!A:A,Data!F:F),4)+O548,8),_xlfn.CONCAT(MID(_xlpm.big,7,2),MID(_xlpm.big,5,2),MID(_xlpm.big,3,2),MID(_xlpm.big,1,2)))</f>
        <v>#NUM!</v>
      </c>
      <c r="J548" s="2" t="str">
        <f t="shared" si="32"/>
        <v>02000000</v>
      </c>
      <c r="K548" s="2" t="str">
        <f>_xlfn.LET(_xlpm.big,IF(H548,DEC2HEX(HEX2DEC(F548),8),DEC2HEX(N548-_xlfn.XLOOKUP(P548,Data!A:A,Data!F:F),8)),_xlfn.CONCAT(MID(_xlpm.big,7,2),MID(_xlpm.big,5,2),MID(_xlpm.big,3,2),MID(_xlpm.big,1,2)))</f>
        <v>FEFFFFFF</v>
      </c>
      <c r="L548" s="2">
        <f t="shared" si="33"/>
        <v>0</v>
      </c>
      <c r="M548" s="2">
        <f t="shared" si="34"/>
        <v>0</v>
      </c>
      <c r="N548" s="2">
        <f t="shared" si="35"/>
        <v>0</v>
      </c>
      <c r="O548" s="2" cm="1">
        <f t="array" ref="O548">_xlfn.IFS(M548&lt;Data!$F$3,0,M548&lt;Data!$F$4,1,TRUE,2)</f>
        <v>0</v>
      </c>
      <c r="P548" s="2" cm="1">
        <f t="array" ref="P548">_xlfn.IFS(H548,3,N548&lt;Data!$F$3,0,N548&lt;Data!$F$4,1,TRUE,2)</f>
        <v>0</v>
      </c>
    </row>
    <row r="549" spans="4:16">
      <c r="D549" s="3"/>
      <c r="E549" s="3"/>
      <c r="F549" s="3"/>
      <c r="G549" s="2" t="str" cm="1">
        <f t="array" ref="G549">_xlfn.CONCAT(IFERROR(I549:K549,""))</f>
        <v>02000000FEFFFFFF</v>
      </c>
      <c r="I549" s="2" t="e">
        <f>_xlfn.LET(_xlpm.big,DEC2HEX(_xlfn.BITLSHIFT(M549-_xlfn.XLOOKUP(O549,Data!A:A,Data!F:F),4)+O549,8),_xlfn.CONCAT(MID(_xlpm.big,7,2),MID(_xlpm.big,5,2),MID(_xlpm.big,3,2),MID(_xlpm.big,1,2)))</f>
        <v>#NUM!</v>
      </c>
      <c r="J549" s="2" t="str">
        <f t="shared" si="32"/>
        <v>02000000</v>
      </c>
      <c r="K549" s="2" t="str">
        <f>_xlfn.LET(_xlpm.big,IF(H549,DEC2HEX(HEX2DEC(F549),8),DEC2HEX(N549-_xlfn.XLOOKUP(P549,Data!A:A,Data!F:F),8)),_xlfn.CONCAT(MID(_xlpm.big,7,2),MID(_xlpm.big,5,2),MID(_xlpm.big,3,2),MID(_xlpm.big,1,2)))</f>
        <v>FEFFFFFF</v>
      </c>
      <c r="L549" s="2">
        <f t="shared" si="33"/>
        <v>0</v>
      </c>
      <c r="M549" s="2">
        <f t="shared" si="34"/>
        <v>0</v>
      </c>
      <c r="N549" s="2">
        <f t="shared" si="35"/>
        <v>0</v>
      </c>
      <c r="O549" s="2" cm="1">
        <f t="array" ref="O549">_xlfn.IFS(M549&lt;Data!$F$3,0,M549&lt;Data!$F$4,1,TRUE,2)</f>
        <v>0</v>
      </c>
      <c r="P549" s="2" cm="1">
        <f t="array" ref="P549">_xlfn.IFS(H549,3,N549&lt;Data!$F$3,0,N549&lt;Data!$F$4,1,TRUE,2)</f>
        <v>0</v>
      </c>
    </row>
    <row r="550" spans="4:16">
      <c r="D550" s="3"/>
      <c r="E550" s="3"/>
      <c r="F550" s="3"/>
      <c r="G550" s="2" t="str" cm="1">
        <f t="array" ref="G550">_xlfn.CONCAT(IFERROR(I550:K550,""))</f>
        <v>02000000FEFFFFFF</v>
      </c>
      <c r="I550" s="2" t="e">
        <f>_xlfn.LET(_xlpm.big,DEC2HEX(_xlfn.BITLSHIFT(M550-_xlfn.XLOOKUP(O550,Data!A:A,Data!F:F),4)+O550,8),_xlfn.CONCAT(MID(_xlpm.big,7,2),MID(_xlpm.big,5,2),MID(_xlpm.big,3,2),MID(_xlpm.big,1,2)))</f>
        <v>#NUM!</v>
      </c>
      <c r="J550" s="2" t="str">
        <f t="shared" si="32"/>
        <v>02000000</v>
      </c>
      <c r="K550" s="2" t="str">
        <f>_xlfn.LET(_xlpm.big,IF(H550,DEC2HEX(HEX2DEC(F550),8),DEC2HEX(N550-_xlfn.XLOOKUP(P550,Data!A:A,Data!F:F),8)),_xlfn.CONCAT(MID(_xlpm.big,7,2),MID(_xlpm.big,5,2),MID(_xlpm.big,3,2),MID(_xlpm.big,1,2)))</f>
        <v>FEFFFFFF</v>
      </c>
      <c r="L550" s="2">
        <f t="shared" si="33"/>
        <v>0</v>
      </c>
      <c r="M550" s="2">
        <f t="shared" si="34"/>
        <v>0</v>
      </c>
      <c r="N550" s="2">
        <f t="shared" si="35"/>
        <v>0</v>
      </c>
      <c r="O550" s="2" cm="1">
        <f t="array" ref="O550">_xlfn.IFS(M550&lt;Data!$F$3,0,M550&lt;Data!$F$4,1,TRUE,2)</f>
        <v>0</v>
      </c>
      <c r="P550" s="2" cm="1">
        <f t="array" ref="P550">_xlfn.IFS(H550,3,N550&lt;Data!$F$3,0,N550&lt;Data!$F$4,1,TRUE,2)</f>
        <v>0</v>
      </c>
    </row>
    <row r="551" spans="4:16">
      <c r="D551" s="3"/>
      <c r="E551" s="3"/>
      <c r="G551" s="2" t="str" cm="1">
        <f t="array" ref="G551">_xlfn.CONCAT(IFERROR(I551:K551,""))</f>
        <v>02000000FEFFFFFF</v>
      </c>
      <c r="I551" s="2" t="e">
        <f>_xlfn.LET(_xlpm.big,DEC2HEX(_xlfn.BITLSHIFT(M551-_xlfn.XLOOKUP(O551,Data!A:A,Data!F:F),4)+O551,8),_xlfn.CONCAT(MID(_xlpm.big,7,2),MID(_xlpm.big,5,2),MID(_xlpm.big,3,2),MID(_xlpm.big,1,2)))</f>
        <v>#NUM!</v>
      </c>
      <c r="J551" s="2" t="str">
        <f t="shared" si="32"/>
        <v>02000000</v>
      </c>
      <c r="K551" s="2" t="str">
        <f>_xlfn.LET(_xlpm.big,IF(H551,DEC2HEX(HEX2DEC(F551),8),DEC2HEX(N551-_xlfn.XLOOKUP(P551,Data!A:A,Data!F:F),8)),_xlfn.CONCAT(MID(_xlpm.big,7,2),MID(_xlpm.big,5,2),MID(_xlpm.big,3,2),MID(_xlpm.big,1,2)))</f>
        <v>FEFFFFFF</v>
      </c>
      <c r="L551" s="2">
        <f t="shared" si="33"/>
        <v>0</v>
      </c>
      <c r="M551" s="2">
        <f t="shared" si="34"/>
        <v>0</v>
      </c>
      <c r="N551" s="2">
        <f t="shared" si="35"/>
        <v>0</v>
      </c>
      <c r="O551" s="2" cm="1">
        <f t="array" ref="O551">_xlfn.IFS(M551&lt;Data!$F$3,0,M551&lt;Data!$F$4,1,TRUE,2)</f>
        <v>0</v>
      </c>
      <c r="P551" s="2" cm="1">
        <f t="array" ref="P551">_xlfn.IFS(H551,3,N551&lt;Data!$F$3,0,N551&lt;Data!$F$4,1,TRUE,2)</f>
        <v>0</v>
      </c>
    </row>
    <row r="552" spans="4:16">
      <c r="D552" s="3"/>
      <c r="E552" s="3"/>
      <c r="F552" s="3"/>
      <c r="G552" s="2" t="str" cm="1">
        <f t="array" ref="G552">_xlfn.CONCAT(IFERROR(I552:K552,""))</f>
        <v>02000000FEFFFFFF</v>
      </c>
      <c r="I552" s="2" t="e">
        <f>_xlfn.LET(_xlpm.big,DEC2HEX(_xlfn.BITLSHIFT(M552-_xlfn.XLOOKUP(O552,Data!A:A,Data!F:F),4)+O552,8),_xlfn.CONCAT(MID(_xlpm.big,7,2),MID(_xlpm.big,5,2),MID(_xlpm.big,3,2),MID(_xlpm.big,1,2)))</f>
        <v>#NUM!</v>
      </c>
      <c r="J552" s="2" t="str">
        <f t="shared" si="32"/>
        <v>02000000</v>
      </c>
      <c r="K552" s="2" t="str">
        <f>_xlfn.LET(_xlpm.big,IF(H552,DEC2HEX(HEX2DEC(F552),8),DEC2HEX(N552-_xlfn.XLOOKUP(P552,Data!A:A,Data!F:F),8)),_xlfn.CONCAT(MID(_xlpm.big,7,2),MID(_xlpm.big,5,2),MID(_xlpm.big,3,2),MID(_xlpm.big,1,2)))</f>
        <v>FEFFFFFF</v>
      </c>
      <c r="L552" s="2">
        <f t="shared" si="33"/>
        <v>0</v>
      </c>
      <c r="M552" s="2">
        <f t="shared" si="34"/>
        <v>0</v>
      </c>
      <c r="N552" s="2">
        <f t="shared" si="35"/>
        <v>0</v>
      </c>
      <c r="O552" s="2" cm="1">
        <f t="array" ref="O552">_xlfn.IFS(M552&lt;Data!$F$3,0,M552&lt;Data!$F$4,1,TRUE,2)</f>
        <v>0</v>
      </c>
      <c r="P552" s="2" cm="1">
        <f t="array" ref="P552">_xlfn.IFS(H552,3,N552&lt;Data!$F$3,0,N552&lt;Data!$F$4,1,TRUE,2)</f>
        <v>0</v>
      </c>
    </row>
    <row r="553" spans="4:16">
      <c r="D553" s="3"/>
      <c r="E553" s="3"/>
      <c r="F553" s="3"/>
      <c r="G553" s="2" t="str" cm="1">
        <f t="array" ref="G553">_xlfn.CONCAT(IFERROR(I553:K553,""))</f>
        <v>02000000FEFFFFFF</v>
      </c>
      <c r="I553" s="2" t="e">
        <f>_xlfn.LET(_xlpm.big,DEC2HEX(_xlfn.BITLSHIFT(M553-_xlfn.XLOOKUP(O553,Data!A:A,Data!F:F),4)+O553,8),_xlfn.CONCAT(MID(_xlpm.big,7,2),MID(_xlpm.big,5,2),MID(_xlpm.big,3,2),MID(_xlpm.big,1,2)))</f>
        <v>#NUM!</v>
      </c>
      <c r="J553" s="2" t="str">
        <f t="shared" si="32"/>
        <v>02000000</v>
      </c>
      <c r="K553" s="2" t="str">
        <f>_xlfn.LET(_xlpm.big,IF(H553,DEC2HEX(HEX2DEC(F553),8),DEC2HEX(N553-_xlfn.XLOOKUP(P553,Data!A:A,Data!F:F),8)),_xlfn.CONCAT(MID(_xlpm.big,7,2),MID(_xlpm.big,5,2),MID(_xlpm.big,3,2),MID(_xlpm.big,1,2)))</f>
        <v>FEFFFFFF</v>
      </c>
      <c r="L553" s="2">
        <f t="shared" si="33"/>
        <v>0</v>
      </c>
      <c r="M553" s="2">
        <f t="shared" si="34"/>
        <v>0</v>
      </c>
      <c r="N553" s="2">
        <f t="shared" si="35"/>
        <v>0</v>
      </c>
      <c r="O553" s="2" cm="1">
        <f t="array" ref="O553">_xlfn.IFS(M553&lt;Data!$F$3,0,M553&lt;Data!$F$4,1,TRUE,2)</f>
        <v>0</v>
      </c>
      <c r="P553" s="2" cm="1">
        <f t="array" ref="P553">_xlfn.IFS(H553,3,N553&lt;Data!$F$3,0,N553&lt;Data!$F$4,1,TRUE,2)</f>
        <v>0</v>
      </c>
    </row>
    <row r="554" spans="4:16">
      <c r="D554" s="3"/>
      <c r="E554" s="3"/>
      <c r="F554" s="3"/>
      <c r="G554" s="2" t="str" cm="1">
        <f t="array" ref="G554">_xlfn.CONCAT(IFERROR(I554:K554,""))</f>
        <v>02000000FEFFFFFF</v>
      </c>
      <c r="I554" s="2" t="e">
        <f>_xlfn.LET(_xlpm.big,DEC2HEX(_xlfn.BITLSHIFT(M554-_xlfn.XLOOKUP(O554,Data!A:A,Data!F:F),4)+O554,8),_xlfn.CONCAT(MID(_xlpm.big,7,2),MID(_xlpm.big,5,2),MID(_xlpm.big,3,2),MID(_xlpm.big,1,2)))</f>
        <v>#NUM!</v>
      </c>
      <c r="J554" s="2" t="str">
        <f t="shared" si="32"/>
        <v>02000000</v>
      </c>
      <c r="K554" s="2" t="str">
        <f>_xlfn.LET(_xlpm.big,IF(H554,DEC2HEX(HEX2DEC(F554),8),DEC2HEX(N554-_xlfn.XLOOKUP(P554,Data!A:A,Data!F:F),8)),_xlfn.CONCAT(MID(_xlpm.big,7,2),MID(_xlpm.big,5,2),MID(_xlpm.big,3,2),MID(_xlpm.big,1,2)))</f>
        <v>FEFFFFFF</v>
      </c>
      <c r="L554" s="2">
        <f t="shared" si="33"/>
        <v>0</v>
      </c>
      <c r="M554" s="2">
        <f t="shared" si="34"/>
        <v>0</v>
      </c>
      <c r="N554" s="2">
        <f t="shared" si="35"/>
        <v>0</v>
      </c>
      <c r="O554" s="2" cm="1">
        <f t="array" ref="O554">_xlfn.IFS(M554&lt;Data!$F$3,0,M554&lt;Data!$F$4,1,TRUE,2)</f>
        <v>0</v>
      </c>
      <c r="P554" s="2" cm="1">
        <f t="array" ref="P554">_xlfn.IFS(H554,3,N554&lt;Data!$F$3,0,N554&lt;Data!$F$4,1,TRUE,2)</f>
        <v>0</v>
      </c>
    </row>
    <row r="555" spans="4:16">
      <c r="D555" s="3"/>
      <c r="E555" s="3"/>
      <c r="F555" s="3"/>
      <c r="G555" s="2" t="str" cm="1">
        <f t="array" ref="G555">_xlfn.CONCAT(IFERROR(I555:K555,""))</f>
        <v>02000000FEFFFFFF</v>
      </c>
      <c r="I555" s="2" t="e">
        <f>_xlfn.LET(_xlpm.big,DEC2HEX(_xlfn.BITLSHIFT(M555-_xlfn.XLOOKUP(O555,Data!A:A,Data!F:F),4)+O555,8),_xlfn.CONCAT(MID(_xlpm.big,7,2),MID(_xlpm.big,5,2),MID(_xlpm.big,3,2),MID(_xlpm.big,1,2)))</f>
        <v>#NUM!</v>
      </c>
      <c r="J555" s="2" t="str">
        <f t="shared" si="32"/>
        <v>02000000</v>
      </c>
      <c r="K555" s="2" t="str">
        <f>_xlfn.LET(_xlpm.big,IF(H555,DEC2HEX(HEX2DEC(F555),8),DEC2HEX(N555-_xlfn.XLOOKUP(P555,Data!A:A,Data!F:F),8)),_xlfn.CONCAT(MID(_xlpm.big,7,2),MID(_xlpm.big,5,2),MID(_xlpm.big,3,2),MID(_xlpm.big,1,2)))</f>
        <v>FEFFFFFF</v>
      </c>
      <c r="L555" s="2">
        <f t="shared" si="33"/>
        <v>0</v>
      </c>
      <c r="M555" s="2">
        <f t="shared" si="34"/>
        <v>0</v>
      </c>
      <c r="N555" s="2">
        <f t="shared" si="35"/>
        <v>0</v>
      </c>
      <c r="O555" s="2" cm="1">
        <f t="array" ref="O555">_xlfn.IFS(M555&lt;Data!$F$3,0,M555&lt;Data!$F$4,1,TRUE,2)</f>
        <v>0</v>
      </c>
      <c r="P555" s="2" cm="1">
        <f t="array" ref="P555">_xlfn.IFS(H555,3,N555&lt;Data!$F$3,0,N555&lt;Data!$F$4,1,TRUE,2)</f>
        <v>0</v>
      </c>
    </row>
    <row r="556" spans="4:16">
      <c r="D556" s="3"/>
      <c r="E556" s="3"/>
      <c r="F556" s="3"/>
      <c r="G556" s="2" t="str" cm="1">
        <f t="array" ref="G556">_xlfn.CONCAT(IFERROR(I556:K556,""))</f>
        <v>02000000FEFFFFFF</v>
      </c>
      <c r="I556" s="2" t="e">
        <f>_xlfn.LET(_xlpm.big,DEC2HEX(_xlfn.BITLSHIFT(M556-_xlfn.XLOOKUP(O556,Data!A:A,Data!F:F),4)+O556,8),_xlfn.CONCAT(MID(_xlpm.big,7,2),MID(_xlpm.big,5,2),MID(_xlpm.big,3,2),MID(_xlpm.big,1,2)))</f>
        <v>#NUM!</v>
      </c>
      <c r="J556" s="2" t="str">
        <f t="shared" si="32"/>
        <v>02000000</v>
      </c>
      <c r="K556" s="2" t="str">
        <f>_xlfn.LET(_xlpm.big,IF(H556,DEC2HEX(HEX2DEC(F556),8),DEC2HEX(N556-_xlfn.XLOOKUP(P556,Data!A:A,Data!F:F),8)),_xlfn.CONCAT(MID(_xlpm.big,7,2),MID(_xlpm.big,5,2),MID(_xlpm.big,3,2),MID(_xlpm.big,1,2)))</f>
        <v>FEFFFFFF</v>
      </c>
      <c r="L556" s="2">
        <f t="shared" si="33"/>
        <v>0</v>
      </c>
      <c r="M556" s="2">
        <f t="shared" si="34"/>
        <v>0</v>
      </c>
      <c r="N556" s="2">
        <f t="shared" si="35"/>
        <v>0</v>
      </c>
      <c r="O556" s="2" cm="1">
        <f t="array" ref="O556">_xlfn.IFS(M556&lt;Data!$F$3,0,M556&lt;Data!$F$4,1,TRUE,2)</f>
        <v>0</v>
      </c>
      <c r="P556" s="2" cm="1">
        <f t="array" ref="P556">_xlfn.IFS(H556,3,N556&lt;Data!$F$3,0,N556&lt;Data!$F$4,1,TRUE,2)</f>
        <v>0</v>
      </c>
    </row>
    <row r="557" spans="4:16">
      <c r="D557" s="3"/>
      <c r="E557" s="3"/>
      <c r="F557" s="3"/>
      <c r="G557" s="2" t="str" cm="1">
        <f t="array" ref="G557">_xlfn.CONCAT(IFERROR(I557:K557,""))</f>
        <v>02000000FEFFFFFF</v>
      </c>
      <c r="I557" s="2" t="e">
        <f>_xlfn.LET(_xlpm.big,DEC2HEX(_xlfn.BITLSHIFT(M557-_xlfn.XLOOKUP(O557,Data!A:A,Data!F:F),4)+O557,8),_xlfn.CONCAT(MID(_xlpm.big,7,2),MID(_xlpm.big,5,2),MID(_xlpm.big,3,2),MID(_xlpm.big,1,2)))</f>
        <v>#NUM!</v>
      </c>
      <c r="J557" s="2" t="str">
        <f t="shared" si="32"/>
        <v>02000000</v>
      </c>
      <c r="K557" s="2" t="str">
        <f>_xlfn.LET(_xlpm.big,IF(H557,DEC2HEX(HEX2DEC(F557),8),DEC2HEX(N557-_xlfn.XLOOKUP(P557,Data!A:A,Data!F:F),8)),_xlfn.CONCAT(MID(_xlpm.big,7,2),MID(_xlpm.big,5,2),MID(_xlpm.big,3,2),MID(_xlpm.big,1,2)))</f>
        <v>FEFFFFFF</v>
      </c>
      <c r="L557" s="2">
        <f t="shared" si="33"/>
        <v>0</v>
      </c>
      <c r="M557" s="2">
        <f t="shared" si="34"/>
        <v>0</v>
      </c>
      <c r="N557" s="2">
        <f t="shared" si="35"/>
        <v>0</v>
      </c>
      <c r="O557" s="2" cm="1">
        <f t="array" ref="O557">_xlfn.IFS(M557&lt;Data!$F$3,0,M557&lt;Data!$F$4,1,TRUE,2)</f>
        <v>0</v>
      </c>
      <c r="P557" s="2" cm="1">
        <f t="array" ref="P557">_xlfn.IFS(H557,3,N557&lt;Data!$F$3,0,N557&lt;Data!$F$4,1,TRUE,2)</f>
        <v>0</v>
      </c>
    </row>
    <row r="558" spans="4:16">
      <c r="D558" s="3"/>
      <c r="E558" s="3"/>
      <c r="F558" s="3"/>
      <c r="G558" s="2" t="str" cm="1">
        <f t="array" ref="G558">_xlfn.CONCAT(IFERROR(I558:K558,""))</f>
        <v>02000000FEFFFFFF</v>
      </c>
      <c r="I558" s="2" t="e">
        <f>_xlfn.LET(_xlpm.big,DEC2HEX(_xlfn.BITLSHIFT(M558-_xlfn.XLOOKUP(O558,Data!A:A,Data!F:F),4)+O558,8),_xlfn.CONCAT(MID(_xlpm.big,7,2),MID(_xlpm.big,5,2),MID(_xlpm.big,3,2),MID(_xlpm.big,1,2)))</f>
        <v>#NUM!</v>
      </c>
      <c r="J558" s="2" t="str">
        <f t="shared" si="32"/>
        <v>02000000</v>
      </c>
      <c r="K558" s="2" t="str">
        <f>_xlfn.LET(_xlpm.big,IF(H558,DEC2HEX(HEX2DEC(F558),8),DEC2HEX(N558-_xlfn.XLOOKUP(P558,Data!A:A,Data!F:F),8)),_xlfn.CONCAT(MID(_xlpm.big,7,2),MID(_xlpm.big,5,2),MID(_xlpm.big,3,2),MID(_xlpm.big,1,2)))</f>
        <v>FEFFFFFF</v>
      </c>
      <c r="L558" s="2">
        <f t="shared" si="33"/>
        <v>0</v>
      </c>
      <c r="M558" s="2">
        <f t="shared" si="34"/>
        <v>0</v>
      </c>
      <c r="N558" s="2">
        <f t="shared" si="35"/>
        <v>0</v>
      </c>
      <c r="O558" s="2" cm="1">
        <f t="array" ref="O558">_xlfn.IFS(M558&lt;Data!$F$3,0,M558&lt;Data!$F$4,1,TRUE,2)</f>
        <v>0</v>
      </c>
      <c r="P558" s="2" cm="1">
        <f t="array" ref="P558">_xlfn.IFS(H558,3,N558&lt;Data!$F$3,0,N558&lt;Data!$F$4,1,TRUE,2)</f>
        <v>0</v>
      </c>
    </row>
    <row r="559" spans="4:16">
      <c r="D559" s="3"/>
      <c r="E559" s="3"/>
      <c r="F559" s="3"/>
      <c r="G559" s="2" t="str" cm="1">
        <f t="array" ref="G559">_xlfn.CONCAT(IFERROR(I559:K559,""))</f>
        <v>02000000FEFFFFFF</v>
      </c>
      <c r="I559" s="2" t="e">
        <f>_xlfn.LET(_xlpm.big,DEC2HEX(_xlfn.BITLSHIFT(M559-_xlfn.XLOOKUP(O559,Data!A:A,Data!F:F),4)+O559,8),_xlfn.CONCAT(MID(_xlpm.big,7,2),MID(_xlpm.big,5,2),MID(_xlpm.big,3,2),MID(_xlpm.big,1,2)))</f>
        <v>#NUM!</v>
      </c>
      <c r="J559" s="2" t="str">
        <f t="shared" si="32"/>
        <v>02000000</v>
      </c>
      <c r="K559" s="2" t="str">
        <f>_xlfn.LET(_xlpm.big,IF(H559,DEC2HEX(HEX2DEC(F559),8),DEC2HEX(N559-_xlfn.XLOOKUP(P559,Data!A:A,Data!F:F),8)),_xlfn.CONCAT(MID(_xlpm.big,7,2),MID(_xlpm.big,5,2),MID(_xlpm.big,3,2),MID(_xlpm.big,1,2)))</f>
        <v>FEFFFFFF</v>
      </c>
      <c r="L559" s="2">
        <f t="shared" si="33"/>
        <v>0</v>
      </c>
      <c r="M559" s="2">
        <f t="shared" si="34"/>
        <v>0</v>
      </c>
      <c r="N559" s="2">
        <f t="shared" si="35"/>
        <v>0</v>
      </c>
      <c r="O559" s="2" cm="1">
        <f t="array" ref="O559">_xlfn.IFS(M559&lt;Data!$F$3,0,M559&lt;Data!$F$4,1,TRUE,2)</f>
        <v>0</v>
      </c>
      <c r="P559" s="2" cm="1">
        <f t="array" ref="P559">_xlfn.IFS(H559,3,N559&lt;Data!$F$3,0,N559&lt;Data!$F$4,1,TRUE,2)</f>
        <v>0</v>
      </c>
    </row>
    <row r="560" spans="4:16">
      <c r="D560" s="3"/>
      <c r="E560" s="3"/>
      <c r="F560" s="3"/>
      <c r="G560" s="2" t="str" cm="1">
        <f t="array" ref="G560">_xlfn.CONCAT(IFERROR(I560:K560,""))</f>
        <v>02000000FEFFFFFF</v>
      </c>
      <c r="I560" s="2" t="e">
        <f>_xlfn.LET(_xlpm.big,DEC2HEX(_xlfn.BITLSHIFT(M560-_xlfn.XLOOKUP(O560,Data!A:A,Data!F:F),4)+O560,8),_xlfn.CONCAT(MID(_xlpm.big,7,2),MID(_xlpm.big,5,2),MID(_xlpm.big,3,2),MID(_xlpm.big,1,2)))</f>
        <v>#NUM!</v>
      </c>
      <c r="J560" s="2" t="str">
        <f t="shared" si="32"/>
        <v>02000000</v>
      </c>
      <c r="K560" s="2" t="str">
        <f>_xlfn.LET(_xlpm.big,IF(H560,DEC2HEX(HEX2DEC(F560),8),DEC2HEX(N560-_xlfn.XLOOKUP(P560,Data!A:A,Data!F:F),8)),_xlfn.CONCAT(MID(_xlpm.big,7,2),MID(_xlpm.big,5,2),MID(_xlpm.big,3,2),MID(_xlpm.big,1,2)))</f>
        <v>FEFFFFFF</v>
      </c>
      <c r="L560" s="2">
        <f t="shared" si="33"/>
        <v>0</v>
      </c>
      <c r="M560" s="2">
        <f t="shared" si="34"/>
        <v>0</v>
      </c>
      <c r="N560" s="2">
        <f t="shared" si="35"/>
        <v>0</v>
      </c>
      <c r="O560" s="2" cm="1">
        <f t="array" ref="O560">_xlfn.IFS(M560&lt;Data!$F$3,0,M560&lt;Data!$F$4,1,TRUE,2)</f>
        <v>0</v>
      </c>
      <c r="P560" s="2" cm="1">
        <f t="array" ref="P560">_xlfn.IFS(H560,3,N560&lt;Data!$F$3,0,N560&lt;Data!$F$4,1,TRUE,2)</f>
        <v>0</v>
      </c>
    </row>
    <row r="561" spans="4:16">
      <c r="D561" s="3"/>
      <c r="E561" s="3"/>
      <c r="F561" s="3"/>
      <c r="G561" s="2" t="str" cm="1">
        <f t="array" ref="G561">_xlfn.CONCAT(IFERROR(I561:K561,""))</f>
        <v>0203000000000000</v>
      </c>
      <c r="H561" s="2" t="b">
        <v>1</v>
      </c>
      <c r="I561" s="2" t="e">
        <f>_xlfn.LET(_xlpm.big,DEC2HEX(_xlfn.BITLSHIFT(M561-_xlfn.XLOOKUP(O561,Data!A:A,Data!F:F),4)+O561,8),_xlfn.CONCAT(MID(_xlpm.big,7,2),MID(_xlpm.big,5,2),MID(_xlpm.big,3,2),MID(_xlpm.big,1,2)))</f>
        <v>#NUM!</v>
      </c>
      <c r="J561" s="2" t="str">
        <f t="shared" si="32"/>
        <v>02030000</v>
      </c>
      <c r="K561" s="2" t="str">
        <f>_xlfn.LET(_xlpm.big,IF(H561,DEC2HEX(HEX2DEC(F561),8),DEC2HEX(N561-_xlfn.XLOOKUP(P561,Data!A:A,Data!F:F),8)),_xlfn.CONCAT(MID(_xlpm.big,7,2),MID(_xlpm.big,5,2),MID(_xlpm.big,3,2),MID(_xlpm.big,1,2)))</f>
        <v>00000000</v>
      </c>
      <c r="L561" s="2">
        <f t="shared" si="33"/>
        <v>0</v>
      </c>
      <c r="M561" s="2">
        <f t="shared" si="34"/>
        <v>0</v>
      </c>
      <c r="N561" s="2">
        <f t="shared" si="35"/>
        <v>0</v>
      </c>
      <c r="O561" s="2" cm="1">
        <f t="array" ref="O561">_xlfn.IFS(M561&lt;Data!$F$3,0,M561&lt;Data!$F$4,1,TRUE,2)</f>
        <v>0</v>
      </c>
      <c r="P561" s="2" cm="1">
        <f t="array" ref="P561">_xlfn.IFS(H561,3,N561&lt;Data!$F$3,0,N561&lt;Data!$F$4,1,TRUE,2)</f>
        <v>3</v>
      </c>
    </row>
    <row r="562" spans="4:16">
      <c r="D562" s="3"/>
      <c r="E562" s="3"/>
      <c r="F562" s="3"/>
      <c r="G562" s="2" t="str" cm="1">
        <f t="array" ref="G562">_xlfn.CONCAT(IFERROR(I562:K562,""))</f>
        <v>02000000FEFFFFFF</v>
      </c>
      <c r="I562" s="2" t="e">
        <f>_xlfn.LET(_xlpm.big,DEC2HEX(_xlfn.BITLSHIFT(M562-_xlfn.XLOOKUP(O562,Data!A:A,Data!F:F),4)+O562,8),_xlfn.CONCAT(MID(_xlpm.big,7,2),MID(_xlpm.big,5,2),MID(_xlpm.big,3,2),MID(_xlpm.big,1,2)))</f>
        <v>#NUM!</v>
      </c>
      <c r="J562" s="2" t="str">
        <f t="shared" si="32"/>
        <v>02000000</v>
      </c>
      <c r="K562" s="2" t="str">
        <f>_xlfn.LET(_xlpm.big,IF(H562,DEC2HEX(HEX2DEC(F562),8),DEC2HEX(N562-_xlfn.XLOOKUP(P562,Data!A:A,Data!F:F),8)),_xlfn.CONCAT(MID(_xlpm.big,7,2),MID(_xlpm.big,5,2),MID(_xlpm.big,3,2),MID(_xlpm.big,1,2)))</f>
        <v>FEFFFFFF</v>
      </c>
      <c r="L562" s="2">
        <f t="shared" si="33"/>
        <v>0</v>
      </c>
      <c r="M562" s="2">
        <f t="shared" si="34"/>
        <v>0</v>
      </c>
      <c r="N562" s="2">
        <f t="shared" si="35"/>
        <v>0</v>
      </c>
      <c r="O562" s="2" cm="1">
        <f t="array" ref="O562">_xlfn.IFS(M562&lt;Data!$F$3,0,M562&lt;Data!$F$4,1,TRUE,2)</f>
        <v>0</v>
      </c>
      <c r="P562" s="2" cm="1">
        <f t="array" ref="P562">_xlfn.IFS(H562,3,N562&lt;Data!$F$3,0,N562&lt;Data!$F$4,1,TRUE,2)</f>
        <v>0</v>
      </c>
    </row>
    <row r="563" spans="4:16">
      <c r="D563" s="3"/>
      <c r="E563" s="3"/>
      <c r="F563" s="3"/>
      <c r="G563" s="2" t="str" cm="1">
        <f t="array" ref="G563">_xlfn.CONCAT(IFERROR(I563:K563,""))</f>
        <v>02000000FEFFFFFF</v>
      </c>
      <c r="I563" s="2" t="e">
        <f>_xlfn.LET(_xlpm.big,DEC2HEX(_xlfn.BITLSHIFT(M563-_xlfn.XLOOKUP(O563,Data!A:A,Data!F:F),4)+O563,8),_xlfn.CONCAT(MID(_xlpm.big,7,2),MID(_xlpm.big,5,2),MID(_xlpm.big,3,2),MID(_xlpm.big,1,2)))</f>
        <v>#NUM!</v>
      </c>
      <c r="J563" s="2" t="str">
        <f t="shared" si="32"/>
        <v>02000000</v>
      </c>
      <c r="K563" s="2" t="str">
        <f>_xlfn.LET(_xlpm.big,IF(H563,DEC2HEX(HEX2DEC(F563),8),DEC2HEX(N563-_xlfn.XLOOKUP(P563,Data!A:A,Data!F:F),8)),_xlfn.CONCAT(MID(_xlpm.big,7,2),MID(_xlpm.big,5,2),MID(_xlpm.big,3,2),MID(_xlpm.big,1,2)))</f>
        <v>FEFFFFFF</v>
      </c>
      <c r="L563" s="2">
        <f t="shared" si="33"/>
        <v>0</v>
      </c>
      <c r="M563" s="2">
        <f t="shared" si="34"/>
        <v>0</v>
      </c>
      <c r="N563" s="2">
        <f t="shared" si="35"/>
        <v>0</v>
      </c>
      <c r="O563" s="2" cm="1">
        <f t="array" ref="O563">_xlfn.IFS(M563&lt;Data!$F$3,0,M563&lt;Data!$F$4,1,TRUE,2)</f>
        <v>0</v>
      </c>
      <c r="P563" s="2" cm="1">
        <f t="array" ref="P563">_xlfn.IFS(H563,3,N563&lt;Data!$F$3,0,N563&lt;Data!$F$4,1,TRUE,2)</f>
        <v>0</v>
      </c>
    </row>
    <row r="564" spans="4:16">
      <c r="D564" s="3"/>
      <c r="E564" s="3"/>
      <c r="F564" s="3"/>
      <c r="G564" s="2" t="str" cm="1">
        <f t="array" ref="G564">_xlfn.CONCAT(IFERROR(I564:K564,""))</f>
        <v>0203000000000000</v>
      </c>
      <c r="H564" s="2" t="b">
        <v>1</v>
      </c>
      <c r="I564" s="2" t="e">
        <f>_xlfn.LET(_xlpm.big,DEC2HEX(_xlfn.BITLSHIFT(M564-_xlfn.XLOOKUP(O564,Data!A:A,Data!F:F),4)+O564,8),_xlfn.CONCAT(MID(_xlpm.big,7,2),MID(_xlpm.big,5,2),MID(_xlpm.big,3,2),MID(_xlpm.big,1,2)))</f>
        <v>#NUM!</v>
      </c>
      <c r="J564" s="2" t="str">
        <f t="shared" si="32"/>
        <v>02030000</v>
      </c>
      <c r="K564" s="2" t="str">
        <f>_xlfn.LET(_xlpm.big,IF(H564,DEC2HEX(HEX2DEC(F564),8),DEC2HEX(N564-_xlfn.XLOOKUP(P564,Data!A:A,Data!F:F),8)),_xlfn.CONCAT(MID(_xlpm.big,7,2),MID(_xlpm.big,5,2),MID(_xlpm.big,3,2),MID(_xlpm.big,1,2)))</f>
        <v>00000000</v>
      </c>
      <c r="L564" s="2">
        <f t="shared" si="33"/>
        <v>0</v>
      </c>
      <c r="M564" s="2">
        <f t="shared" si="34"/>
        <v>0</v>
      </c>
      <c r="N564" s="2">
        <f t="shared" si="35"/>
        <v>0</v>
      </c>
      <c r="O564" s="2" cm="1">
        <f t="array" ref="O564">_xlfn.IFS(M564&lt;Data!$F$3,0,M564&lt;Data!$F$4,1,TRUE,2)</f>
        <v>0</v>
      </c>
      <c r="P564" s="2" cm="1">
        <f t="array" ref="P564">_xlfn.IFS(H564,3,N564&lt;Data!$F$3,0,N564&lt;Data!$F$4,1,TRUE,2)</f>
        <v>3</v>
      </c>
    </row>
    <row r="565" spans="4:16">
      <c r="D565" s="3"/>
      <c r="E565" s="3"/>
      <c r="F565" s="3"/>
      <c r="G565" s="2" t="str" cm="1">
        <f t="array" ref="G565">_xlfn.CONCAT(IFERROR(I565:K565,""))</f>
        <v>02000000FEFFFFFF</v>
      </c>
      <c r="I565" s="2" t="e">
        <f>_xlfn.LET(_xlpm.big,DEC2HEX(_xlfn.BITLSHIFT(M565-_xlfn.XLOOKUP(O565,Data!A:A,Data!F:F),4)+O565,8),_xlfn.CONCAT(MID(_xlpm.big,7,2),MID(_xlpm.big,5,2),MID(_xlpm.big,3,2),MID(_xlpm.big,1,2)))</f>
        <v>#NUM!</v>
      </c>
      <c r="J565" s="2" t="str">
        <f t="shared" si="32"/>
        <v>02000000</v>
      </c>
      <c r="K565" s="2" t="str">
        <f>_xlfn.LET(_xlpm.big,IF(H565,DEC2HEX(HEX2DEC(F565),8),DEC2HEX(N565-_xlfn.XLOOKUP(P565,Data!A:A,Data!F:F),8)),_xlfn.CONCAT(MID(_xlpm.big,7,2),MID(_xlpm.big,5,2),MID(_xlpm.big,3,2),MID(_xlpm.big,1,2)))</f>
        <v>FEFFFFFF</v>
      </c>
      <c r="L565" s="2">
        <f t="shared" si="33"/>
        <v>0</v>
      </c>
      <c r="M565" s="2">
        <f t="shared" si="34"/>
        <v>0</v>
      </c>
      <c r="N565" s="2">
        <f t="shared" si="35"/>
        <v>0</v>
      </c>
      <c r="O565" s="2" cm="1">
        <f t="array" ref="O565">_xlfn.IFS(M565&lt;Data!$F$3,0,M565&lt;Data!$F$4,1,TRUE,2)</f>
        <v>0</v>
      </c>
      <c r="P565" s="2" cm="1">
        <f t="array" ref="P565">_xlfn.IFS(H565,3,N565&lt;Data!$F$3,0,N565&lt;Data!$F$4,1,TRUE,2)</f>
        <v>0</v>
      </c>
    </row>
    <row r="566" spans="4:16">
      <c r="D566" s="3"/>
      <c r="E566" s="3"/>
      <c r="F566" s="3"/>
      <c r="G566" s="2" t="str" cm="1">
        <f t="array" ref="G566">_xlfn.CONCAT(IFERROR(I566:K566,""))</f>
        <v>0203000000000000</v>
      </c>
      <c r="H566" s="2" t="b">
        <v>1</v>
      </c>
      <c r="I566" s="2" t="e">
        <f>_xlfn.LET(_xlpm.big,DEC2HEX(_xlfn.BITLSHIFT(M566-_xlfn.XLOOKUP(O566,Data!A:A,Data!F:F),4)+O566,8),_xlfn.CONCAT(MID(_xlpm.big,7,2),MID(_xlpm.big,5,2),MID(_xlpm.big,3,2),MID(_xlpm.big,1,2)))</f>
        <v>#NUM!</v>
      </c>
      <c r="J566" s="2" t="str">
        <f t="shared" si="32"/>
        <v>02030000</v>
      </c>
      <c r="K566" s="2" t="str">
        <f>_xlfn.LET(_xlpm.big,IF(H566,DEC2HEX(HEX2DEC(F566),8),DEC2HEX(N566-_xlfn.XLOOKUP(P566,Data!A:A,Data!F:F),8)),_xlfn.CONCAT(MID(_xlpm.big,7,2),MID(_xlpm.big,5,2),MID(_xlpm.big,3,2),MID(_xlpm.big,1,2)))</f>
        <v>00000000</v>
      </c>
      <c r="L566" s="2">
        <f t="shared" si="33"/>
        <v>0</v>
      </c>
      <c r="M566" s="2">
        <f t="shared" si="34"/>
        <v>0</v>
      </c>
      <c r="N566" s="2">
        <f t="shared" si="35"/>
        <v>0</v>
      </c>
      <c r="O566" s="2" cm="1">
        <f t="array" ref="O566">_xlfn.IFS(M566&lt;Data!$F$3,0,M566&lt;Data!$F$4,1,TRUE,2)</f>
        <v>0</v>
      </c>
      <c r="P566" s="2" cm="1">
        <f t="array" ref="P566">_xlfn.IFS(H566,3,N566&lt;Data!$F$3,0,N566&lt;Data!$F$4,1,TRUE,2)</f>
        <v>3</v>
      </c>
    </row>
    <row r="567" spans="4:16">
      <c r="D567" s="3"/>
      <c r="E567" s="3"/>
      <c r="F567" s="3"/>
      <c r="G567" s="2" t="str" cm="1">
        <f t="array" ref="G567">_xlfn.CONCAT(IFERROR(I567:K567,""))</f>
        <v>02000000FEFFFFFF</v>
      </c>
      <c r="I567" s="2" t="e">
        <f>_xlfn.LET(_xlpm.big,DEC2HEX(_xlfn.BITLSHIFT(M567-_xlfn.XLOOKUP(O567,Data!A:A,Data!F:F),4)+O567,8),_xlfn.CONCAT(MID(_xlpm.big,7,2),MID(_xlpm.big,5,2),MID(_xlpm.big,3,2),MID(_xlpm.big,1,2)))</f>
        <v>#NUM!</v>
      </c>
      <c r="J567" s="2" t="str">
        <f t="shared" si="32"/>
        <v>02000000</v>
      </c>
      <c r="K567" s="2" t="str">
        <f>_xlfn.LET(_xlpm.big,IF(H567,DEC2HEX(HEX2DEC(F567),8),DEC2HEX(N567-_xlfn.XLOOKUP(P567,Data!A:A,Data!F:F),8)),_xlfn.CONCAT(MID(_xlpm.big,7,2),MID(_xlpm.big,5,2),MID(_xlpm.big,3,2),MID(_xlpm.big,1,2)))</f>
        <v>FEFFFFFF</v>
      </c>
      <c r="L567" s="2">
        <f t="shared" si="33"/>
        <v>0</v>
      </c>
      <c r="M567" s="2">
        <f t="shared" si="34"/>
        <v>0</v>
      </c>
      <c r="N567" s="2">
        <f t="shared" si="35"/>
        <v>0</v>
      </c>
      <c r="O567" s="2" cm="1">
        <f t="array" ref="O567">_xlfn.IFS(M567&lt;Data!$F$3,0,M567&lt;Data!$F$4,1,TRUE,2)</f>
        <v>0</v>
      </c>
      <c r="P567" s="2" cm="1">
        <f t="array" ref="P567">_xlfn.IFS(H567,3,N567&lt;Data!$F$3,0,N567&lt;Data!$F$4,1,TRUE,2)</f>
        <v>0</v>
      </c>
    </row>
    <row r="568" spans="4:16">
      <c r="D568" s="3"/>
      <c r="E568" s="3"/>
      <c r="F568" s="3"/>
      <c r="G568" s="2" t="str" cm="1">
        <f t="array" ref="G568">_xlfn.CONCAT(IFERROR(I568:K568,""))</f>
        <v>02000000FEFFFFFF</v>
      </c>
      <c r="I568" s="2" t="e">
        <f>_xlfn.LET(_xlpm.big,DEC2HEX(_xlfn.BITLSHIFT(M568-_xlfn.XLOOKUP(O568,Data!A:A,Data!F:F),4)+O568,8),_xlfn.CONCAT(MID(_xlpm.big,7,2),MID(_xlpm.big,5,2),MID(_xlpm.big,3,2),MID(_xlpm.big,1,2)))</f>
        <v>#NUM!</v>
      </c>
      <c r="J568" s="2" t="str">
        <f t="shared" si="32"/>
        <v>02000000</v>
      </c>
      <c r="K568" s="2" t="str">
        <f>_xlfn.LET(_xlpm.big,IF(H568,DEC2HEX(HEX2DEC(F568),8),DEC2HEX(N568-_xlfn.XLOOKUP(P568,Data!A:A,Data!F:F),8)),_xlfn.CONCAT(MID(_xlpm.big,7,2),MID(_xlpm.big,5,2),MID(_xlpm.big,3,2),MID(_xlpm.big,1,2)))</f>
        <v>FEFFFFFF</v>
      </c>
      <c r="L568" s="2">
        <f t="shared" si="33"/>
        <v>0</v>
      </c>
      <c r="M568" s="2">
        <f t="shared" si="34"/>
        <v>0</v>
      </c>
      <c r="N568" s="2">
        <f t="shared" si="35"/>
        <v>0</v>
      </c>
      <c r="O568" s="2" cm="1">
        <f t="array" ref="O568">_xlfn.IFS(M568&lt;Data!$F$3,0,M568&lt;Data!$F$4,1,TRUE,2)</f>
        <v>0</v>
      </c>
      <c r="P568" s="2" cm="1">
        <f t="array" ref="P568">_xlfn.IFS(H568,3,N568&lt;Data!$F$3,0,N568&lt;Data!$F$4,1,TRUE,2)</f>
        <v>0</v>
      </c>
    </row>
    <row r="569" spans="4:16">
      <c r="D569" s="3"/>
      <c r="E569" s="3"/>
      <c r="F569" s="3"/>
      <c r="G569" s="2" t="str" cm="1">
        <f t="array" ref="G569">_xlfn.CONCAT(IFERROR(I569:K569,""))</f>
        <v>02000000FEFFFFFF</v>
      </c>
      <c r="I569" s="2" t="e">
        <f>_xlfn.LET(_xlpm.big,DEC2HEX(_xlfn.BITLSHIFT(M569-_xlfn.XLOOKUP(O569,Data!A:A,Data!F:F),4)+O569,8),_xlfn.CONCAT(MID(_xlpm.big,7,2),MID(_xlpm.big,5,2),MID(_xlpm.big,3,2),MID(_xlpm.big,1,2)))</f>
        <v>#NUM!</v>
      </c>
      <c r="J569" s="2" t="str">
        <f t="shared" si="32"/>
        <v>02000000</v>
      </c>
      <c r="K569" s="2" t="str">
        <f>_xlfn.LET(_xlpm.big,IF(H569,DEC2HEX(HEX2DEC(F569),8),DEC2HEX(N569-_xlfn.XLOOKUP(P569,Data!A:A,Data!F:F),8)),_xlfn.CONCAT(MID(_xlpm.big,7,2),MID(_xlpm.big,5,2),MID(_xlpm.big,3,2),MID(_xlpm.big,1,2)))</f>
        <v>FEFFFFFF</v>
      </c>
      <c r="L569" s="2">
        <f t="shared" si="33"/>
        <v>0</v>
      </c>
      <c r="M569" s="2">
        <f t="shared" si="34"/>
        <v>0</v>
      </c>
      <c r="N569" s="2">
        <f t="shared" si="35"/>
        <v>0</v>
      </c>
      <c r="O569" s="2" cm="1">
        <f t="array" ref="O569">_xlfn.IFS(M569&lt;Data!$F$3,0,M569&lt;Data!$F$4,1,TRUE,2)</f>
        <v>0</v>
      </c>
      <c r="P569" s="2" cm="1">
        <f t="array" ref="P569">_xlfn.IFS(H569,3,N569&lt;Data!$F$3,0,N569&lt;Data!$F$4,1,TRUE,2)</f>
        <v>0</v>
      </c>
    </row>
    <row r="570" spans="4:16">
      <c r="D570" s="3"/>
      <c r="E570" s="3"/>
      <c r="F570" s="3"/>
      <c r="G570" s="2" t="str" cm="1">
        <f t="array" ref="G570">_xlfn.CONCAT(IFERROR(I570:K570,""))</f>
        <v>02000000FEFFFFFF</v>
      </c>
      <c r="I570" s="2" t="e">
        <f>_xlfn.LET(_xlpm.big,DEC2HEX(_xlfn.BITLSHIFT(M570-_xlfn.XLOOKUP(O570,Data!A:A,Data!F:F),4)+O570,8),_xlfn.CONCAT(MID(_xlpm.big,7,2),MID(_xlpm.big,5,2),MID(_xlpm.big,3,2),MID(_xlpm.big,1,2)))</f>
        <v>#NUM!</v>
      </c>
      <c r="J570" s="2" t="str">
        <f t="shared" si="32"/>
        <v>02000000</v>
      </c>
      <c r="K570" s="2" t="str">
        <f>_xlfn.LET(_xlpm.big,IF(H570,DEC2HEX(HEX2DEC(F570),8),DEC2HEX(N570-_xlfn.XLOOKUP(P570,Data!A:A,Data!F:F),8)),_xlfn.CONCAT(MID(_xlpm.big,7,2),MID(_xlpm.big,5,2),MID(_xlpm.big,3,2),MID(_xlpm.big,1,2)))</f>
        <v>FEFFFFFF</v>
      </c>
      <c r="L570" s="2">
        <f t="shared" si="33"/>
        <v>0</v>
      </c>
      <c r="M570" s="2">
        <f t="shared" si="34"/>
        <v>0</v>
      </c>
      <c r="N570" s="2">
        <f t="shared" si="35"/>
        <v>0</v>
      </c>
      <c r="O570" s="2" cm="1">
        <f t="array" ref="O570">_xlfn.IFS(M570&lt;Data!$F$3,0,M570&lt;Data!$F$4,1,TRUE,2)</f>
        <v>0</v>
      </c>
      <c r="P570" s="2" cm="1">
        <f t="array" ref="P570">_xlfn.IFS(H570,3,N570&lt;Data!$F$3,0,N570&lt;Data!$F$4,1,TRUE,2)</f>
        <v>0</v>
      </c>
    </row>
    <row r="571" spans="4:16">
      <c r="D571" s="3"/>
      <c r="E571" s="3"/>
      <c r="F571" s="3"/>
      <c r="G571" s="2" t="str" cm="1">
        <f t="array" ref="G571">_xlfn.CONCAT(IFERROR(I571:K571,""))</f>
        <v>02000000FEFFFFFF</v>
      </c>
      <c r="I571" s="2" t="e">
        <f>_xlfn.LET(_xlpm.big,DEC2HEX(_xlfn.BITLSHIFT(M571-_xlfn.XLOOKUP(O571,Data!A:A,Data!F:F),4)+O571,8),_xlfn.CONCAT(MID(_xlpm.big,7,2),MID(_xlpm.big,5,2),MID(_xlpm.big,3,2),MID(_xlpm.big,1,2)))</f>
        <v>#NUM!</v>
      </c>
      <c r="J571" s="2" t="str">
        <f t="shared" si="32"/>
        <v>02000000</v>
      </c>
      <c r="K571" s="2" t="str">
        <f>_xlfn.LET(_xlpm.big,IF(H571,DEC2HEX(HEX2DEC(F571),8),DEC2HEX(N571-_xlfn.XLOOKUP(P571,Data!A:A,Data!F:F),8)),_xlfn.CONCAT(MID(_xlpm.big,7,2),MID(_xlpm.big,5,2),MID(_xlpm.big,3,2),MID(_xlpm.big,1,2)))</f>
        <v>FEFFFFFF</v>
      </c>
      <c r="L571" s="2">
        <f t="shared" si="33"/>
        <v>0</v>
      </c>
      <c r="M571" s="2">
        <f t="shared" si="34"/>
        <v>0</v>
      </c>
      <c r="N571" s="2">
        <f t="shared" si="35"/>
        <v>0</v>
      </c>
      <c r="O571" s="2" cm="1">
        <f t="array" ref="O571">_xlfn.IFS(M571&lt;Data!$F$3,0,M571&lt;Data!$F$4,1,TRUE,2)</f>
        <v>0</v>
      </c>
      <c r="P571" s="2" cm="1">
        <f t="array" ref="P571">_xlfn.IFS(H571,3,N571&lt;Data!$F$3,0,N571&lt;Data!$F$4,1,TRUE,2)</f>
        <v>0</v>
      </c>
    </row>
    <row r="572" spans="4:16">
      <c r="D572" s="3"/>
      <c r="E572" s="3"/>
      <c r="F572" s="3"/>
      <c r="G572" s="2" t="str" cm="1">
        <f t="array" ref="G572">_xlfn.CONCAT(IFERROR(I572:K572,""))</f>
        <v>02000000FEFFFFFF</v>
      </c>
      <c r="I572" s="2" t="e">
        <f>_xlfn.LET(_xlpm.big,DEC2HEX(_xlfn.BITLSHIFT(M572-_xlfn.XLOOKUP(O572,Data!A:A,Data!F:F),4)+O572,8),_xlfn.CONCAT(MID(_xlpm.big,7,2),MID(_xlpm.big,5,2),MID(_xlpm.big,3,2),MID(_xlpm.big,1,2)))</f>
        <v>#NUM!</v>
      </c>
      <c r="J572" s="2" t="str">
        <f t="shared" si="32"/>
        <v>02000000</v>
      </c>
      <c r="K572" s="2" t="str">
        <f>_xlfn.LET(_xlpm.big,IF(H572,DEC2HEX(HEX2DEC(F572),8),DEC2HEX(N572-_xlfn.XLOOKUP(P572,Data!A:A,Data!F:F),8)),_xlfn.CONCAT(MID(_xlpm.big,7,2),MID(_xlpm.big,5,2),MID(_xlpm.big,3,2),MID(_xlpm.big,1,2)))</f>
        <v>FEFFFFFF</v>
      </c>
      <c r="L572" s="2">
        <f t="shared" si="33"/>
        <v>0</v>
      </c>
      <c r="M572" s="2">
        <f t="shared" si="34"/>
        <v>0</v>
      </c>
      <c r="N572" s="2">
        <f t="shared" si="35"/>
        <v>0</v>
      </c>
      <c r="O572" s="2" cm="1">
        <f t="array" ref="O572">_xlfn.IFS(M572&lt;Data!$F$3,0,M572&lt;Data!$F$4,1,TRUE,2)</f>
        <v>0</v>
      </c>
      <c r="P572" s="2" cm="1">
        <f t="array" ref="P572">_xlfn.IFS(H572,3,N572&lt;Data!$F$3,0,N572&lt;Data!$F$4,1,TRUE,2)</f>
        <v>0</v>
      </c>
    </row>
    <row r="573" spans="4:16">
      <c r="D573" s="3"/>
      <c r="E573" s="3"/>
      <c r="F573" s="3"/>
      <c r="G573" s="2" t="str" cm="1">
        <f t="array" ref="G573">_xlfn.CONCAT(IFERROR(I573:K573,""))</f>
        <v>02000000FEFFFFFF</v>
      </c>
      <c r="I573" s="2" t="e">
        <f>_xlfn.LET(_xlpm.big,DEC2HEX(_xlfn.BITLSHIFT(M573-_xlfn.XLOOKUP(O573,Data!A:A,Data!F:F),4)+O573,8),_xlfn.CONCAT(MID(_xlpm.big,7,2),MID(_xlpm.big,5,2),MID(_xlpm.big,3,2),MID(_xlpm.big,1,2)))</f>
        <v>#NUM!</v>
      </c>
      <c r="J573" s="2" t="str">
        <f t="shared" si="32"/>
        <v>02000000</v>
      </c>
      <c r="K573" s="2" t="str">
        <f>_xlfn.LET(_xlpm.big,IF(H573,DEC2HEX(HEX2DEC(F573),8),DEC2HEX(N573-_xlfn.XLOOKUP(P573,Data!A:A,Data!F:F),8)),_xlfn.CONCAT(MID(_xlpm.big,7,2),MID(_xlpm.big,5,2),MID(_xlpm.big,3,2),MID(_xlpm.big,1,2)))</f>
        <v>FEFFFFFF</v>
      </c>
      <c r="L573" s="2">
        <f t="shared" si="33"/>
        <v>0</v>
      </c>
      <c r="M573" s="2">
        <f t="shared" si="34"/>
        <v>0</v>
      </c>
      <c r="N573" s="2">
        <f t="shared" si="35"/>
        <v>0</v>
      </c>
      <c r="O573" s="2" cm="1">
        <f t="array" ref="O573">_xlfn.IFS(M573&lt;Data!$F$3,0,M573&lt;Data!$F$4,1,TRUE,2)</f>
        <v>0</v>
      </c>
      <c r="P573" s="2" cm="1">
        <f t="array" ref="P573">_xlfn.IFS(H573,3,N573&lt;Data!$F$3,0,N573&lt;Data!$F$4,1,TRUE,2)</f>
        <v>0</v>
      </c>
    </row>
    <row r="574" spans="4:16">
      <c r="D574" s="3"/>
      <c r="E574" s="3"/>
      <c r="F574" s="3"/>
      <c r="G574" s="2" t="str" cm="1">
        <f t="array" ref="G574">_xlfn.CONCAT(IFERROR(I574:K574,""))</f>
        <v>02000000FEFFFFFF</v>
      </c>
      <c r="I574" s="2" t="e">
        <f>_xlfn.LET(_xlpm.big,DEC2HEX(_xlfn.BITLSHIFT(M574-_xlfn.XLOOKUP(O574,Data!A:A,Data!F:F),4)+O574,8),_xlfn.CONCAT(MID(_xlpm.big,7,2),MID(_xlpm.big,5,2),MID(_xlpm.big,3,2),MID(_xlpm.big,1,2)))</f>
        <v>#NUM!</v>
      </c>
      <c r="J574" s="2" t="str">
        <f t="shared" si="32"/>
        <v>02000000</v>
      </c>
      <c r="K574" s="2" t="str">
        <f>_xlfn.LET(_xlpm.big,IF(H574,DEC2HEX(HEX2DEC(F574),8),DEC2HEX(N574-_xlfn.XLOOKUP(P574,Data!A:A,Data!F:F),8)),_xlfn.CONCAT(MID(_xlpm.big,7,2),MID(_xlpm.big,5,2),MID(_xlpm.big,3,2),MID(_xlpm.big,1,2)))</f>
        <v>FEFFFFFF</v>
      </c>
      <c r="L574" s="2">
        <f t="shared" si="33"/>
        <v>0</v>
      </c>
      <c r="M574" s="2">
        <f t="shared" si="34"/>
        <v>0</v>
      </c>
      <c r="N574" s="2">
        <f t="shared" si="35"/>
        <v>0</v>
      </c>
      <c r="O574" s="2" cm="1">
        <f t="array" ref="O574">_xlfn.IFS(M574&lt;Data!$F$3,0,M574&lt;Data!$F$4,1,TRUE,2)</f>
        <v>0</v>
      </c>
      <c r="P574" s="2" cm="1">
        <f t="array" ref="P574">_xlfn.IFS(H574,3,N574&lt;Data!$F$3,0,N574&lt;Data!$F$4,1,TRUE,2)</f>
        <v>0</v>
      </c>
    </row>
    <row r="575" spans="4:16">
      <c r="D575" s="3"/>
      <c r="E575" s="3"/>
      <c r="F575" s="3"/>
      <c r="G575" s="2" t="str" cm="1">
        <f t="array" ref="G575">_xlfn.CONCAT(IFERROR(I575:K575,""))</f>
        <v>02000000FEFFFFFF</v>
      </c>
      <c r="I575" s="2" t="e">
        <f>_xlfn.LET(_xlpm.big,DEC2HEX(_xlfn.BITLSHIFT(M575-_xlfn.XLOOKUP(O575,Data!A:A,Data!F:F),4)+O575,8),_xlfn.CONCAT(MID(_xlpm.big,7,2),MID(_xlpm.big,5,2),MID(_xlpm.big,3,2),MID(_xlpm.big,1,2)))</f>
        <v>#NUM!</v>
      </c>
      <c r="J575" s="2" t="str">
        <f t="shared" si="32"/>
        <v>02000000</v>
      </c>
      <c r="K575" s="2" t="str">
        <f>_xlfn.LET(_xlpm.big,IF(H575,DEC2HEX(HEX2DEC(F575),8),DEC2HEX(N575-_xlfn.XLOOKUP(P575,Data!A:A,Data!F:F),8)),_xlfn.CONCAT(MID(_xlpm.big,7,2),MID(_xlpm.big,5,2),MID(_xlpm.big,3,2),MID(_xlpm.big,1,2)))</f>
        <v>FEFFFFFF</v>
      </c>
      <c r="L575" s="2">
        <f t="shared" si="33"/>
        <v>0</v>
      </c>
      <c r="M575" s="2">
        <f t="shared" si="34"/>
        <v>0</v>
      </c>
      <c r="N575" s="2">
        <f t="shared" si="35"/>
        <v>0</v>
      </c>
      <c r="O575" s="2" cm="1">
        <f t="array" ref="O575">_xlfn.IFS(M575&lt;Data!$F$3,0,M575&lt;Data!$F$4,1,TRUE,2)</f>
        <v>0</v>
      </c>
      <c r="P575" s="2" cm="1">
        <f t="array" ref="P575">_xlfn.IFS(H575,3,N575&lt;Data!$F$3,0,N575&lt;Data!$F$4,1,TRUE,2)</f>
        <v>0</v>
      </c>
    </row>
    <row r="576" spans="4:16">
      <c r="D576" s="3"/>
      <c r="E576" s="3"/>
      <c r="F576" s="3"/>
      <c r="G576" s="2" t="str" cm="1">
        <f t="array" ref="G576">_xlfn.CONCAT(IFERROR(I576:K576,""))</f>
        <v>02000000FEFFFFFF</v>
      </c>
      <c r="I576" s="2" t="e">
        <f>_xlfn.LET(_xlpm.big,DEC2HEX(_xlfn.BITLSHIFT(M576-_xlfn.XLOOKUP(O576,Data!A:A,Data!F:F),4)+O576,8),_xlfn.CONCAT(MID(_xlpm.big,7,2),MID(_xlpm.big,5,2),MID(_xlpm.big,3,2),MID(_xlpm.big,1,2)))</f>
        <v>#NUM!</v>
      </c>
      <c r="J576" s="2" t="str">
        <f t="shared" si="32"/>
        <v>02000000</v>
      </c>
      <c r="K576" s="2" t="str">
        <f>_xlfn.LET(_xlpm.big,IF(H576,DEC2HEX(HEX2DEC(F576),8),DEC2HEX(N576-_xlfn.XLOOKUP(P576,Data!A:A,Data!F:F),8)),_xlfn.CONCAT(MID(_xlpm.big,7,2),MID(_xlpm.big,5,2),MID(_xlpm.big,3,2),MID(_xlpm.big,1,2)))</f>
        <v>FEFFFFFF</v>
      </c>
      <c r="L576" s="2">
        <f t="shared" si="33"/>
        <v>0</v>
      </c>
      <c r="M576" s="2">
        <f t="shared" si="34"/>
        <v>0</v>
      </c>
      <c r="N576" s="2">
        <f t="shared" si="35"/>
        <v>0</v>
      </c>
      <c r="O576" s="2" cm="1">
        <f t="array" ref="O576">_xlfn.IFS(M576&lt;Data!$F$3,0,M576&lt;Data!$F$4,1,TRUE,2)</f>
        <v>0</v>
      </c>
      <c r="P576" s="2" cm="1">
        <f t="array" ref="P576">_xlfn.IFS(H576,3,N576&lt;Data!$F$3,0,N576&lt;Data!$F$4,1,TRUE,2)</f>
        <v>0</v>
      </c>
    </row>
    <row r="577" spans="4:16">
      <c r="D577" s="3"/>
      <c r="E577" s="3"/>
      <c r="F577" s="3"/>
      <c r="G577" s="2" t="str" cm="1">
        <f t="array" ref="G577">_xlfn.CONCAT(IFERROR(I577:K577,""))</f>
        <v>02000000FEFFFFFF</v>
      </c>
      <c r="I577" s="2" t="e">
        <f>_xlfn.LET(_xlpm.big,DEC2HEX(_xlfn.BITLSHIFT(M577-_xlfn.XLOOKUP(O577,Data!A:A,Data!F:F),4)+O577,8),_xlfn.CONCAT(MID(_xlpm.big,7,2),MID(_xlpm.big,5,2),MID(_xlpm.big,3,2),MID(_xlpm.big,1,2)))</f>
        <v>#NUM!</v>
      </c>
      <c r="J577" s="2" t="str">
        <f t="shared" si="32"/>
        <v>02000000</v>
      </c>
      <c r="K577" s="2" t="str">
        <f>_xlfn.LET(_xlpm.big,IF(H577,DEC2HEX(HEX2DEC(F577),8),DEC2HEX(N577-_xlfn.XLOOKUP(P577,Data!A:A,Data!F:F),8)),_xlfn.CONCAT(MID(_xlpm.big,7,2),MID(_xlpm.big,5,2),MID(_xlpm.big,3,2),MID(_xlpm.big,1,2)))</f>
        <v>FEFFFFFF</v>
      </c>
      <c r="L577" s="2">
        <f t="shared" si="33"/>
        <v>0</v>
      </c>
      <c r="M577" s="2">
        <f t="shared" si="34"/>
        <v>0</v>
      </c>
      <c r="N577" s="2">
        <f t="shared" si="35"/>
        <v>0</v>
      </c>
      <c r="O577" s="2" cm="1">
        <f t="array" ref="O577">_xlfn.IFS(M577&lt;Data!$F$3,0,M577&lt;Data!$F$4,1,TRUE,2)</f>
        <v>0</v>
      </c>
      <c r="P577" s="2" cm="1">
        <f t="array" ref="P577">_xlfn.IFS(H577,3,N577&lt;Data!$F$3,0,N577&lt;Data!$F$4,1,TRUE,2)</f>
        <v>0</v>
      </c>
    </row>
    <row r="578" spans="4:16">
      <c r="D578" s="3"/>
      <c r="E578" s="3"/>
      <c r="F578" s="3"/>
      <c r="G578" s="2" t="str" cm="1">
        <f t="array" ref="G578">_xlfn.CONCAT(IFERROR(I578:K578,""))</f>
        <v>02000000FEFFFFFF</v>
      </c>
      <c r="I578" s="2" t="e">
        <f>_xlfn.LET(_xlpm.big,DEC2HEX(_xlfn.BITLSHIFT(M578-_xlfn.XLOOKUP(O578,Data!A:A,Data!F:F),4)+O578,8),_xlfn.CONCAT(MID(_xlpm.big,7,2),MID(_xlpm.big,5,2),MID(_xlpm.big,3,2),MID(_xlpm.big,1,2)))</f>
        <v>#NUM!</v>
      </c>
      <c r="J578" s="2" t="str">
        <f t="shared" ref="J578:J641" si="36">_xlfn.CONCAT("02",DEC2HEX(P578,2),"0000")</f>
        <v>02000000</v>
      </c>
      <c r="K578" s="2" t="str">
        <f>_xlfn.LET(_xlpm.big,IF(H578,DEC2HEX(HEX2DEC(F578),8),DEC2HEX(N578-_xlfn.XLOOKUP(P578,Data!A:A,Data!F:F),8)),_xlfn.CONCAT(MID(_xlpm.big,7,2),MID(_xlpm.big,5,2),MID(_xlpm.big,3,2),MID(_xlpm.big,1,2)))</f>
        <v>FEFFFFFF</v>
      </c>
      <c r="L578" s="2">
        <f t="shared" ref="L578:L641" si="37">HEX2DEC(D578)</f>
        <v>0</v>
      </c>
      <c r="M578" s="2">
        <f t="shared" ref="M578:M641" si="38">HEX2DEC(E578)</f>
        <v>0</v>
      </c>
      <c r="N578" s="2">
        <f t="shared" ref="N578:N641" si="39">HEX2DEC(F578)</f>
        <v>0</v>
      </c>
      <c r="O578" s="2" cm="1">
        <f t="array" ref="O578">_xlfn.IFS(M578&lt;Data!$F$3,0,M578&lt;Data!$F$4,1,TRUE,2)</f>
        <v>0</v>
      </c>
      <c r="P578" s="2" cm="1">
        <f t="array" ref="P578">_xlfn.IFS(H578,3,N578&lt;Data!$F$3,0,N578&lt;Data!$F$4,1,TRUE,2)</f>
        <v>0</v>
      </c>
    </row>
    <row r="579" spans="4:16">
      <c r="D579" s="3"/>
      <c r="E579" s="3"/>
      <c r="F579" s="3"/>
      <c r="G579" s="2" t="str" cm="1">
        <f t="array" ref="G579">_xlfn.CONCAT(IFERROR(I579:K579,""))</f>
        <v>02000000FEFFFFFF</v>
      </c>
      <c r="I579" s="2" t="e">
        <f>_xlfn.LET(_xlpm.big,DEC2HEX(_xlfn.BITLSHIFT(M579-_xlfn.XLOOKUP(O579,Data!A:A,Data!F:F),4)+O579,8),_xlfn.CONCAT(MID(_xlpm.big,7,2),MID(_xlpm.big,5,2),MID(_xlpm.big,3,2),MID(_xlpm.big,1,2)))</f>
        <v>#NUM!</v>
      </c>
      <c r="J579" s="2" t="str">
        <f t="shared" si="36"/>
        <v>02000000</v>
      </c>
      <c r="K579" s="2" t="str">
        <f>_xlfn.LET(_xlpm.big,IF(H579,DEC2HEX(HEX2DEC(F579),8),DEC2HEX(N579-_xlfn.XLOOKUP(P579,Data!A:A,Data!F:F),8)),_xlfn.CONCAT(MID(_xlpm.big,7,2),MID(_xlpm.big,5,2),MID(_xlpm.big,3,2),MID(_xlpm.big,1,2)))</f>
        <v>FEFFFFFF</v>
      </c>
      <c r="L579" s="2">
        <f t="shared" si="37"/>
        <v>0</v>
      </c>
      <c r="M579" s="2">
        <f t="shared" si="38"/>
        <v>0</v>
      </c>
      <c r="N579" s="2">
        <f t="shared" si="39"/>
        <v>0</v>
      </c>
      <c r="O579" s="2" cm="1">
        <f t="array" ref="O579">_xlfn.IFS(M579&lt;Data!$F$3,0,M579&lt;Data!$F$4,1,TRUE,2)</f>
        <v>0</v>
      </c>
      <c r="P579" s="2" cm="1">
        <f t="array" ref="P579">_xlfn.IFS(H579,3,N579&lt;Data!$F$3,0,N579&lt;Data!$F$4,1,TRUE,2)</f>
        <v>0</v>
      </c>
    </row>
    <row r="580" spans="4:16">
      <c r="D580" s="3"/>
      <c r="E580" s="3"/>
      <c r="F580" s="3"/>
      <c r="G580" s="2" t="str" cm="1">
        <f t="array" ref="G580">_xlfn.CONCAT(IFERROR(I580:K580,""))</f>
        <v>02000000FEFFFFFF</v>
      </c>
      <c r="I580" s="2" t="e">
        <f>_xlfn.LET(_xlpm.big,DEC2HEX(_xlfn.BITLSHIFT(M580-_xlfn.XLOOKUP(O580,Data!A:A,Data!F:F),4)+O580,8),_xlfn.CONCAT(MID(_xlpm.big,7,2),MID(_xlpm.big,5,2),MID(_xlpm.big,3,2),MID(_xlpm.big,1,2)))</f>
        <v>#NUM!</v>
      </c>
      <c r="J580" s="2" t="str">
        <f t="shared" si="36"/>
        <v>02000000</v>
      </c>
      <c r="K580" s="2" t="str">
        <f>_xlfn.LET(_xlpm.big,IF(H580,DEC2HEX(HEX2DEC(F580),8),DEC2HEX(N580-_xlfn.XLOOKUP(P580,Data!A:A,Data!F:F),8)),_xlfn.CONCAT(MID(_xlpm.big,7,2),MID(_xlpm.big,5,2),MID(_xlpm.big,3,2),MID(_xlpm.big,1,2)))</f>
        <v>FEFFFFFF</v>
      </c>
      <c r="L580" s="2">
        <f t="shared" si="37"/>
        <v>0</v>
      </c>
      <c r="M580" s="2">
        <f t="shared" si="38"/>
        <v>0</v>
      </c>
      <c r="N580" s="2">
        <f t="shared" si="39"/>
        <v>0</v>
      </c>
      <c r="O580" s="2" cm="1">
        <f t="array" ref="O580">_xlfn.IFS(M580&lt;Data!$F$3,0,M580&lt;Data!$F$4,1,TRUE,2)</f>
        <v>0</v>
      </c>
      <c r="P580" s="2" cm="1">
        <f t="array" ref="P580">_xlfn.IFS(H580,3,N580&lt;Data!$F$3,0,N580&lt;Data!$F$4,1,TRUE,2)</f>
        <v>0</v>
      </c>
    </row>
    <row r="581" spans="4:16">
      <c r="D581" s="3"/>
      <c r="E581" s="3"/>
      <c r="F581" s="3"/>
      <c r="G581" s="2" t="str" cm="1">
        <f t="array" ref="G581">_xlfn.CONCAT(IFERROR(I581:K581,""))</f>
        <v>02000000FEFFFFFF</v>
      </c>
      <c r="I581" s="2" t="e">
        <f>_xlfn.LET(_xlpm.big,DEC2HEX(_xlfn.BITLSHIFT(M581-_xlfn.XLOOKUP(O581,Data!A:A,Data!F:F),4)+O581,8),_xlfn.CONCAT(MID(_xlpm.big,7,2),MID(_xlpm.big,5,2),MID(_xlpm.big,3,2),MID(_xlpm.big,1,2)))</f>
        <v>#NUM!</v>
      </c>
      <c r="J581" s="2" t="str">
        <f t="shared" si="36"/>
        <v>02000000</v>
      </c>
      <c r="K581" s="2" t="str">
        <f>_xlfn.LET(_xlpm.big,IF(H581,DEC2HEX(HEX2DEC(F581),8),DEC2HEX(N581-_xlfn.XLOOKUP(P581,Data!A:A,Data!F:F),8)),_xlfn.CONCAT(MID(_xlpm.big,7,2),MID(_xlpm.big,5,2),MID(_xlpm.big,3,2),MID(_xlpm.big,1,2)))</f>
        <v>FEFFFFFF</v>
      </c>
      <c r="L581" s="2">
        <f t="shared" si="37"/>
        <v>0</v>
      </c>
      <c r="M581" s="2">
        <f t="shared" si="38"/>
        <v>0</v>
      </c>
      <c r="N581" s="2">
        <f t="shared" si="39"/>
        <v>0</v>
      </c>
      <c r="O581" s="2" cm="1">
        <f t="array" ref="O581">_xlfn.IFS(M581&lt;Data!$F$3,0,M581&lt;Data!$F$4,1,TRUE,2)</f>
        <v>0</v>
      </c>
      <c r="P581" s="2" cm="1">
        <f t="array" ref="P581">_xlfn.IFS(H581,3,N581&lt;Data!$F$3,0,N581&lt;Data!$F$4,1,TRUE,2)</f>
        <v>0</v>
      </c>
    </row>
    <row r="582" spans="4:16">
      <c r="D582" s="3"/>
      <c r="E582" s="3"/>
      <c r="F582" s="3"/>
      <c r="G582" s="2" t="str" cm="1">
        <f t="array" ref="G582">_xlfn.CONCAT(IFERROR(I582:K582,""))</f>
        <v>02000000FEFFFFFF</v>
      </c>
      <c r="I582" s="2" t="e">
        <f>_xlfn.LET(_xlpm.big,DEC2HEX(_xlfn.BITLSHIFT(M582-_xlfn.XLOOKUP(O582,Data!A:A,Data!F:F),4)+O582,8),_xlfn.CONCAT(MID(_xlpm.big,7,2),MID(_xlpm.big,5,2),MID(_xlpm.big,3,2),MID(_xlpm.big,1,2)))</f>
        <v>#NUM!</v>
      </c>
      <c r="J582" s="2" t="str">
        <f t="shared" si="36"/>
        <v>02000000</v>
      </c>
      <c r="K582" s="2" t="str">
        <f>_xlfn.LET(_xlpm.big,IF(H582,DEC2HEX(HEX2DEC(F582),8),DEC2HEX(N582-_xlfn.XLOOKUP(P582,Data!A:A,Data!F:F),8)),_xlfn.CONCAT(MID(_xlpm.big,7,2),MID(_xlpm.big,5,2),MID(_xlpm.big,3,2),MID(_xlpm.big,1,2)))</f>
        <v>FEFFFFFF</v>
      </c>
      <c r="L582" s="2">
        <f t="shared" si="37"/>
        <v>0</v>
      </c>
      <c r="M582" s="2">
        <f t="shared" si="38"/>
        <v>0</v>
      </c>
      <c r="N582" s="2">
        <f t="shared" si="39"/>
        <v>0</v>
      </c>
      <c r="O582" s="2" cm="1">
        <f t="array" ref="O582">_xlfn.IFS(M582&lt;Data!$F$3,0,M582&lt;Data!$F$4,1,TRUE,2)</f>
        <v>0</v>
      </c>
      <c r="P582" s="2" cm="1">
        <f t="array" ref="P582">_xlfn.IFS(H582,3,N582&lt;Data!$F$3,0,N582&lt;Data!$F$4,1,TRUE,2)</f>
        <v>0</v>
      </c>
    </row>
    <row r="583" spans="4:16">
      <c r="D583" s="3"/>
      <c r="E583" s="3"/>
      <c r="F583" s="3"/>
      <c r="G583" s="2" t="str" cm="1">
        <f t="array" ref="G583">_xlfn.CONCAT(IFERROR(I583:K583,""))</f>
        <v>02000000FEFFFFFF</v>
      </c>
      <c r="I583" s="2" t="e">
        <f>_xlfn.LET(_xlpm.big,DEC2HEX(_xlfn.BITLSHIFT(M583-_xlfn.XLOOKUP(O583,Data!A:A,Data!F:F),4)+O583,8),_xlfn.CONCAT(MID(_xlpm.big,7,2),MID(_xlpm.big,5,2),MID(_xlpm.big,3,2),MID(_xlpm.big,1,2)))</f>
        <v>#NUM!</v>
      </c>
      <c r="J583" s="2" t="str">
        <f t="shared" si="36"/>
        <v>02000000</v>
      </c>
      <c r="K583" s="2" t="str">
        <f>_xlfn.LET(_xlpm.big,IF(H583,DEC2HEX(HEX2DEC(F583),8),DEC2HEX(N583-_xlfn.XLOOKUP(P583,Data!A:A,Data!F:F),8)),_xlfn.CONCAT(MID(_xlpm.big,7,2),MID(_xlpm.big,5,2),MID(_xlpm.big,3,2),MID(_xlpm.big,1,2)))</f>
        <v>FEFFFFFF</v>
      </c>
      <c r="L583" s="2">
        <f t="shared" si="37"/>
        <v>0</v>
      </c>
      <c r="M583" s="2">
        <f t="shared" si="38"/>
        <v>0</v>
      </c>
      <c r="N583" s="2">
        <f t="shared" si="39"/>
        <v>0</v>
      </c>
      <c r="O583" s="2" cm="1">
        <f t="array" ref="O583">_xlfn.IFS(M583&lt;Data!$F$3,0,M583&lt;Data!$F$4,1,TRUE,2)</f>
        <v>0</v>
      </c>
      <c r="P583" s="2" cm="1">
        <f t="array" ref="P583">_xlfn.IFS(H583,3,N583&lt;Data!$F$3,0,N583&lt;Data!$F$4,1,TRUE,2)</f>
        <v>0</v>
      </c>
    </row>
    <row r="584" spans="4:16">
      <c r="D584" s="3"/>
      <c r="E584" s="3"/>
      <c r="F584" s="3"/>
      <c r="G584" s="2" t="str" cm="1">
        <f t="array" ref="G584">_xlfn.CONCAT(IFERROR(I584:K584,""))</f>
        <v>02000000FEFFFFFF</v>
      </c>
      <c r="I584" s="2" t="e">
        <f>_xlfn.LET(_xlpm.big,DEC2HEX(_xlfn.BITLSHIFT(M584-_xlfn.XLOOKUP(O584,Data!A:A,Data!F:F),4)+O584,8),_xlfn.CONCAT(MID(_xlpm.big,7,2),MID(_xlpm.big,5,2),MID(_xlpm.big,3,2),MID(_xlpm.big,1,2)))</f>
        <v>#NUM!</v>
      </c>
      <c r="J584" s="2" t="str">
        <f t="shared" si="36"/>
        <v>02000000</v>
      </c>
      <c r="K584" s="2" t="str">
        <f>_xlfn.LET(_xlpm.big,IF(H584,DEC2HEX(HEX2DEC(F584),8),DEC2HEX(N584-_xlfn.XLOOKUP(P584,Data!A:A,Data!F:F),8)),_xlfn.CONCAT(MID(_xlpm.big,7,2),MID(_xlpm.big,5,2),MID(_xlpm.big,3,2),MID(_xlpm.big,1,2)))</f>
        <v>FEFFFFFF</v>
      </c>
      <c r="L584" s="2">
        <f t="shared" si="37"/>
        <v>0</v>
      </c>
      <c r="M584" s="2">
        <f t="shared" si="38"/>
        <v>0</v>
      </c>
      <c r="N584" s="2">
        <f t="shared" si="39"/>
        <v>0</v>
      </c>
      <c r="O584" s="2" cm="1">
        <f t="array" ref="O584">_xlfn.IFS(M584&lt;Data!$F$3,0,M584&lt;Data!$F$4,1,TRUE,2)</f>
        <v>0</v>
      </c>
      <c r="P584" s="2" cm="1">
        <f t="array" ref="P584">_xlfn.IFS(H584,3,N584&lt;Data!$F$3,0,N584&lt;Data!$F$4,1,TRUE,2)</f>
        <v>0</v>
      </c>
    </row>
    <row r="585" spans="4:16">
      <c r="D585" s="3"/>
      <c r="E585" s="3"/>
      <c r="F585" s="3"/>
      <c r="G585" s="2" t="str" cm="1">
        <f t="array" ref="G585">_xlfn.CONCAT(IFERROR(I585:K585,""))</f>
        <v>02000000FEFFFFFF</v>
      </c>
      <c r="I585" s="2" t="e">
        <f>_xlfn.LET(_xlpm.big,DEC2HEX(_xlfn.BITLSHIFT(M585-_xlfn.XLOOKUP(O585,Data!A:A,Data!F:F),4)+O585,8),_xlfn.CONCAT(MID(_xlpm.big,7,2),MID(_xlpm.big,5,2),MID(_xlpm.big,3,2),MID(_xlpm.big,1,2)))</f>
        <v>#NUM!</v>
      </c>
      <c r="J585" s="2" t="str">
        <f t="shared" si="36"/>
        <v>02000000</v>
      </c>
      <c r="K585" s="2" t="str">
        <f>_xlfn.LET(_xlpm.big,IF(H585,DEC2HEX(HEX2DEC(F585),8),DEC2HEX(N585-_xlfn.XLOOKUP(P585,Data!A:A,Data!F:F),8)),_xlfn.CONCAT(MID(_xlpm.big,7,2),MID(_xlpm.big,5,2),MID(_xlpm.big,3,2),MID(_xlpm.big,1,2)))</f>
        <v>FEFFFFFF</v>
      </c>
      <c r="L585" s="2">
        <f t="shared" si="37"/>
        <v>0</v>
      </c>
      <c r="M585" s="2">
        <f t="shared" si="38"/>
        <v>0</v>
      </c>
      <c r="N585" s="2">
        <f t="shared" si="39"/>
        <v>0</v>
      </c>
      <c r="O585" s="2" cm="1">
        <f t="array" ref="O585">_xlfn.IFS(M585&lt;Data!$F$3,0,M585&lt;Data!$F$4,1,TRUE,2)</f>
        <v>0</v>
      </c>
      <c r="P585" s="2" cm="1">
        <f t="array" ref="P585">_xlfn.IFS(H585,3,N585&lt;Data!$F$3,0,N585&lt;Data!$F$4,1,TRUE,2)</f>
        <v>0</v>
      </c>
    </row>
    <row r="586" spans="4:16">
      <c r="D586" s="3"/>
      <c r="E586" s="3"/>
      <c r="F586" s="3"/>
      <c r="G586" s="2" t="str" cm="1">
        <f t="array" ref="G586">_xlfn.CONCAT(IFERROR(I586:K586,""))</f>
        <v>02000000FEFFFFFF</v>
      </c>
      <c r="I586" s="2" t="e">
        <f>_xlfn.LET(_xlpm.big,DEC2HEX(_xlfn.BITLSHIFT(M586-_xlfn.XLOOKUP(O586,Data!A:A,Data!F:F),4)+O586,8),_xlfn.CONCAT(MID(_xlpm.big,7,2),MID(_xlpm.big,5,2),MID(_xlpm.big,3,2),MID(_xlpm.big,1,2)))</f>
        <v>#NUM!</v>
      </c>
      <c r="J586" s="2" t="str">
        <f t="shared" si="36"/>
        <v>02000000</v>
      </c>
      <c r="K586" s="2" t="str">
        <f>_xlfn.LET(_xlpm.big,IF(H586,DEC2HEX(HEX2DEC(F586),8),DEC2HEX(N586-_xlfn.XLOOKUP(P586,Data!A:A,Data!F:F),8)),_xlfn.CONCAT(MID(_xlpm.big,7,2),MID(_xlpm.big,5,2),MID(_xlpm.big,3,2),MID(_xlpm.big,1,2)))</f>
        <v>FEFFFFFF</v>
      </c>
      <c r="L586" s="2">
        <f t="shared" si="37"/>
        <v>0</v>
      </c>
      <c r="M586" s="2">
        <f t="shared" si="38"/>
        <v>0</v>
      </c>
      <c r="N586" s="2">
        <f t="shared" si="39"/>
        <v>0</v>
      </c>
      <c r="O586" s="2" cm="1">
        <f t="array" ref="O586">_xlfn.IFS(M586&lt;Data!$F$3,0,M586&lt;Data!$F$4,1,TRUE,2)</f>
        <v>0</v>
      </c>
      <c r="P586" s="2" cm="1">
        <f t="array" ref="P586">_xlfn.IFS(H586,3,N586&lt;Data!$F$3,0,N586&lt;Data!$F$4,1,TRUE,2)</f>
        <v>0</v>
      </c>
    </row>
    <row r="587" spans="4:16">
      <c r="D587" s="3"/>
      <c r="E587" s="3"/>
      <c r="F587" s="3"/>
      <c r="G587" s="2" t="str" cm="1">
        <f t="array" ref="G587">_xlfn.CONCAT(IFERROR(I587:K587,""))</f>
        <v>0203000000000000</v>
      </c>
      <c r="H587" s="2" t="b">
        <v>1</v>
      </c>
      <c r="I587" s="2" t="e">
        <f>_xlfn.LET(_xlpm.big,DEC2HEX(_xlfn.BITLSHIFT(M587-_xlfn.XLOOKUP(O587,Data!A:A,Data!F:F),4)+O587,8),_xlfn.CONCAT(MID(_xlpm.big,7,2),MID(_xlpm.big,5,2),MID(_xlpm.big,3,2),MID(_xlpm.big,1,2)))</f>
        <v>#NUM!</v>
      </c>
      <c r="J587" s="2" t="str">
        <f t="shared" si="36"/>
        <v>02030000</v>
      </c>
      <c r="K587" s="2" t="str">
        <f>_xlfn.LET(_xlpm.big,IF(H587,DEC2HEX(HEX2DEC(F587),8),DEC2HEX(N587-_xlfn.XLOOKUP(P587,Data!A:A,Data!F:F),8)),_xlfn.CONCAT(MID(_xlpm.big,7,2),MID(_xlpm.big,5,2),MID(_xlpm.big,3,2),MID(_xlpm.big,1,2)))</f>
        <v>00000000</v>
      </c>
      <c r="L587" s="2">
        <f t="shared" si="37"/>
        <v>0</v>
      </c>
      <c r="M587" s="2">
        <f t="shared" si="38"/>
        <v>0</v>
      </c>
      <c r="N587" s="2">
        <f t="shared" si="39"/>
        <v>0</v>
      </c>
      <c r="O587" s="2" cm="1">
        <f t="array" ref="O587">_xlfn.IFS(M587&lt;Data!$F$3,0,M587&lt;Data!$F$4,1,TRUE,2)</f>
        <v>0</v>
      </c>
      <c r="P587" s="2" cm="1">
        <f t="array" ref="P587">_xlfn.IFS(H587,3,N587&lt;Data!$F$3,0,N587&lt;Data!$F$4,1,TRUE,2)</f>
        <v>3</v>
      </c>
    </row>
    <row r="588" spans="4:16">
      <c r="D588" s="3"/>
      <c r="E588" s="3"/>
      <c r="F588" s="3"/>
      <c r="G588" s="2" t="str" cm="1">
        <f t="array" ref="G588">_xlfn.CONCAT(IFERROR(I588:K588,""))</f>
        <v>02000000FEFFFFFF</v>
      </c>
      <c r="I588" s="2" t="e">
        <f>_xlfn.LET(_xlpm.big,DEC2HEX(_xlfn.BITLSHIFT(M588-_xlfn.XLOOKUP(O588,Data!A:A,Data!F:F),4)+O588,8),_xlfn.CONCAT(MID(_xlpm.big,7,2),MID(_xlpm.big,5,2),MID(_xlpm.big,3,2),MID(_xlpm.big,1,2)))</f>
        <v>#NUM!</v>
      </c>
      <c r="J588" s="2" t="str">
        <f t="shared" si="36"/>
        <v>02000000</v>
      </c>
      <c r="K588" s="2" t="str">
        <f>_xlfn.LET(_xlpm.big,IF(H588,DEC2HEX(HEX2DEC(F588),8),DEC2HEX(N588-_xlfn.XLOOKUP(P588,Data!A:A,Data!F:F),8)),_xlfn.CONCAT(MID(_xlpm.big,7,2),MID(_xlpm.big,5,2),MID(_xlpm.big,3,2),MID(_xlpm.big,1,2)))</f>
        <v>FEFFFFFF</v>
      </c>
      <c r="L588" s="2">
        <f t="shared" si="37"/>
        <v>0</v>
      </c>
      <c r="M588" s="2">
        <f t="shared" si="38"/>
        <v>0</v>
      </c>
      <c r="N588" s="2">
        <f t="shared" si="39"/>
        <v>0</v>
      </c>
      <c r="O588" s="2" cm="1">
        <f t="array" ref="O588">_xlfn.IFS(M588&lt;Data!$F$3,0,M588&lt;Data!$F$4,1,TRUE,2)</f>
        <v>0</v>
      </c>
      <c r="P588" s="2" cm="1">
        <f t="array" ref="P588">_xlfn.IFS(H588,3,N588&lt;Data!$F$3,0,N588&lt;Data!$F$4,1,TRUE,2)</f>
        <v>0</v>
      </c>
    </row>
    <row r="589" spans="4:16">
      <c r="D589" s="3"/>
      <c r="E589" s="3"/>
      <c r="F589" s="3"/>
      <c r="G589" s="2" t="str" cm="1">
        <f t="array" ref="G589">_xlfn.CONCAT(IFERROR(I589:K589,""))</f>
        <v>02000000FEFFFFFF</v>
      </c>
      <c r="I589" s="2" t="e">
        <f>_xlfn.LET(_xlpm.big,DEC2HEX(_xlfn.BITLSHIFT(M589-_xlfn.XLOOKUP(O589,Data!A:A,Data!F:F),4)+O589,8),_xlfn.CONCAT(MID(_xlpm.big,7,2),MID(_xlpm.big,5,2),MID(_xlpm.big,3,2),MID(_xlpm.big,1,2)))</f>
        <v>#NUM!</v>
      </c>
      <c r="J589" s="2" t="str">
        <f t="shared" si="36"/>
        <v>02000000</v>
      </c>
      <c r="K589" s="2" t="str">
        <f>_xlfn.LET(_xlpm.big,IF(H589,DEC2HEX(HEX2DEC(F589),8),DEC2HEX(N589-_xlfn.XLOOKUP(P589,Data!A:A,Data!F:F),8)),_xlfn.CONCAT(MID(_xlpm.big,7,2),MID(_xlpm.big,5,2),MID(_xlpm.big,3,2),MID(_xlpm.big,1,2)))</f>
        <v>FEFFFFFF</v>
      </c>
      <c r="L589" s="2">
        <f t="shared" si="37"/>
        <v>0</v>
      </c>
      <c r="M589" s="2">
        <f t="shared" si="38"/>
        <v>0</v>
      </c>
      <c r="N589" s="2">
        <f t="shared" si="39"/>
        <v>0</v>
      </c>
      <c r="O589" s="2" cm="1">
        <f t="array" ref="O589">_xlfn.IFS(M589&lt;Data!$F$3,0,M589&lt;Data!$F$4,1,TRUE,2)</f>
        <v>0</v>
      </c>
      <c r="P589" s="2" cm="1">
        <f t="array" ref="P589">_xlfn.IFS(H589,3,N589&lt;Data!$F$3,0,N589&lt;Data!$F$4,1,TRUE,2)</f>
        <v>0</v>
      </c>
    </row>
    <row r="590" spans="4:16">
      <c r="D590" s="3"/>
      <c r="E590" s="3"/>
      <c r="F590" s="3"/>
      <c r="G590" s="2" t="str" cm="1">
        <f t="array" ref="G590">_xlfn.CONCAT(IFERROR(I590:K590,""))</f>
        <v>02000000FEFFFFFF</v>
      </c>
      <c r="I590" s="2" t="e">
        <f>_xlfn.LET(_xlpm.big,DEC2HEX(_xlfn.BITLSHIFT(M590-_xlfn.XLOOKUP(O590,Data!A:A,Data!F:F),4)+O590,8),_xlfn.CONCAT(MID(_xlpm.big,7,2),MID(_xlpm.big,5,2),MID(_xlpm.big,3,2),MID(_xlpm.big,1,2)))</f>
        <v>#NUM!</v>
      </c>
      <c r="J590" s="2" t="str">
        <f t="shared" si="36"/>
        <v>02000000</v>
      </c>
      <c r="K590" s="2" t="str">
        <f>_xlfn.LET(_xlpm.big,IF(H590,DEC2HEX(HEX2DEC(F590),8),DEC2HEX(N590-_xlfn.XLOOKUP(P590,Data!A:A,Data!F:F),8)),_xlfn.CONCAT(MID(_xlpm.big,7,2),MID(_xlpm.big,5,2),MID(_xlpm.big,3,2),MID(_xlpm.big,1,2)))</f>
        <v>FEFFFFFF</v>
      </c>
      <c r="L590" s="2">
        <f t="shared" si="37"/>
        <v>0</v>
      </c>
      <c r="M590" s="2">
        <f t="shared" si="38"/>
        <v>0</v>
      </c>
      <c r="N590" s="2">
        <f t="shared" si="39"/>
        <v>0</v>
      </c>
      <c r="O590" s="2" cm="1">
        <f t="array" ref="O590">_xlfn.IFS(M590&lt;Data!$F$3,0,M590&lt;Data!$F$4,1,TRUE,2)</f>
        <v>0</v>
      </c>
      <c r="P590" s="2" cm="1">
        <f t="array" ref="P590">_xlfn.IFS(H590,3,N590&lt;Data!$F$3,0,N590&lt;Data!$F$4,1,TRUE,2)</f>
        <v>0</v>
      </c>
    </row>
    <row r="591" spans="4:16">
      <c r="D591" s="3"/>
      <c r="E591" s="3"/>
      <c r="F591" s="3"/>
      <c r="G591" s="2" t="str" cm="1">
        <f t="array" ref="G591">_xlfn.CONCAT(IFERROR(I591:K591,""))</f>
        <v>02000000FEFFFFFF</v>
      </c>
      <c r="I591" s="2" t="e">
        <f>_xlfn.LET(_xlpm.big,DEC2HEX(_xlfn.BITLSHIFT(M591-_xlfn.XLOOKUP(O591,Data!A:A,Data!F:F),4)+O591,8),_xlfn.CONCAT(MID(_xlpm.big,7,2),MID(_xlpm.big,5,2),MID(_xlpm.big,3,2),MID(_xlpm.big,1,2)))</f>
        <v>#NUM!</v>
      </c>
      <c r="J591" s="2" t="str">
        <f t="shared" si="36"/>
        <v>02000000</v>
      </c>
      <c r="K591" s="2" t="str">
        <f>_xlfn.LET(_xlpm.big,IF(H591,DEC2HEX(HEX2DEC(F591),8),DEC2HEX(N591-_xlfn.XLOOKUP(P591,Data!A:A,Data!F:F),8)),_xlfn.CONCAT(MID(_xlpm.big,7,2),MID(_xlpm.big,5,2),MID(_xlpm.big,3,2),MID(_xlpm.big,1,2)))</f>
        <v>FEFFFFFF</v>
      </c>
      <c r="L591" s="2">
        <f t="shared" si="37"/>
        <v>0</v>
      </c>
      <c r="M591" s="2">
        <f t="shared" si="38"/>
        <v>0</v>
      </c>
      <c r="N591" s="2">
        <f t="shared" si="39"/>
        <v>0</v>
      </c>
      <c r="O591" s="2" cm="1">
        <f t="array" ref="O591">_xlfn.IFS(M591&lt;Data!$F$3,0,M591&lt;Data!$F$4,1,TRUE,2)</f>
        <v>0</v>
      </c>
      <c r="P591" s="2" cm="1">
        <f t="array" ref="P591">_xlfn.IFS(H591,3,N591&lt;Data!$F$3,0,N591&lt;Data!$F$4,1,TRUE,2)</f>
        <v>0</v>
      </c>
    </row>
    <row r="592" spans="4:16">
      <c r="D592" s="3"/>
      <c r="E592" s="3"/>
      <c r="F592" s="3"/>
      <c r="G592" s="2" t="str" cm="1">
        <f t="array" ref="G592">_xlfn.CONCAT(IFERROR(I592:K592,""))</f>
        <v>02000000FEFFFFFF</v>
      </c>
      <c r="I592" s="2" t="e">
        <f>_xlfn.LET(_xlpm.big,DEC2HEX(_xlfn.BITLSHIFT(M592-_xlfn.XLOOKUP(O592,Data!A:A,Data!F:F),4)+O592,8),_xlfn.CONCAT(MID(_xlpm.big,7,2),MID(_xlpm.big,5,2),MID(_xlpm.big,3,2),MID(_xlpm.big,1,2)))</f>
        <v>#NUM!</v>
      </c>
      <c r="J592" s="2" t="str">
        <f t="shared" si="36"/>
        <v>02000000</v>
      </c>
      <c r="K592" s="2" t="str">
        <f>_xlfn.LET(_xlpm.big,IF(H592,DEC2HEX(HEX2DEC(F592),8),DEC2HEX(N592-_xlfn.XLOOKUP(P592,Data!A:A,Data!F:F),8)),_xlfn.CONCAT(MID(_xlpm.big,7,2),MID(_xlpm.big,5,2),MID(_xlpm.big,3,2),MID(_xlpm.big,1,2)))</f>
        <v>FEFFFFFF</v>
      </c>
      <c r="L592" s="2">
        <f t="shared" si="37"/>
        <v>0</v>
      </c>
      <c r="M592" s="2">
        <f t="shared" si="38"/>
        <v>0</v>
      </c>
      <c r="N592" s="2">
        <f t="shared" si="39"/>
        <v>0</v>
      </c>
      <c r="O592" s="2" cm="1">
        <f t="array" ref="O592">_xlfn.IFS(M592&lt;Data!$F$3,0,M592&lt;Data!$F$4,1,TRUE,2)</f>
        <v>0</v>
      </c>
      <c r="P592" s="2" cm="1">
        <f t="array" ref="P592">_xlfn.IFS(H592,3,N592&lt;Data!$F$3,0,N592&lt;Data!$F$4,1,TRUE,2)</f>
        <v>0</v>
      </c>
    </row>
    <row r="593" spans="4:16">
      <c r="D593" s="3"/>
      <c r="E593" s="3"/>
      <c r="F593" s="3"/>
      <c r="G593" s="2" t="str" cm="1">
        <f t="array" ref="G593">_xlfn.CONCAT(IFERROR(I593:K593,""))</f>
        <v>02000000FEFFFFFF</v>
      </c>
      <c r="I593" s="2" t="e">
        <f>_xlfn.LET(_xlpm.big,DEC2HEX(_xlfn.BITLSHIFT(M593-_xlfn.XLOOKUP(O593,Data!A:A,Data!F:F),4)+O593,8),_xlfn.CONCAT(MID(_xlpm.big,7,2),MID(_xlpm.big,5,2),MID(_xlpm.big,3,2),MID(_xlpm.big,1,2)))</f>
        <v>#NUM!</v>
      </c>
      <c r="J593" s="2" t="str">
        <f t="shared" si="36"/>
        <v>02000000</v>
      </c>
      <c r="K593" s="2" t="str">
        <f>_xlfn.LET(_xlpm.big,IF(H593,DEC2HEX(HEX2DEC(F593),8),DEC2HEX(N593-_xlfn.XLOOKUP(P593,Data!A:A,Data!F:F),8)),_xlfn.CONCAT(MID(_xlpm.big,7,2),MID(_xlpm.big,5,2),MID(_xlpm.big,3,2),MID(_xlpm.big,1,2)))</f>
        <v>FEFFFFFF</v>
      </c>
      <c r="L593" s="2">
        <f t="shared" si="37"/>
        <v>0</v>
      </c>
      <c r="M593" s="2">
        <f t="shared" si="38"/>
        <v>0</v>
      </c>
      <c r="N593" s="2">
        <f t="shared" si="39"/>
        <v>0</v>
      </c>
      <c r="O593" s="2" cm="1">
        <f t="array" ref="O593">_xlfn.IFS(M593&lt;Data!$F$3,0,M593&lt;Data!$F$4,1,TRUE,2)</f>
        <v>0</v>
      </c>
      <c r="P593" s="2" cm="1">
        <f t="array" ref="P593">_xlfn.IFS(H593,3,N593&lt;Data!$F$3,0,N593&lt;Data!$F$4,1,TRUE,2)</f>
        <v>0</v>
      </c>
    </row>
    <row r="594" spans="4:16">
      <c r="D594" s="3"/>
      <c r="E594" s="3"/>
      <c r="F594" s="3"/>
      <c r="G594" s="2" t="str" cm="1">
        <f t="array" ref="G594">_xlfn.CONCAT(IFERROR(I594:K594,""))</f>
        <v>02000000FEFFFFFF</v>
      </c>
      <c r="I594" s="2" t="e">
        <f>_xlfn.LET(_xlpm.big,DEC2HEX(_xlfn.BITLSHIFT(M594-_xlfn.XLOOKUP(O594,Data!A:A,Data!F:F),4)+O594,8),_xlfn.CONCAT(MID(_xlpm.big,7,2),MID(_xlpm.big,5,2),MID(_xlpm.big,3,2),MID(_xlpm.big,1,2)))</f>
        <v>#NUM!</v>
      </c>
      <c r="J594" s="2" t="str">
        <f t="shared" si="36"/>
        <v>02000000</v>
      </c>
      <c r="K594" s="2" t="str">
        <f>_xlfn.LET(_xlpm.big,IF(H594,DEC2HEX(HEX2DEC(F594),8),DEC2HEX(N594-_xlfn.XLOOKUP(P594,Data!A:A,Data!F:F),8)),_xlfn.CONCAT(MID(_xlpm.big,7,2),MID(_xlpm.big,5,2),MID(_xlpm.big,3,2),MID(_xlpm.big,1,2)))</f>
        <v>FEFFFFFF</v>
      </c>
      <c r="L594" s="2">
        <f t="shared" si="37"/>
        <v>0</v>
      </c>
      <c r="M594" s="2">
        <f t="shared" si="38"/>
        <v>0</v>
      </c>
      <c r="N594" s="2">
        <f t="shared" si="39"/>
        <v>0</v>
      </c>
      <c r="O594" s="2" cm="1">
        <f t="array" ref="O594">_xlfn.IFS(M594&lt;Data!$F$3,0,M594&lt;Data!$F$4,1,TRUE,2)</f>
        <v>0</v>
      </c>
      <c r="P594" s="2" cm="1">
        <f t="array" ref="P594">_xlfn.IFS(H594,3,N594&lt;Data!$F$3,0,N594&lt;Data!$F$4,1,TRUE,2)</f>
        <v>0</v>
      </c>
    </row>
    <row r="595" spans="4:16">
      <c r="D595" s="3"/>
      <c r="E595" s="3"/>
      <c r="F595" s="3"/>
      <c r="G595" s="2" t="str" cm="1">
        <f t="array" ref="G595">_xlfn.CONCAT(IFERROR(I595:K595,""))</f>
        <v>02000000FEFFFFFF</v>
      </c>
      <c r="I595" s="2" t="e">
        <f>_xlfn.LET(_xlpm.big,DEC2HEX(_xlfn.BITLSHIFT(M595-_xlfn.XLOOKUP(O595,Data!A:A,Data!F:F),4)+O595,8),_xlfn.CONCAT(MID(_xlpm.big,7,2),MID(_xlpm.big,5,2),MID(_xlpm.big,3,2),MID(_xlpm.big,1,2)))</f>
        <v>#NUM!</v>
      </c>
      <c r="J595" s="2" t="str">
        <f t="shared" si="36"/>
        <v>02000000</v>
      </c>
      <c r="K595" s="2" t="str">
        <f>_xlfn.LET(_xlpm.big,IF(H595,DEC2HEX(HEX2DEC(F595),8),DEC2HEX(N595-_xlfn.XLOOKUP(P595,Data!A:A,Data!F:F),8)),_xlfn.CONCAT(MID(_xlpm.big,7,2),MID(_xlpm.big,5,2),MID(_xlpm.big,3,2),MID(_xlpm.big,1,2)))</f>
        <v>FEFFFFFF</v>
      </c>
      <c r="L595" s="2">
        <f t="shared" si="37"/>
        <v>0</v>
      </c>
      <c r="M595" s="2">
        <f t="shared" si="38"/>
        <v>0</v>
      </c>
      <c r="N595" s="2">
        <f t="shared" si="39"/>
        <v>0</v>
      </c>
      <c r="O595" s="2" cm="1">
        <f t="array" ref="O595">_xlfn.IFS(M595&lt;Data!$F$3,0,M595&lt;Data!$F$4,1,TRUE,2)</f>
        <v>0</v>
      </c>
      <c r="P595" s="2" cm="1">
        <f t="array" ref="P595">_xlfn.IFS(H595,3,N595&lt;Data!$F$3,0,N595&lt;Data!$F$4,1,TRUE,2)</f>
        <v>0</v>
      </c>
    </row>
    <row r="596" spans="4:16">
      <c r="D596" s="3"/>
      <c r="E596" s="3"/>
      <c r="F596" s="3"/>
      <c r="G596" s="2" t="str" cm="1">
        <f t="array" ref="G596">_xlfn.CONCAT(IFERROR(I596:K596,""))</f>
        <v>02000000FEFFFFFF</v>
      </c>
      <c r="I596" s="2" t="e">
        <f>_xlfn.LET(_xlpm.big,DEC2HEX(_xlfn.BITLSHIFT(M596-_xlfn.XLOOKUP(O596,Data!A:A,Data!F:F),4)+O596,8),_xlfn.CONCAT(MID(_xlpm.big,7,2),MID(_xlpm.big,5,2),MID(_xlpm.big,3,2),MID(_xlpm.big,1,2)))</f>
        <v>#NUM!</v>
      </c>
      <c r="J596" s="2" t="str">
        <f t="shared" si="36"/>
        <v>02000000</v>
      </c>
      <c r="K596" s="2" t="str">
        <f>_xlfn.LET(_xlpm.big,IF(H596,DEC2HEX(HEX2DEC(F596),8),DEC2HEX(N596-_xlfn.XLOOKUP(P596,Data!A:A,Data!F:F),8)),_xlfn.CONCAT(MID(_xlpm.big,7,2),MID(_xlpm.big,5,2),MID(_xlpm.big,3,2),MID(_xlpm.big,1,2)))</f>
        <v>FEFFFFFF</v>
      </c>
      <c r="L596" s="2">
        <f t="shared" si="37"/>
        <v>0</v>
      </c>
      <c r="M596" s="2">
        <f t="shared" si="38"/>
        <v>0</v>
      </c>
      <c r="N596" s="2">
        <f t="shared" si="39"/>
        <v>0</v>
      </c>
      <c r="O596" s="2" cm="1">
        <f t="array" ref="O596">_xlfn.IFS(M596&lt;Data!$F$3,0,M596&lt;Data!$F$4,1,TRUE,2)</f>
        <v>0</v>
      </c>
      <c r="P596" s="2" cm="1">
        <f t="array" ref="P596">_xlfn.IFS(H596,3,N596&lt;Data!$F$3,0,N596&lt;Data!$F$4,1,TRUE,2)</f>
        <v>0</v>
      </c>
    </row>
    <row r="597" spans="4:16">
      <c r="D597" s="3"/>
      <c r="E597" s="3"/>
      <c r="F597" s="3"/>
      <c r="G597" s="2" t="str" cm="1">
        <f t="array" ref="G597">_xlfn.CONCAT(IFERROR(I597:K597,""))</f>
        <v>02000000FEFFFFFF</v>
      </c>
      <c r="I597" s="2" t="e">
        <f>_xlfn.LET(_xlpm.big,DEC2HEX(_xlfn.BITLSHIFT(M597-_xlfn.XLOOKUP(O597,Data!A:A,Data!F:F),4)+O597,8),_xlfn.CONCAT(MID(_xlpm.big,7,2),MID(_xlpm.big,5,2),MID(_xlpm.big,3,2),MID(_xlpm.big,1,2)))</f>
        <v>#NUM!</v>
      </c>
      <c r="J597" s="2" t="str">
        <f t="shared" si="36"/>
        <v>02000000</v>
      </c>
      <c r="K597" s="2" t="str">
        <f>_xlfn.LET(_xlpm.big,IF(H597,DEC2HEX(HEX2DEC(F597),8),DEC2HEX(N597-_xlfn.XLOOKUP(P597,Data!A:A,Data!F:F),8)),_xlfn.CONCAT(MID(_xlpm.big,7,2),MID(_xlpm.big,5,2),MID(_xlpm.big,3,2),MID(_xlpm.big,1,2)))</f>
        <v>FEFFFFFF</v>
      </c>
      <c r="L597" s="2">
        <f t="shared" si="37"/>
        <v>0</v>
      </c>
      <c r="M597" s="2">
        <f t="shared" si="38"/>
        <v>0</v>
      </c>
      <c r="N597" s="2">
        <f t="shared" si="39"/>
        <v>0</v>
      </c>
      <c r="O597" s="2" cm="1">
        <f t="array" ref="O597">_xlfn.IFS(M597&lt;Data!$F$3,0,M597&lt;Data!$F$4,1,TRUE,2)</f>
        <v>0</v>
      </c>
      <c r="P597" s="2" cm="1">
        <f t="array" ref="P597">_xlfn.IFS(H597,3,N597&lt;Data!$F$3,0,N597&lt;Data!$F$4,1,TRUE,2)</f>
        <v>0</v>
      </c>
    </row>
    <row r="598" spans="4:16">
      <c r="D598" s="3"/>
      <c r="E598" s="3"/>
      <c r="F598" s="3"/>
      <c r="G598" s="2" t="str" cm="1">
        <f t="array" ref="G598">_xlfn.CONCAT(IFERROR(I598:K598,""))</f>
        <v>02000000FEFFFFFF</v>
      </c>
      <c r="I598" s="2" t="e">
        <f>_xlfn.LET(_xlpm.big,DEC2HEX(_xlfn.BITLSHIFT(M598-_xlfn.XLOOKUP(O598,Data!A:A,Data!F:F),4)+O598,8),_xlfn.CONCAT(MID(_xlpm.big,7,2),MID(_xlpm.big,5,2),MID(_xlpm.big,3,2),MID(_xlpm.big,1,2)))</f>
        <v>#NUM!</v>
      </c>
      <c r="J598" s="2" t="str">
        <f t="shared" si="36"/>
        <v>02000000</v>
      </c>
      <c r="K598" s="2" t="str">
        <f>_xlfn.LET(_xlpm.big,IF(H598,DEC2HEX(HEX2DEC(F598),8),DEC2HEX(N598-_xlfn.XLOOKUP(P598,Data!A:A,Data!F:F),8)),_xlfn.CONCAT(MID(_xlpm.big,7,2),MID(_xlpm.big,5,2),MID(_xlpm.big,3,2),MID(_xlpm.big,1,2)))</f>
        <v>FEFFFFFF</v>
      </c>
      <c r="L598" s="2">
        <f t="shared" si="37"/>
        <v>0</v>
      </c>
      <c r="M598" s="2">
        <f t="shared" si="38"/>
        <v>0</v>
      </c>
      <c r="N598" s="2">
        <f t="shared" si="39"/>
        <v>0</v>
      </c>
      <c r="O598" s="2" cm="1">
        <f t="array" ref="O598">_xlfn.IFS(M598&lt;Data!$F$3,0,M598&lt;Data!$F$4,1,TRUE,2)</f>
        <v>0</v>
      </c>
      <c r="P598" s="2" cm="1">
        <f t="array" ref="P598">_xlfn.IFS(H598,3,N598&lt;Data!$F$3,0,N598&lt;Data!$F$4,1,TRUE,2)</f>
        <v>0</v>
      </c>
    </row>
    <row r="599" spans="4:16">
      <c r="D599" s="3"/>
      <c r="E599" s="3"/>
      <c r="F599" s="3"/>
      <c r="G599" s="2" t="str" cm="1">
        <f t="array" ref="G599">_xlfn.CONCAT(IFERROR(I599:K599,""))</f>
        <v>02000000FEFFFFFF</v>
      </c>
      <c r="I599" s="2" t="e">
        <f>_xlfn.LET(_xlpm.big,DEC2HEX(_xlfn.BITLSHIFT(M599-_xlfn.XLOOKUP(O599,Data!A:A,Data!F:F),4)+O599,8),_xlfn.CONCAT(MID(_xlpm.big,7,2),MID(_xlpm.big,5,2),MID(_xlpm.big,3,2),MID(_xlpm.big,1,2)))</f>
        <v>#NUM!</v>
      </c>
      <c r="J599" s="2" t="str">
        <f t="shared" si="36"/>
        <v>02000000</v>
      </c>
      <c r="K599" s="2" t="str">
        <f>_xlfn.LET(_xlpm.big,IF(H599,DEC2HEX(HEX2DEC(F599),8),DEC2HEX(N599-_xlfn.XLOOKUP(P599,Data!A:A,Data!F:F),8)),_xlfn.CONCAT(MID(_xlpm.big,7,2),MID(_xlpm.big,5,2),MID(_xlpm.big,3,2),MID(_xlpm.big,1,2)))</f>
        <v>FEFFFFFF</v>
      </c>
      <c r="L599" s="2">
        <f t="shared" si="37"/>
        <v>0</v>
      </c>
      <c r="M599" s="2">
        <f t="shared" si="38"/>
        <v>0</v>
      </c>
      <c r="N599" s="2">
        <f t="shared" si="39"/>
        <v>0</v>
      </c>
      <c r="O599" s="2" cm="1">
        <f t="array" ref="O599">_xlfn.IFS(M599&lt;Data!$F$3,0,M599&lt;Data!$F$4,1,TRUE,2)</f>
        <v>0</v>
      </c>
      <c r="P599" s="2" cm="1">
        <f t="array" ref="P599">_xlfn.IFS(H599,3,N599&lt;Data!$F$3,0,N599&lt;Data!$F$4,1,TRUE,2)</f>
        <v>0</v>
      </c>
    </row>
    <row r="600" spans="4:16">
      <c r="D600" s="3"/>
      <c r="E600" s="3"/>
      <c r="F600" s="3"/>
      <c r="G600" s="2" t="str" cm="1">
        <f t="array" ref="G600">_xlfn.CONCAT(IFERROR(I600:K600,""))</f>
        <v>02000000FEFFFFFF</v>
      </c>
      <c r="I600" s="2" t="e">
        <f>_xlfn.LET(_xlpm.big,DEC2HEX(_xlfn.BITLSHIFT(M600-_xlfn.XLOOKUP(O600,Data!A:A,Data!F:F),4)+O600,8),_xlfn.CONCAT(MID(_xlpm.big,7,2),MID(_xlpm.big,5,2),MID(_xlpm.big,3,2),MID(_xlpm.big,1,2)))</f>
        <v>#NUM!</v>
      </c>
      <c r="J600" s="2" t="str">
        <f t="shared" si="36"/>
        <v>02000000</v>
      </c>
      <c r="K600" s="2" t="str">
        <f>_xlfn.LET(_xlpm.big,IF(H600,DEC2HEX(HEX2DEC(F600),8),DEC2HEX(N600-_xlfn.XLOOKUP(P600,Data!A:A,Data!F:F),8)),_xlfn.CONCAT(MID(_xlpm.big,7,2),MID(_xlpm.big,5,2),MID(_xlpm.big,3,2),MID(_xlpm.big,1,2)))</f>
        <v>FEFFFFFF</v>
      </c>
      <c r="L600" s="2">
        <f t="shared" si="37"/>
        <v>0</v>
      </c>
      <c r="M600" s="2">
        <f t="shared" si="38"/>
        <v>0</v>
      </c>
      <c r="N600" s="2">
        <f t="shared" si="39"/>
        <v>0</v>
      </c>
      <c r="O600" s="2" cm="1">
        <f t="array" ref="O600">_xlfn.IFS(M600&lt;Data!$F$3,0,M600&lt;Data!$F$4,1,TRUE,2)</f>
        <v>0</v>
      </c>
      <c r="P600" s="2" cm="1">
        <f t="array" ref="P600">_xlfn.IFS(H600,3,N600&lt;Data!$F$3,0,N600&lt;Data!$F$4,1,TRUE,2)</f>
        <v>0</v>
      </c>
    </row>
    <row r="601" spans="4:16">
      <c r="D601" s="3"/>
      <c r="E601" s="3"/>
      <c r="F601" s="3"/>
      <c r="G601" s="2" t="str" cm="1">
        <f t="array" ref="G601">_xlfn.CONCAT(IFERROR(I601:K601,""))</f>
        <v>02000000FEFFFFFF</v>
      </c>
      <c r="I601" s="2" t="e">
        <f>_xlfn.LET(_xlpm.big,DEC2HEX(_xlfn.BITLSHIFT(M601-_xlfn.XLOOKUP(O601,Data!A:A,Data!F:F),4)+O601,8),_xlfn.CONCAT(MID(_xlpm.big,7,2),MID(_xlpm.big,5,2),MID(_xlpm.big,3,2),MID(_xlpm.big,1,2)))</f>
        <v>#NUM!</v>
      </c>
      <c r="J601" s="2" t="str">
        <f t="shared" si="36"/>
        <v>02000000</v>
      </c>
      <c r="K601" s="2" t="str">
        <f>_xlfn.LET(_xlpm.big,IF(H601,DEC2HEX(HEX2DEC(F601),8),DEC2HEX(N601-_xlfn.XLOOKUP(P601,Data!A:A,Data!F:F),8)),_xlfn.CONCAT(MID(_xlpm.big,7,2),MID(_xlpm.big,5,2),MID(_xlpm.big,3,2),MID(_xlpm.big,1,2)))</f>
        <v>FEFFFFFF</v>
      </c>
      <c r="L601" s="2">
        <f t="shared" si="37"/>
        <v>0</v>
      </c>
      <c r="M601" s="2">
        <f t="shared" si="38"/>
        <v>0</v>
      </c>
      <c r="N601" s="2">
        <f t="shared" si="39"/>
        <v>0</v>
      </c>
      <c r="O601" s="2" cm="1">
        <f t="array" ref="O601">_xlfn.IFS(M601&lt;Data!$F$3,0,M601&lt;Data!$F$4,1,TRUE,2)</f>
        <v>0</v>
      </c>
      <c r="P601" s="2" cm="1">
        <f t="array" ref="P601">_xlfn.IFS(H601,3,N601&lt;Data!$F$3,0,N601&lt;Data!$F$4,1,TRUE,2)</f>
        <v>0</v>
      </c>
    </row>
    <row r="602" spans="4:16">
      <c r="D602" s="3"/>
      <c r="E602" s="3"/>
      <c r="F602" s="3"/>
      <c r="G602" s="2" t="str" cm="1">
        <f t="array" ref="G602">_xlfn.CONCAT(IFERROR(I602:K602,""))</f>
        <v>02000000FEFFFFFF</v>
      </c>
      <c r="I602" s="2" t="e">
        <f>_xlfn.LET(_xlpm.big,DEC2HEX(_xlfn.BITLSHIFT(M602-_xlfn.XLOOKUP(O602,Data!A:A,Data!F:F),4)+O602,8),_xlfn.CONCAT(MID(_xlpm.big,7,2),MID(_xlpm.big,5,2),MID(_xlpm.big,3,2),MID(_xlpm.big,1,2)))</f>
        <v>#NUM!</v>
      </c>
      <c r="J602" s="2" t="str">
        <f t="shared" si="36"/>
        <v>02000000</v>
      </c>
      <c r="K602" s="2" t="str">
        <f>_xlfn.LET(_xlpm.big,IF(H602,DEC2HEX(HEX2DEC(F602),8),DEC2HEX(N602-_xlfn.XLOOKUP(P602,Data!A:A,Data!F:F),8)),_xlfn.CONCAT(MID(_xlpm.big,7,2),MID(_xlpm.big,5,2),MID(_xlpm.big,3,2),MID(_xlpm.big,1,2)))</f>
        <v>FEFFFFFF</v>
      </c>
      <c r="L602" s="2">
        <f t="shared" si="37"/>
        <v>0</v>
      </c>
      <c r="M602" s="2">
        <f t="shared" si="38"/>
        <v>0</v>
      </c>
      <c r="N602" s="2">
        <f t="shared" si="39"/>
        <v>0</v>
      </c>
      <c r="O602" s="2" cm="1">
        <f t="array" ref="O602">_xlfn.IFS(M602&lt;Data!$F$3,0,M602&lt;Data!$F$4,1,TRUE,2)</f>
        <v>0</v>
      </c>
      <c r="P602" s="2" cm="1">
        <f t="array" ref="P602">_xlfn.IFS(H602,3,N602&lt;Data!$F$3,0,N602&lt;Data!$F$4,1,TRUE,2)</f>
        <v>0</v>
      </c>
    </row>
    <row r="603" spans="4:16">
      <c r="D603" s="3"/>
      <c r="E603" s="3"/>
      <c r="F603" s="3"/>
      <c r="G603" s="2" t="str" cm="1">
        <f t="array" ref="G603">_xlfn.CONCAT(IFERROR(I603:K603,""))</f>
        <v>02000000FEFFFFFF</v>
      </c>
      <c r="I603" s="2" t="e">
        <f>_xlfn.LET(_xlpm.big,DEC2HEX(_xlfn.BITLSHIFT(M603-_xlfn.XLOOKUP(O603,Data!A:A,Data!F:F),4)+O603,8),_xlfn.CONCAT(MID(_xlpm.big,7,2),MID(_xlpm.big,5,2),MID(_xlpm.big,3,2),MID(_xlpm.big,1,2)))</f>
        <v>#NUM!</v>
      </c>
      <c r="J603" s="2" t="str">
        <f t="shared" si="36"/>
        <v>02000000</v>
      </c>
      <c r="K603" s="2" t="str">
        <f>_xlfn.LET(_xlpm.big,IF(H603,DEC2HEX(HEX2DEC(F603),8),DEC2HEX(N603-_xlfn.XLOOKUP(P603,Data!A:A,Data!F:F),8)),_xlfn.CONCAT(MID(_xlpm.big,7,2),MID(_xlpm.big,5,2),MID(_xlpm.big,3,2),MID(_xlpm.big,1,2)))</f>
        <v>FEFFFFFF</v>
      </c>
      <c r="L603" s="2">
        <f t="shared" si="37"/>
        <v>0</v>
      </c>
      <c r="M603" s="2">
        <f t="shared" si="38"/>
        <v>0</v>
      </c>
      <c r="N603" s="2">
        <f t="shared" si="39"/>
        <v>0</v>
      </c>
      <c r="O603" s="2" cm="1">
        <f t="array" ref="O603">_xlfn.IFS(M603&lt;Data!$F$3,0,M603&lt;Data!$F$4,1,TRUE,2)</f>
        <v>0</v>
      </c>
      <c r="P603" s="2" cm="1">
        <f t="array" ref="P603">_xlfn.IFS(H603,3,N603&lt;Data!$F$3,0,N603&lt;Data!$F$4,1,TRUE,2)</f>
        <v>0</v>
      </c>
    </row>
    <row r="604" spans="4:16">
      <c r="D604" s="3"/>
      <c r="E604" s="3"/>
      <c r="F604" s="3"/>
      <c r="G604" s="2" t="str" cm="1">
        <f t="array" ref="G604">_xlfn.CONCAT(IFERROR(I604:K604,""))</f>
        <v>02000000FEFFFFFF</v>
      </c>
      <c r="I604" s="2" t="e">
        <f>_xlfn.LET(_xlpm.big,DEC2HEX(_xlfn.BITLSHIFT(M604-_xlfn.XLOOKUP(O604,Data!A:A,Data!F:F),4)+O604,8),_xlfn.CONCAT(MID(_xlpm.big,7,2),MID(_xlpm.big,5,2),MID(_xlpm.big,3,2),MID(_xlpm.big,1,2)))</f>
        <v>#NUM!</v>
      </c>
      <c r="J604" s="2" t="str">
        <f t="shared" si="36"/>
        <v>02000000</v>
      </c>
      <c r="K604" s="2" t="str">
        <f>_xlfn.LET(_xlpm.big,IF(H604,DEC2HEX(HEX2DEC(F604),8),DEC2HEX(N604-_xlfn.XLOOKUP(P604,Data!A:A,Data!F:F),8)),_xlfn.CONCAT(MID(_xlpm.big,7,2),MID(_xlpm.big,5,2),MID(_xlpm.big,3,2),MID(_xlpm.big,1,2)))</f>
        <v>FEFFFFFF</v>
      </c>
      <c r="L604" s="2">
        <f t="shared" si="37"/>
        <v>0</v>
      </c>
      <c r="M604" s="2">
        <f t="shared" si="38"/>
        <v>0</v>
      </c>
      <c r="N604" s="2">
        <f t="shared" si="39"/>
        <v>0</v>
      </c>
      <c r="O604" s="2" cm="1">
        <f t="array" ref="O604">_xlfn.IFS(M604&lt;Data!$F$3,0,M604&lt;Data!$F$4,1,TRUE,2)</f>
        <v>0</v>
      </c>
      <c r="P604" s="2" cm="1">
        <f t="array" ref="P604">_xlfn.IFS(H604,3,N604&lt;Data!$F$3,0,N604&lt;Data!$F$4,1,TRUE,2)</f>
        <v>0</v>
      </c>
    </row>
    <row r="605" spans="4:16">
      <c r="D605" s="3"/>
      <c r="E605" s="3"/>
      <c r="F605" s="3"/>
      <c r="G605" s="2" t="str" cm="1">
        <f t="array" ref="G605">_xlfn.CONCAT(IFERROR(I605:K605,""))</f>
        <v>02000000FEFFFFFF</v>
      </c>
      <c r="I605" s="2" t="e">
        <f>_xlfn.LET(_xlpm.big,DEC2HEX(_xlfn.BITLSHIFT(M605-_xlfn.XLOOKUP(O605,Data!A:A,Data!F:F),4)+O605,8),_xlfn.CONCAT(MID(_xlpm.big,7,2),MID(_xlpm.big,5,2),MID(_xlpm.big,3,2),MID(_xlpm.big,1,2)))</f>
        <v>#NUM!</v>
      </c>
      <c r="J605" s="2" t="str">
        <f t="shared" si="36"/>
        <v>02000000</v>
      </c>
      <c r="K605" s="2" t="str">
        <f>_xlfn.LET(_xlpm.big,IF(H605,DEC2HEX(HEX2DEC(F605),8),DEC2HEX(N605-_xlfn.XLOOKUP(P605,Data!A:A,Data!F:F),8)),_xlfn.CONCAT(MID(_xlpm.big,7,2),MID(_xlpm.big,5,2),MID(_xlpm.big,3,2),MID(_xlpm.big,1,2)))</f>
        <v>FEFFFFFF</v>
      </c>
      <c r="L605" s="2">
        <f t="shared" si="37"/>
        <v>0</v>
      </c>
      <c r="M605" s="2">
        <f t="shared" si="38"/>
        <v>0</v>
      </c>
      <c r="N605" s="2">
        <f t="shared" si="39"/>
        <v>0</v>
      </c>
      <c r="O605" s="2" cm="1">
        <f t="array" ref="O605">_xlfn.IFS(M605&lt;Data!$F$3,0,M605&lt;Data!$F$4,1,TRUE,2)</f>
        <v>0</v>
      </c>
      <c r="P605" s="2" cm="1">
        <f t="array" ref="P605">_xlfn.IFS(H605,3,N605&lt;Data!$F$3,0,N605&lt;Data!$F$4,1,TRUE,2)</f>
        <v>0</v>
      </c>
    </row>
    <row r="606" spans="4:16">
      <c r="D606" s="3"/>
      <c r="E606" s="3"/>
      <c r="F606" s="3"/>
      <c r="G606" s="2" t="str" cm="1">
        <f t="array" ref="G606">_xlfn.CONCAT(IFERROR(I606:K606,""))</f>
        <v>02000000FEFFFFFF</v>
      </c>
      <c r="I606" s="2" t="e">
        <f>_xlfn.LET(_xlpm.big,DEC2HEX(_xlfn.BITLSHIFT(M606-_xlfn.XLOOKUP(O606,Data!A:A,Data!F:F),4)+O606,8),_xlfn.CONCAT(MID(_xlpm.big,7,2),MID(_xlpm.big,5,2),MID(_xlpm.big,3,2),MID(_xlpm.big,1,2)))</f>
        <v>#NUM!</v>
      </c>
      <c r="J606" s="2" t="str">
        <f t="shared" si="36"/>
        <v>02000000</v>
      </c>
      <c r="K606" s="2" t="str">
        <f>_xlfn.LET(_xlpm.big,IF(H606,DEC2HEX(HEX2DEC(F606),8),DEC2HEX(N606-_xlfn.XLOOKUP(P606,Data!A:A,Data!F:F),8)),_xlfn.CONCAT(MID(_xlpm.big,7,2),MID(_xlpm.big,5,2),MID(_xlpm.big,3,2),MID(_xlpm.big,1,2)))</f>
        <v>FEFFFFFF</v>
      </c>
      <c r="L606" s="2">
        <f t="shared" si="37"/>
        <v>0</v>
      </c>
      <c r="M606" s="2">
        <f t="shared" si="38"/>
        <v>0</v>
      </c>
      <c r="N606" s="2">
        <f t="shared" si="39"/>
        <v>0</v>
      </c>
      <c r="O606" s="2" cm="1">
        <f t="array" ref="O606">_xlfn.IFS(M606&lt;Data!$F$3,0,M606&lt;Data!$F$4,1,TRUE,2)</f>
        <v>0</v>
      </c>
      <c r="P606" s="2" cm="1">
        <f t="array" ref="P606">_xlfn.IFS(H606,3,N606&lt;Data!$F$3,0,N606&lt;Data!$F$4,1,TRUE,2)</f>
        <v>0</v>
      </c>
    </row>
    <row r="607" spans="4:16">
      <c r="D607" s="3"/>
      <c r="E607" s="3"/>
      <c r="F607" s="3"/>
      <c r="G607" s="2" t="str" cm="1">
        <f t="array" ref="G607">_xlfn.CONCAT(IFERROR(I607:K607,""))</f>
        <v>02000000FEFFFFFF</v>
      </c>
      <c r="I607" s="2" t="e">
        <f>_xlfn.LET(_xlpm.big,DEC2HEX(_xlfn.BITLSHIFT(M607-_xlfn.XLOOKUP(O607,Data!A:A,Data!F:F),4)+O607,8),_xlfn.CONCAT(MID(_xlpm.big,7,2),MID(_xlpm.big,5,2),MID(_xlpm.big,3,2),MID(_xlpm.big,1,2)))</f>
        <v>#NUM!</v>
      </c>
      <c r="J607" s="2" t="str">
        <f t="shared" si="36"/>
        <v>02000000</v>
      </c>
      <c r="K607" s="2" t="str">
        <f>_xlfn.LET(_xlpm.big,IF(H607,DEC2HEX(HEX2DEC(F607),8),DEC2HEX(N607-_xlfn.XLOOKUP(P607,Data!A:A,Data!F:F),8)),_xlfn.CONCAT(MID(_xlpm.big,7,2),MID(_xlpm.big,5,2),MID(_xlpm.big,3,2),MID(_xlpm.big,1,2)))</f>
        <v>FEFFFFFF</v>
      </c>
      <c r="L607" s="2">
        <f t="shared" si="37"/>
        <v>0</v>
      </c>
      <c r="M607" s="2">
        <f t="shared" si="38"/>
        <v>0</v>
      </c>
      <c r="N607" s="2">
        <f t="shared" si="39"/>
        <v>0</v>
      </c>
      <c r="O607" s="2" cm="1">
        <f t="array" ref="O607">_xlfn.IFS(M607&lt;Data!$F$3,0,M607&lt;Data!$F$4,1,TRUE,2)</f>
        <v>0</v>
      </c>
      <c r="P607" s="2" cm="1">
        <f t="array" ref="P607">_xlfn.IFS(H607,3,N607&lt;Data!$F$3,0,N607&lt;Data!$F$4,1,TRUE,2)</f>
        <v>0</v>
      </c>
    </row>
    <row r="608" spans="4:16">
      <c r="D608" s="3"/>
      <c r="E608" s="3"/>
      <c r="F608" s="3"/>
      <c r="G608" s="2" t="str" cm="1">
        <f t="array" ref="G608">_xlfn.CONCAT(IFERROR(I608:K608,""))</f>
        <v>02000000FEFFFFFF</v>
      </c>
      <c r="I608" s="2" t="e">
        <f>_xlfn.LET(_xlpm.big,DEC2HEX(_xlfn.BITLSHIFT(M608-_xlfn.XLOOKUP(O608,Data!A:A,Data!F:F),4)+O608,8),_xlfn.CONCAT(MID(_xlpm.big,7,2),MID(_xlpm.big,5,2),MID(_xlpm.big,3,2),MID(_xlpm.big,1,2)))</f>
        <v>#NUM!</v>
      </c>
      <c r="J608" s="2" t="str">
        <f t="shared" si="36"/>
        <v>02000000</v>
      </c>
      <c r="K608" s="2" t="str">
        <f>_xlfn.LET(_xlpm.big,IF(H608,DEC2HEX(HEX2DEC(F608),8),DEC2HEX(N608-_xlfn.XLOOKUP(P608,Data!A:A,Data!F:F),8)),_xlfn.CONCAT(MID(_xlpm.big,7,2),MID(_xlpm.big,5,2),MID(_xlpm.big,3,2),MID(_xlpm.big,1,2)))</f>
        <v>FEFFFFFF</v>
      </c>
      <c r="L608" s="2">
        <f t="shared" si="37"/>
        <v>0</v>
      </c>
      <c r="M608" s="2">
        <f t="shared" si="38"/>
        <v>0</v>
      </c>
      <c r="N608" s="2">
        <f t="shared" si="39"/>
        <v>0</v>
      </c>
      <c r="O608" s="2" cm="1">
        <f t="array" ref="O608">_xlfn.IFS(M608&lt;Data!$F$3,0,M608&lt;Data!$F$4,1,TRUE,2)</f>
        <v>0</v>
      </c>
      <c r="P608" s="2" cm="1">
        <f t="array" ref="P608">_xlfn.IFS(H608,3,N608&lt;Data!$F$3,0,N608&lt;Data!$F$4,1,TRUE,2)</f>
        <v>0</v>
      </c>
    </row>
    <row r="609" spans="4:16">
      <c r="D609" s="3"/>
      <c r="E609" s="3"/>
      <c r="F609" s="3"/>
      <c r="G609" s="2" t="str" cm="1">
        <f t="array" ref="G609">_xlfn.CONCAT(IFERROR(I609:K609,""))</f>
        <v>0203000000000000</v>
      </c>
      <c r="H609" s="2" t="b">
        <v>1</v>
      </c>
      <c r="I609" s="2" t="e">
        <f>_xlfn.LET(_xlpm.big,DEC2HEX(_xlfn.BITLSHIFT(M609-_xlfn.XLOOKUP(O609,Data!A:A,Data!F:F),4)+O609,8),_xlfn.CONCAT(MID(_xlpm.big,7,2),MID(_xlpm.big,5,2),MID(_xlpm.big,3,2),MID(_xlpm.big,1,2)))</f>
        <v>#NUM!</v>
      </c>
      <c r="J609" s="2" t="str">
        <f t="shared" si="36"/>
        <v>02030000</v>
      </c>
      <c r="K609" s="2" t="str">
        <f>_xlfn.LET(_xlpm.big,IF(H609,DEC2HEX(HEX2DEC(F609),8),DEC2HEX(N609-_xlfn.XLOOKUP(P609,Data!A:A,Data!F:F),8)),_xlfn.CONCAT(MID(_xlpm.big,7,2),MID(_xlpm.big,5,2),MID(_xlpm.big,3,2),MID(_xlpm.big,1,2)))</f>
        <v>00000000</v>
      </c>
      <c r="L609" s="2">
        <f t="shared" si="37"/>
        <v>0</v>
      </c>
      <c r="M609" s="2">
        <f t="shared" si="38"/>
        <v>0</v>
      </c>
      <c r="N609" s="2">
        <f t="shared" si="39"/>
        <v>0</v>
      </c>
      <c r="O609" s="2" cm="1">
        <f t="array" ref="O609">_xlfn.IFS(M609&lt;Data!$F$3,0,M609&lt;Data!$F$4,1,TRUE,2)</f>
        <v>0</v>
      </c>
      <c r="P609" s="2" cm="1">
        <f t="array" ref="P609">_xlfn.IFS(H609,3,N609&lt;Data!$F$3,0,N609&lt;Data!$F$4,1,TRUE,2)</f>
        <v>3</v>
      </c>
    </row>
    <row r="610" spans="4:16">
      <c r="D610" s="3"/>
      <c r="E610" s="3"/>
      <c r="F610" s="3"/>
      <c r="G610" s="2" t="str" cm="1">
        <f t="array" ref="G610">_xlfn.CONCAT(IFERROR(I610:K610,""))</f>
        <v>02000000FEFFFFFF</v>
      </c>
      <c r="I610" s="2" t="e">
        <f>_xlfn.LET(_xlpm.big,DEC2HEX(_xlfn.BITLSHIFT(M610-_xlfn.XLOOKUP(O610,Data!A:A,Data!F:F),4)+O610,8),_xlfn.CONCAT(MID(_xlpm.big,7,2),MID(_xlpm.big,5,2),MID(_xlpm.big,3,2),MID(_xlpm.big,1,2)))</f>
        <v>#NUM!</v>
      </c>
      <c r="J610" s="2" t="str">
        <f t="shared" si="36"/>
        <v>02000000</v>
      </c>
      <c r="K610" s="2" t="str">
        <f>_xlfn.LET(_xlpm.big,IF(H610,DEC2HEX(HEX2DEC(F610),8),DEC2HEX(N610-_xlfn.XLOOKUP(P610,Data!A:A,Data!F:F),8)),_xlfn.CONCAT(MID(_xlpm.big,7,2),MID(_xlpm.big,5,2),MID(_xlpm.big,3,2),MID(_xlpm.big,1,2)))</f>
        <v>FEFFFFFF</v>
      </c>
      <c r="L610" s="2">
        <f t="shared" si="37"/>
        <v>0</v>
      </c>
      <c r="M610" s="2">
        <f t="shared" si="38"/>
        <v>0</v>
      </c>
      <c r="N610" s="2">
        <f t="shared" si="39"/>
        <v>0</v>
      </c>
      <c r="O610" s="2" cm="1">
        <f t="array" ref="O610">_xlfn.IFS(M610&lt;Data!$F$3,0,M610&lt;Data!$F$4,1,TRUE,2)</f>
        <v>0</v>
      </c>
      <c r="P610" s="2" cm="1">
        <f t="array" ref="P610">_xlfn.IFS(H610,3,N610&lt;Data!$F$3,0,N610&lt;Data!$F$4,1,TRUE,2)</f>
        <v>0</v>
      </c>
    </row>
    <row r="611" spans="4:16">
      <c r="D611" s="3"/>
      <c r="E611" s="3"/>
      <c r="F611" s="3"/>
      <c r="G611" s="2" t="str" cm="1">
        <f t="array" ref="G611">_xlfn.CONCAT(IFERROR(I611:K611,""))</f>
        <v>02000000FEFFFFFF</v>
      </c>
      <c r="I611" s="2" t="e">
        <f>_xlfn.LET(_xlpm.big,DEC2HEX(_xlfn.BITLSHIFT(M611-_xlfn.XLOOKUP(O611,Data!A:A,Data!F:F),4)+O611,8),_xlfn.CONCAT(MID(_xlpm.big,7,2),MID(_xlpm.big,5,2),MID(_xlpm.big,3,2),MID(_xlpm.big,1,2)))</f>
        <v>#NUM!</v>
      </c>
      <c r="J611" s="2" t="str">
        <f t="shared" si="36"/>
        <v>02000000</v>
      </c>
      <c r="K611" s="2" t="str">
        <f>_xlfn.LET(_xlpm.big,IF(H611,DEC2HEX(HEX2DEC(F611),8),DEC2HEX(N611-_xlfn.XLOOKUP(P611,Data!A:A,Data!F:F),8)),_xlfn.CONCAT(MID(_xlpm.big,7,2),MID(_xlpm.big,5,2),MID(_xlpm.big,3,2),MID(_xlpm.big,1,2)))</f>
        <v>FEFFFFFF</v>
      </c>
      <c r="L611" s="2">
        <f t="shared" si="37"/>
        <v>0</v>
      </c>
      <c r="M611" s="2">
        <f t="shared" si="38"/>
        <v>0</v>
      </c>
      <c r="N611" s="2">
        <f t="shared" si="39"/>
        <v>0</v>
      </c>
      <c r="O611" s="2" cm="1">
        <f t="array" ref="O611">_xlfn.IFS(M611&lt;Data!$F$3,0,M611&lt;Data!$F$4,1,TRUE,2)</f>
        <v>0</v>
      </c>
      <c r="P611" s="2" cm="1">
        <f t="array" ref="P611">_xlfn.IFS(H611,3,N611&lt;Data!$F$3,0,N611&lt;Data!$F$4,1,TRUE,2)</f>
        <v>0</v>
      </c>
    </row>
    <row r="612" spans="4:16">
      <c r="D612" s="3"/>
      <c r="E612" s="3"/>
      <c r="F612" s="3"/>
      <c r="G612" s="2" t="str" cm="1">
        <f t="array" ref="G612">_xlfn.CONCAT(IFERROR(I612:K612,""))</f>
        <v>02000000FEFFFFFF</v>
      </c>
      <c r="I612" s="2" t="e">
        <f>_xlfn.LET(_xlpm.big,DEC2HEX(_xlfn.BITLSHIFT(M612-_xlfn.XLOOKUP(O612,Data!A:A,Data!F:F),4)+O612,8),_xlfn.CONCAT(MID(_xlpm.big,7,2),MID(_xlpm.big,5,2),MID(_xlpm.big,3,2),MID(_xlpm.big,1,2)))</f>
        <v>#NUM!</v>
      </c>
      <c r="J612" s="2" t="str">
        <f t="shared" si="36"/>
        <v>02000000</v>
      </c>
      <c r="K612" s="2" t="str">
        <f>_xlfn.LET(_xlpm.big,IF(H612,DEC2HEX(HEX2DEC(F612),8),DEC2HEX(N612-_xlfn.XLOOKUP(P612,Data!A:A,Data!F:F),8)),_xlfn.CONCAT(MID(_xlpm.big,7,2),MID(_xlpm.big,5,2),MID(_xlpm.big,3,2),MID(_xlpm.big,1,2)))</f>
        <v>FEFFFFFF</v>
      </c>
      <c r="L612" s="2">
        <f t="shared" si="37"/>
        <v>0</v>
      </c>
      <c r="M612" s="2">
        <f t="shared" si="38"/>
        <v>0</v>
      </c>
      <c r="N612" s="2">
        <f t="shared" si="39"/>
        <v>0</v>
      </c>
      <c r="O612" s="2" cm="1">
        <f t="array" ref="O612">_xlfn.IFS(M612&lt;Data!$F$3,0,M612&lt;Data!$F$4,1,TRUE,2)</f>
        <v>0</v>
      </c>
      <c r="P612" s="2" cm="1">
        <f t="array" ref="P612">_xlfn.IFS(H612,3,N612&lt;Data!$F$3,0,N612&lt;Data!$F$4,1,TRUE,2)</f>
        <v>0</v>
      </c>
    </row>
    <row r="613" spans="4:16">
      <c r="D613" s="3"/>
      <c r="E613" s="3"/>
      <c r="F613" s="3"/>
      <c r="G613" s="2" t="str" cm="1">
        <f t="array" ref="G613">_xlfn.CONCAT(IFERROR(I613:K613,""))</f>
        <v>02000000FEFFFFFF</v>
      </c>
      <c r="I613" s="2" t="e">
        <f>_xlfn.LET(_xlpm.big,DEC2HEX(_xlfn.BITLSHIFT(M613-_xlfn.XLOOKUP(O613,Data!A:A,Data!F:F),4)+O613,8),_xlfn.CONCAT(MID(_xlpm.big,7,2),MID(_xlpm.big,5,2),MID(_xlpm.big,3,2),MID(_xlpm.big,1,2)))</f>
        <v>#NUM!</v>
      </c>
      <c r="J613" s="2" t="str">
        <f t="shared" si="36"/>
        <v>02000000</v>
      </c>
      <c r="K613" s="2" t="str">
        <f>_xlfn.LET(_xlpm.big,IF(H613,DEC2HEX(HEX2DEC(F613),8),DEC2HEX(N613-_xlfn.XLOOKUP(P613,Data!A:A,Data!F:F),8)),_xlfn.CONCAT(MID(_xlpm.big,7,2),MID(_xlpm.big,5,2),MID(_xlpm.big,3,2),MID(_xlpm.big,1,2)))</f>
        <v>FEFFFFFF</v>
      </c>
      <c r="L613" s="2">
        <f t="shared" si="37"/>
        <v>0</v>
      </c>
      <c r="M613" s="2">
        <f t="shared" si="38"/>
        <v>0</v>
      </c>
      <c r="N613" s="2">
        <f t="shared" si="39"/>
        <v>0</v>
      </c>
      <c r="O613" s="2" cm="1">
        <f t="array" ref="O613">_xlfn.IFS(M613&lt;Data!$F$3,0,M613&lt;Data!$F$4,1,TRUE,2)</f>
        <v>0</v>
      </c>
      <c r="P613" s="2" cm="1">
        <f t="array" ref="P613">_xlfn.IFS(H613,3,N613&lt;Data!$F$3,0,N613&lt;Data!$F$4,1,TRUE,2)</f>
        <v>0</v>
      </c>
    </row>
    <row r="614" spans="4:16">
      <c r="D614" s="3"/>
      <c r="E614" s="3"/>
      <c r="F614" s="3"/>
      <c r="G614" s="2" t="str" cm="1">
        <f t="array" ref="G614">_xlfn.CONCAT(IFERROR(I614:K614,""))</f>
        <v>02000000FEFFFFFF</v>
      </c>
      <c r="I614" s="2" t="e">
        <f>_xlfn.LET(_xlpm.big,DEC2HEX(_xlfn.BITLSHIFT(M614-_xlfn.XLOOKUP(O614,Data!A:A,Data!F:F),4)+O614,8),_xlfn.CONCAT(MID(_xlpm.big,7,2),MID(_xlpm.big,5,2),MID(_xlpm.big,3,2),MID(_xlpm.big,1,2)))</f>
        <v>#NUM!</v>
      </c>
      <c r="J614" s="2" t="str">
        <f t="shared" si="36"/>
        <v>02000000</v>
      </c>
      <c r="K614" s="2" t="str">
        <f>_xlfn.LET(_xlpm.big,IF(H614,DEC2HEX(HEX2DEC(F614),8),DEC2HEX(N614-_xlfn.XLOOKUP(P614,Data!A:A,Data!F:F),8)),_xlfn.CONCAT(MID(_xlpm.big,7,2),MID(_xlpm.big,5,2),MID(_xlpm.big,3,2),MID(_xlpm.big,1,2)))</f>
        <v>FEFFFFFF</v>
      </c>
      <c r="L614" s="2">
        <f t="shared" si="37"/>
        <v>0</v>
      </c>
      <c r="M614" s="2">
        <f t="shared" si="38"/>
        <v>0</v>
      </c>
      <c r="N614" s="2">
        <f t="shared" si="39"/>
        <v>0</v>
      </c>
      <c r="O614" s="2" cm="1">
        <f t="array" ref="O614">_xlfn.IFS(M614&lt;Data!$F$3,0,M614&lt;Data!$F$4,1,TRUE,2)</f>
        <v>0</v>
      </c>
      <c r="P614" s="2" cm="1">
        <f t="array" ref="P614">_xlfn.IFS(H614,3,N614&lt;Data!$F$3,0,N614&lt;Data!$F$4,1,TRUE,2)</f>
        <v>0</v>
      </c>
    </row>
    <row r="615" spans="4:16">
      <c r="D615" s="3"/>
      <c r="E615" s="3"/>
      <c r="F615" s="3"/>
      <c r="G615" s="2" t="str" cm="1">
        <f t="array" ref="G615">_xlfn.CONCAT(IFERROR(I615:K615,""))</f>
        <v>02000000FEFFFFFF</v>
      </c>
      <c r="I615" s="2" t="e">
        <f>_xlfn.LET(_xlpm.big,DEC2HEX(_xlfn.BITLSHIFT(M615-_xlfn.XLOOKUP(O615,Data!A:A,Data!F:F),4)+O615,8),_xlfn.CONCAT(MID(_xlpm.big,7,2),MID(_xlpm.big,5,2),MID(_xlpm.big,3,2),MID(_xlpm.big,1,2)))</f>
        <v>#NUM!</v>
      </c>
      <c r="J615" s="2" t="str">
        <f t="shared" si="36"/>
        <v>02000000</v>
      </c>
      <c r="K615" s="2" t="str">
        <f>_xlfn.LET(_xlpm.big,IF(H615,DEC2HEX(HEX2DEC(F615),8),DEC2HEX(N615-_xlfn.XLOOKUP(P615,Data!A:A,Data!F:F),8)),_xlfn.CONCAT(MID(_xlpm.big,7,2),MID(_xlpm.big,5,2),MID(_xlpm.big,3,2),MID(_xlpm.big,1,2)))</f>
        <v>FEFFFFFF</v>
      </c>
      <c r="L615" s="2">
        <f t="shared" si="37"/>
        <v>0</v>
      </c>
      <c r="M615" s="2">
        <f t="shared" si="38"/>
        <v>0</v>
      </c>
      <c r="N615" s="2">
        <f t="shared" si="39"/>
        <v>0</v>
      </c>
      <c r="O615" s="2" cm="1">
        <f t="array" ref="O615">_xlfn.IFS(M615&lt;Data!$F$3,0,M615&lt;Data!$F$4,1,TRUE,2)</f>
        <v>0</v>
      </c>
      <c r="P615" s="2" cm="1">
        <f t="array" ref="P615">_xlfn.IFS(H615,3,N615&lt;Data!$F$3,0,N615&lt;Data!$F$4,1,TRUE,2)</f>
        <v>0</v>
      </c>
    </row>
    <row r="616" spans="4:16">
      <c r="D616" s="3"/>
      <c r="E616" s="3"/>
      <c r="F616" s="3"/>
      <c r="G616" s="2" t="str" cm="1">
        <f t="array" ref="G616">_xlfn.CONCAT(IFERROR(I616:K616,""))</f>
        <v>02000000FEFFFFFF</v>
      </c>
      <c r="I616" s="2" t="e">
        <f>_xlfn.LET(_xlpm.big,DEC2HEX(_xlfn.BITLSHIFT(M616-_xlfn.XLOOKUP(O616,Data!A:A,Data!F:F),4)+O616,8),_xlfn.CONCAT(MID(_xlpm.big,7,2),MID(_xlpm.big,5,2),MID(_xlpm.big,3,2),MID(_xlpm.big,1,2)))</f>
        <v>#NUM!</v>
      </c>
      <c r="J616" s="2" t="str">
        <f t="shared" si="36"/>
        <v>02000000</v>
      </c>
      <c r="K616" s="2" t="str">
        <f>_xlfn.LET(_xlpm.big,IF(H616,DEC2HEX(HEX2DEC(F616),8),DEC2HEX(N616-_xlfn.XLOOKUP(P616,Data!A:A,Data!F:F),8)),_xlfn.CONCAT(MID(_xlpm.big,7,2),MID(_xlpm.big,5,2),MID(_xlpm.big,3,2),MID(_xlpm.big,1,2)))</f>
        <v>FEFFFFFF</v>
      </c>
      <c r="L616" s="2">
        <f t="shared" si="37"/>
        <v>0</v>
      </c>
      <c r="M616" s="2">
        <f t="shared" si="38"/>
        <v>0</v>
      </c>
      <c r="N616" s="2">
        <f t="shared" si="39"/>
        <v>0</v>
      </c>
      <c r="O616" s="2" cm="1">
        <f t="array" ref="O616">_xlfn.IFS(M616&lt;Data!$F$3,0,M616&lt;Data!$F$4,1,TRUE,2)</f>
        <v>0</v>
      </c>
      <c r="P616" s="2" cm="1">
        <f t="array" ref="P616">_xlfn.IFS(H616,3,N616&lt;Data!$F$3,0,N616&lt;Data!$F$4,1,TRUE,2)</f>
        <v>0</v>
      </c>
    </row>
    <row r="617" spans="4:16">
      <c r="D617" s="3"/>
      <c r="E617" s="3"/>
      <c r="F617" s="3"/>
      <c r="G617" s="2" t="str" cm="1">
        <f t="array" ref="G617">_xlfn.CONCAT(IFERROR(I617:K617,""))</f>
        <v>02000000FEFFFFFF</v>
      </c>
      <c r="I617" s="2" t="e">
        <f>_xlfn.LET(_xlpm.big,DEC2HEX(_xlfn.BITLSHIFT(M617-_xlfn.XLOOKUP(O617,Data!A:A,Data!F:F),4)+O617,8),_xlfn.CONCAT(MID(_xlpm.big,7,2),MID(_xlpm.big,5,2),MID(_xlpm.big,3,2),MID(_xlpm.big,1,2)))</f>
        <v>#NUM!</v>
      </c>
      <c r="J617" s="2" t="str">
        <f t="shared" si="36"/>
        <v>02000000</v>
      </c>
      <c r="K617" s="2" t="str">
        <f>_xlfn.LET(_xlpm.big,IF(H617,DEC2HEX(HEX2DEC(F617),8),DEC2HEX(N617-_xlfn.XLOOKUP(P617,Data!A:A,Data!F:F),8)),_xlfn.CONCAT(MID(_xlpm.big,7,2),MID(_xlpm.big,5,2),MID(_xlpm.big,3,2),MID(_xlpm.big,1,2)))</f>
        <v>FEFFFFFF</v>
      </c>
      <c r="L617" s="2">
        <f t="shared" si="37"/>
        <v>0</v>
      </c>
      <c r="M617" s="2">
        <f t="shared" si="38"/>
        <v>0</v>
      </c>
      <c r="N617" s="2">
        <f t="shared" si="39"/>
        <v>0</v>
      </c>
      <c r="O617" s="2" cm="1">
        <f t="array" ref="O617">_xlfn.IFS(M617&lt;Data!$F$3,0,M617&lt;Data!$F$4,1,TRUE,2)</f>
        <v>0</v>
      </c>
      <c r="P617" s="2" cm="1">
        <f t="array" ref="P617">_xlfn.IFS(H617,3,N617&lt;Data!$F$3,0,N617&lt;Data!$F$4,1,TRUE,2)</f>
        <v>0</v>
      </c>
    </row>
    <row r="618" spans="4:16">
      <c r="F618" s="3"/>
      <c r="G618" s="2" t="str" cm="1">
        <f t="array" ref="G618">_xlfn.CONCAT(IFERROR(I618:K618,""))</f>
        <v>02000000FEFFFFFF</v>
      </c>
      <c r="I618" s="2" t="e">
        <f>_xlfn.LET(_xlpm.big,DEC2HEX(_xlfn.BITLSHIFT(M618-_xlfn.XLOOKUP(O618,Data!A:A,Data!F:F),4)+O618,8),_xlfn.CONCAT(MID(_xlpm.big,7,2),MID(_xlpm.big,5,2),MID(_xlpm.big,3,2),MID(_xlpm.big,1,2)))</f>
        <v>#NUM!</v>
      </c>
      <c r="J618" s="2" t="str">
        <f t="shared" si="36"/>
        <v>02000000</v>
      </c>
      <c r="K618" s="2" t="str">
        <f>_xlfn.LET(_xlpm.big,IF(H618,DEC2HEX(HEX2DEC(F618),8),DEC2HEX(N618-_xlfn.XLOOKUP(P618,Data!A:A,Data!F:F),8)),_xlfn.CONCAT(MID(_xlpm.big,7,2),MID(_xlpm.big,5,2),MID(_xlpm.big,3,2),MID(_xlpm.big,1,2)))</f>
        <v>FEFFFFFF</v>
      </c>
      <c r="L618" s="2">
        <f t="shared" si="37"/>
        <v>0</v>
      </c>
      <c r="M618" s="2">
        <f t="shared" si="38"/>
        <v>0</v>
      </c>
      <c r="N618" s="2">
        <f t="shared" si="39"/>
        <v>0</v>
      </c>
      <c r="O618" s="2" cm="1">
        <f t="array" ref="O618">_xlfn.IFS(M618&lt;Data!$F$3,0,M618&lt;Data!$F$4,1,TRUE,2)</f>
        <v>0</v>
      </c>
      <c r="P618" s="2" cm="1">
        <f t="array" ref="P618">_xlfn.IFS(H618,3,N618&lt;Data!$F$3,0,N618&lt;Data!$F$4,1,TRUE,2)</f>
        <v>0</v>
      </c>
    </row>
    <row r="619" spans="4:16">
      <c r="D619" s="3"/>
      <c r="E619" s="3"/>
      <c r="G619" s="2" t="str" cm="1">
        <f t="array" ref="G619">_xlfn.CONCAT(IFERROR(I619:K619,""))</f>
        <v>02000000FEFFFFFF</v>
      </c>
      <c r="I619" s="2" t="e">
        <f>_xlfn.LET(_xlpm.big,DEC2HEX(_xlfn.BITLSHIFT(M619-_xlfn.XLOOKUP(O619,Data!A:A,Data!F:F),4)+O619,8),_xlfn.CONCAT(MID(_xlpm.big,7,2),MID(_xlpm.big,5,2),MID(_xlpm.big,3,2),MID(_xlpm.big,1,2)))</f>
        <v>#NUM!</v>
      </c>
      <c r="J619" s="2" t="str">
        <f t="shared" si="36"/>
        <v>02000000</v>
      </c>
      <c r="K619" s="2" t="str">
        <f>_xlfn.LET(_xlpm.big,IF(H619,DEC2HEX(HEX2DEC(F619),8),DEC2HEX(N619-_xlfn.XLOOKUP(P619,Data!A:A,Data!F:F),8)),_xlfn.CONCAT(MID(_xlpm.big,7,2),MID(_xlpm.big,5,2),MID(_xlpm.big,3,2),MID(_xlpm.big,1,2)))</f>
        <v>FEFFFFFF</v>
      </c>
      <c r="L619" s="2">
        <f t="shared" si="37"/>
        <v>0</v>
      </c>
      <c r="M619" s="2">
        <f t="shared" si="38"/>
        <v>0</v>
      </c>
      <c r="N619" s="2">
        <f t="shared" si="39"/>
        <v>0</v>
      </c>
      <c r="O619" s="2" cm="1">
        <f t="array" ref="O619">_xlfn.IFS(M619&lt;Data!$F$3,0,M619&lt;Data!$F$4,1,TRUE,2)</f>
        <v>0</v>
      </c>
      <c r="P619" s="2" cm="1">
        <f t="array" ref="P619">_xlfn.IFS(H619,3,N619&lt;Data!$F$3,0,N619&lt;Data!$F$4,1,TRUE,2)</f>
        <v>0</v>
      </c>
    </row>
    <row r="620" spans="4:16">
      <c r="D620" s="3"/>
      <c r="E620" s="3"/>
      <c r="G620" s="2" t="str" cm="1">
        <f t="array" ref="G620">_xlfn.CONCAT(IFERROR(I620:K620,""))</f>
        <v>02000000FEFFFFFF</v>
      </c>
      <c r="I620" s="2" t="e">
        <f>_xlfn.LET(_xlpm.big,DEC2HEX(_xlfn.BITLSHIFT(M620-_xlfn.XLOOKUP(O620,Data!A:A,Data!F:F),4)+O620,8),_xlfn.CONCAT(MID(_xlpm.big,7,2),MID(_xlpm.big,5,2),MID(_xlpm.big,3,2),MID(_xlpm.big,1,2)))</f>
        <v>#NUM!</v>
      </c>
      <c r="J620" s="2" t="str">
        <f t="shared" si="36"/>
        <v>02000000</v>
      </c>
      <c r="K620" s="2" t="str">
        <f>_xlfn.LET(_xlpm.big,IF(H620,DEC2HEX(HEX2DEC(F620),8),DEC2HEX(N620-_xlfn.XLOOKUP(P620,Data!A:A,Data!F:F),8)),_xlfn.CONCAT(MID(_xlpm.big,7,2),MID(_xlpm.big,5,2),MID(_xlpm.big,3,2),MID(_xlpm.big,1,2)))</f>
        <v>FEFFFFFF</v>
      </c>
      <c r="L620" s="2">
        <f t="shared" si="37"/>
        <v>0</v>
      </c>
      <c r="M620" s="2">
        <f t="shared" si="38"/>
        <v>0</v>
      </c>
      <c r="N620" s="2">
        <f t="shared" si="39"/>
        <v>0</v>
      </c>
      <c r="O620" s="2" cm="1">
        <f t="array" ref="O620">_xlfn.IFS(M620&lt;Data!$F$3,0,M620&lt;Data!$F$4,1,TRUE,2)</f>
        <v>0</v>
      </c>
      <c r="P620" s="2" cm="1">
        <f t="array" ref="P620">_xlfn.IFS(H620,3,N620&lt;Data!$F$3,0,N620&lt;Data!$F$4,1,TRUE,2)</f>
        <v>0</v>
      </c>
    </row>
    <row r="621" spans="4:16">
      <c r="D621" s="3"/>
      <c r="E621" s="3"/>
      <c r="F621" s="2"/>
      <c r="G621" s="2" t="str" cm="1">
        <f t="array" ref="G621">_xlfn.CONCAT(IFERROR(I621:K621,""))</f>
        <v>02000000FEFFFFFF</v>
      </c>
      <c r="I621" s="2" t="e">
        <f>_xlfn.LET(_xlpm.big,DEC2HEX(_xlfn.BITLSHIFT(M621-_xlfn.XLOOKUP(O621,Data!A:A,Data!F:F),4)+O621,8),_xlfn.CONCAT(MID(_xlpm.big,7,2),MID(_xlpm.big,5,2),MID(_xlpm.big,3,2),MID(_xlpm.big,1,2)))</f>
        <v>#NUM!</v>
      </c>
      <c r="J621" s="2" t="str">
        <f t="shared" si="36"/>
        <v>02000000</v>
      </c>
      <c r="K621" s="2" t="str">
        <f>_xlfn.LET(_xlpm.big,IF(H621,DEC2HEX(HEX2DEC(F621),8),DEC2HEX(N621-_xlfn.XLOOKUP(P621,Data!A:A,Data!F:F),8)),_xlfn.CONCAT(MID(_xlpm.big,7,2),MID(_xlpm.big,5,2),MID(_xlpm.big,3,2),MID(_xlpm.big,1,2)))</f>
        <v>FEFFFFFF</v>
      </c>
      <c r="L621" s="2">
        <f t="shared" si="37"/>
        <v>0</v>
      </c>
      <c r="M621" s="2">
        <f t="shared" si="38"/>
        <v>0</v>
      </c>
      <c r="N621" s="2">
        <f t="shared" si="39"/>
        <v>0</v>
      </c>
      <c r="O621" s="2" cm="1">
        <f t="array" ref="O621">_xlfn.IFS(M621&lt;Data!$F$3,0,M621&lt;Data!$F$4,1,TRUE,2)</f>
        <v>0</v>
      </c>
      <c r="P621" s="2" cm="1">
        <f t="array" ref="P621">_xlfn.IFS(H621,3,N621&lt;Data!$F$3,0,N621&lt;Data!$F$4,1,TRUE,2)</f>
        <v>0</v>
      </c>
    </row>
    <row r="622" spans="4:16">
      <c r="G622" s="2" t="str" cm="1">
        <f t="array" ref="G622">_xlfn.CONCAT(IFERROR(I622:K622,""))</f>
        <v>02000000FEFFFFFF</v>
      </c>
      <c r="I622" s="2" t="e">
        <f>_xlfn.LET(_xlpm.big,DEC2HEX(_xlfn.BITLSHIFT(M622-_xlfn.XLOOKUP(O622,Data!A:A,Data!F:F),4)+O622,8),_xlfn.CONCAT(MID(_xlpm.big,7,2),MID(_xlpm.big,5,2),MID(_xlpm.big,3,2),MID(_xlpm.big,1,2)))</f>
        <v>#NUM!</v>
      </c>
      <c r="J622" s="2" t="str">
        <f t="shared" si="36"/>
        <v>02000000</v>
      </c>
      <c r="K622" s="2" t="str">
        <f>_xlfn.LET(_xlpm.big,IF(H622,DEC2HEX(HEX2DEC(F622),8),DEC2HEX(N622-_xlfn.XLOOKUP(P622,Data!A:A,Data!F:F),8)),_xlfn.CONCAT(MID(_xlpm.big,7,2),MID(_xlpm.big,5,2),MID(_xlpm.big,3,2),MID(_xlpm.big,1,2)))</f>
        <v>FEFFFFFF</v>
      </c>
      <c r="L622" s="2">
        <f t="shared" si="37"/>
        <v>0</v>
      </c>
      <c r="M622" s="2">
        <f t="shared" si="38"/>
        <v>0</v>
      </c>
      <c r="N622" s="2">
        <f t="shared" si="39"/>
        <v>0</v>
      </c>
      <c r="O622" s="2" cm="1">
        <f t="array" ref="O622">_xlfn.IFS(M622&lt;Data!$F$3,0,M622&lt;Data!$F$4,1,TRUE,2)</f>
        <v>0</v>
      </c>
      <c r="P622" s="2" cm="1">
        <f t="array" ref="P622">_xlfn.IFS(H622,3,N622&lt;Data!$F$3,0,N622&lt;Data!$F$4,1,TRUE,2)</f>
        <v>0</v>
      </c>
    </row>
    <row r="623" spans="4:16">
      <c r="E623" s="16"/>
      <c r="G623" s="2" t="str" cm="1">
        <f t="array" ref="G623">_xlfn.CONCAT(IFERROR(I623:K623,""))</f>
        <v>02000000FEFFFFFF</v>
      </c>
      <c r="I623" s="2" t="e">
        <f>_xlfn.LET(_xlpm.big,DEC2HEX(_xlfn.BITLSHIFT(M623-_xlfn.XLOOKUP(O623,Data!A:A,Data!F:F),4)+O623,8),_xlfn.CONCAT(MID(_xlpm.big,7,2),MID(_xlpm.big,5,2),MID(_xlpm.big,3,2),MID(_xlpm.big,1,2)))</f>
        <v>#NUM!</v>
      </c>
      <c r="J623" s="2" t="str">
        <f t="shared" si="36"/>
        <v>02000000</v>
      </c>
      <c r="K623" s="2" t="str">
        <f>_xlfn.LET(_xlpm.big,IF(H623,DEC2HEX(HEX2DEC(F623),8),DEC2HEX(N623-_xlfn.XLOOKUP(P623,Data!A:A,Data!F:F),8)),_xlfn.CONCAT(MID(_xlpm.big,7,2),MID(_xlpm.big,5,2),MID(_xlpm.big,3,2),MID(_xlpm.big,1,2)))</f>
        <v>FEFFFFFF</v>
      </c>
      <c r="L623" s="2">
        <f t="shared" si="37"/>
        <v>0</v>
      </c>
      <c r="M623" s="2">
        <f t="shared" si="38"/>
        <v>0</v>
      </c>
      <c r="N623" s="2">
        <f t="shared" si="39"/>
        <v>0</v>
      </c>
      <c r="O623" s="2" cm="1">
        <f t="array" ref="O623">_xlfn.IFS(M623&lt;Data!$F$3,0,M623&lt;Data!$F$4,1,TRUE,2)</f>
        <v>0</v>
      </c>
      <c r="P623" s="2" cm="1">
        <f t="array" ref="P623">_xlfn.IFS(H623,3,N623&lt;Data!$F$3,0,N623&lt;Data!$F$4,1,TRUE,2)</f>
        <v>0</v>
      </c>
    </row>
    <row r="624" spans="4:16">
      <c r="E624" s="16"/>
      <c r="G624" s="2" t="str" cm="1">
        <f t="array" ref="G624">_xlfn.CONCAT(IFERROR(I624:K624,""))</f>
        <v>02000000FEFFFFFF</v>
      </c>
      <c r="I624" s="2" t="e">
        <f>_xlfn.LET(_xlpm.big,DEC2HEX(_xlfn.BITLSHIFT(M624-_xlfn.XLOOKUP(O624,Data!A:A,Data!F:F),4)+O624,8),_xlfn.CONCAT(MID(_xlpm.big,7,2),MID(_xlpm.big,5,2),MID(_xlpm.big,3,2),MID(_xlpm.big,1,2)))</f>
        <v>#NUM!</v>
      </c>
      <c r="J624" s="2" t="str">
        <f t="shared" si="36"/>
        <v>02000000</v>
      </c>
      <c r="K624" s="2" t="str">
        <f>_xlfn.LET(_xlpm.big,IF(H624,DEC2HEX(HEX2DEC(F624),8),DEC2HEX(N624-_xlfn.XLOOKUP(P624,Data!A:A,Data!F:F),8)),_xlfn.CONCAT(MID(_xlpm.big,7,2),MID(_xlpm.big,5,2),MID(_xlpm.big,3,2),MID(_xlpm.big,1,2)))</f>
        <v>FEFFFFFF</v>
      </c>
      <c r="L624" s="2">
        <f t="shared" si="37"/>
        <v>0</v>
      </c>
      <c r="M624" s="2">
        <f t="shared" si="38"/>
        <v>0</v>
      </c>
      <c r="N624" s="2">
        <f t="shared" si="39"/>
        <v>0</v>
      </c>
      <c r="O624" s="2" cm="1">
        <f t="array" ref="O624">_xlfn.IFS(M624&lt;Data!$F$3,0,M624&lt;Data!$F$4,1,TRUE,2)</f>
        <v>0</v>
      </c>
      <c r="P624" s="2" cm="1">
        <f t="array" ref="P624">_xlfn.IFS(H624,3,N624&lt;Data!$F$3,0,N624&lt;Data!$F$4,1,TRUE,2)</f>
        <v>0</v>
      </c>
    </row>
    <row r="625" spans="4:16">
      <c r="E625" s="16"/>
      <c r="G625" s="2" t="str" cm="1">
        <f t="array" ref="G625">_xlfn.CONCAT(IFERROR(I625:K625,""))</f>
        <v>02000000FEFFFFFF</v>
      </c>
      <c r="I625" s="2" t="e">
        <f>_xlfn.LET(_xlpm.big,DEC2HEX(_xlfn.BITLSHIFT(M625-_xlfn.XLOOKUP(O625,Data!A:A,Data!F:F),4)+O625,8),_xlfn.CONCAT(MID(_xlpm.big,7,2),MID(_xlpm.big,5,2),MID(_xlpm.big,3,2),MID(_xlpm.big,1,2)))</f>
        <v>#NUM!</v>
      </c>
      <c r="J625" s="2" t="str">
        <f t="shared" si="36"/>
        <v>02000000</v>
      </c>
      <c r="K625" s="2" t="str">
        <f>_xlfn.LET(_xlpm.big,IF(H625,DEC2HEX(HEX2DEC(F625),8),DEC2HEX(N625-_xlfn.XLOOKUP(P625,Data!A:A,Data!F:F),8)),_xlfn.CONCAT(MID(_xlpm.big,7,2),MID(_xlpm.big,5,2),MID(_xlpm.big,3,2),MID(_xlpm.big,1,2)))</f>
        <v>FEFFFFFF</v>
      </c>
      <c r="L625" s="2">
        <f t="shared" si="37"/>
        <v>0</v>
      </c>
      <c r="M625" s="2">
        <f t="shared" si="38"/>
        <v>0</v>
      </c>
      <c r="N625" s="2">
        <f t="shared" si="39"/>
        <v>0</v>
      </c>
      <c r="O625" s="2" cm="1">
        <f t="array" ref="O625">_xlfn.IFS(M625&lt;Data!$F$3,0,M625&lt;Data!$F$4,1,TRUE,2)</f>
        <v>0</v>
      </c>
      <c r="P625" s="2" cm="1">
        <f t="array" ref="P625">_xlfn.IFS(H625,3,N625&lt;Data!$F$3,0,N625&lt;Data!$F$4,1,TRUE,2)</f>
        <v>0</v>
      </c>
    </row>
    <row r="626" spans="4:16">
      <c r="G626" s="2" t="str" cm="1">
        <f t="array" ref="G626">_xlfn.CONCAT(IFERROR(I626:K626,""))</f>
        <v>02000000FEFFFFFF</v>
      </c>
      <c r="I626" s="2" t="e">
        <f>_xlfn.LET(_xlpm.big,DEC2HEX(_xlfn.BITLSHIFT(M626-_xlfn.XLOOKUP(O626,Data!A:A,Data!F:F),4)+O626,8),_xlfn.CONCAT(MID(_xlpm.big,7,2),MID(_xlpm.big,5,2),MID(_xlpm.big,3,2),MID(_xlpm.big,1,2)))</f>
        <v>#NUM!</v>
      </c>
      <c r="J626" s="2" t="str">
        <f t="shared" si="36"/>
        <v>02000000</v>
      </c>
      <c r="K626" s="2" t="str">
        <f>_xlfn.LET(_xlpm.big,IF(H626,DEC2HEX(HEX2DEC(F626),8),DEC2HEX(N626-_xlfn.XLOOKUP(P626,Data!A:A,Data!F:F),8)),_xlfn.CONCAT(MID(_xlpm.big,7,2),MID(_xlpm.big,5,2),MID(_xlpm.big,3,2),MID(_xlpm.big,1,2)))</f>
        <v>FEFFFFFF</v>
      </c>
      <c r="L626" s="2">
        <f t="shared" si="37"/>
        <v>0</v>
      </c>
      <c r="M626" s="2">
        <f t="shared" si="38"/>
        <v>0</v>
      </c>
      <c r="N626" s="2">
        <f t="shared" si="39"/>
        <v>0</v>
      </c>
      <c r="O626" s="2" cm="1">
        <f t="array" ref="O626">_xlfn.IFS(M626&lt;Data!$F$3,0,M626&lt;Data!$F$4,1,TRUE,2)</f>
        <v>0</v>
      </c>
      <c r="P626" s="2" cm="1">
        <f t="array" ref="P626">_xlfn.IFS(H626,3,N626&lt;Data!$F$3,0,N626&lt;Data!$F$4,1,TRUE,2)</f>
        <v>0</v>
      </c>
    </row>
    <row r="627" spans="4:16">
      <c r="E627" s="16"/>
      <c r="G627" s="2" t="str" cm="1">
        <f t="array" ref="G627">_xlfn.CONCAT(IFERROR(I627:K627,""))</f>
        <v>02000000FEFFFFFF</v>
      </c>
      <c r="I627" s="2" t="e">
        <f>_xlfn.LET(_xlpm.big,DEC2HEX(_xlfn.BITLSHIFT(M627-_xlfn.XLOOKUP(O627,Data!A:A,Data!F:F),4)+O627,8),_xlfn.CONCAT(MID(_xlpm.big,7,2),MID(_xlpm.big,5,2),MID(_xlpm.big,3,2),MID(_xlpm.big,1,2)))</f>
        <v>#NUM!</v>
      </c>
      <c r="J627" s="2" t="str">
        <f t="shared" si="36"/>
        <v>02000000</v>
      </c>
      <c r="K627" s="2" t="str">
        <f>_xlfn.LET(_xlpm.big,IF(H627,DEC2HEX(HEX2DEC(F627),8),DEC2HEX(N627-_xlfn.XLOOKUP(P627,Data!A:A,Data!F:F),8)),_xlfn.CONCAT(MID(_xlpm.big,7,2),MID(_xlpm.big,5,2),MID(_xlpm.big,3,2),MID(_xlpm.big,1,2)))</f>
        <v>FEFFFFFF</v>
      </c>
      <c r="L627" s="2">
        <f t="shared" si="37"/>
        <v>0</v>
      </c>
      <c r="M627" s="2">
        <f t="shared" si="38"/>
        <v>0</v>
      </c>
      <c r="N627" s="2">
        <f t="shared" si="39"/>
        <v>0</v>
      </c>
      <c r="O627" s="2" cm="1">
        <f t="array" ref="O627">_xlfn.IFS(M627&lt;Data!$F$3,0,M627&lt;Data!$F$4,1,TRUE,2)</f>
        <v>0</v>
      </c>
      <c r="P627" s="2" cm="1">
        <f t="array" ref="P627">_xlfn.IFS(H627,3,N627&lt;Data!$F$3,0,N627&lt;Data!$F$4,1,TRUE,2)</f>
        <v>0</v>
      </c>
    </row>
    <row r="628" spans="4:16">
      <c r="E628" s="16"/>
      <c r="G628" s="2" t="str" cm="1">
        <f t="array" ref="G628">_xlfn.CONCAT(IFERROR(I628:K628,""))</f>
        <v>02000000FEFFFFFF</v>
      </c>
      <c r="I628" s="2" t="e">
        <f>_xlfn.LET(_xlpm.big,DEC2HEX(_xlfn.BITLSHIFT(M628-_xlfn.XLOOKUP(O628,Data!A:A,Data!F:F),4)+O628,8),_xlfn.CONCAT(MID(_xlpm.big,7,2),MID(_xlpm.big,5,2),MID(_xlpm.big,3,2),MID(_xlpm.big,1,2)))</f>
        <v>#NUM!</v>
      </c>
      <c r="J628" s="2" t="str">
        <f t="shared" si="36"/>
        <v>02000000</v>
      </c>
      <c r="K628" s="2" t="str">
        <f>_xlfn.LET(_xlpm.big,IF(H628,DEC2HEX(HEX2DEC(F628),8),DEC2HEX(N628-_xlfn.XLOOKUP(P628,Data!A:A,Data!F:F),8)),_xlfn.CONCAT(MID(_xlpm.big,7,2),MID(_xlpm.big,5,2),MID(_xlpm.big,3,2),MID(_xlpm.big,1,2)))</f>
        <v>FEFFFFFF</v>
      </c>
      <c r="L628" s="2">
        <f t="shared" si="37"/>
        <v>0</v>
      </c>
      <c r="M628" s="2">
        <f t="shared" si="38"/>
        <v>0</v>
      </c>
      <c r="N628" s="2">
        <f t="shared" si="39"/>
        <v>0</v>
      </c>
      <c r="O628" s="2" cm="1">
        <f t="array" ref="O628">_xlfn.IFS(M628&lt;Data!$F$3,0,M628&lt;Data!$F$4,1,TRUE,2)</f>
        <v>0</v>
      </c>
      <c r="P628" s="2" cm="1">
        <f t="array" ref="P628">_xlfn.IFS(H628,3,N628&lt;Data!$F$3,0,N628&lt;Data!$F$4,1,TRUE,2)</f>
        <v>0</v>
      </c>
    </row>
    <row r="629" spans="4:16">
      <c r="D629" s="3"/>
      <c r="E629" s="3"/>
      <c r="G629" s="2" t="str" cm="1">
        <f t="array" ref="G629">_xlfn.CONCAT(IFERROR(I629:K629,""))</f>
        <v>02000000FEFFFFFF</v>
      </c>
      <c r="I629" s="2" t="e">
        <f>_xlfn.LET(_xlpm.big,DEC2HEX(_xlfn.BITLSHIFT(M629-_xlfn.XLOOKUP(O629,Data!A:A,Data!F:F),4)+O629,8),_xlfn.CONCAT(MID(_xlpm.big,7,2),MID(_xlpm.big,5,2),MID(_xlpm.big,3,2),MID(_xlpm.big,1,2)))</f>
        <v>#NUM!</v>
      </c>
      <c r="J629" s="2" t="str">
        <f t="shared" si="36"/>
        <v>02000000</v>
      </c>
      <c r="K629" s="2" t="str">
        <f>_xlfn.LET(_xlpm.big,IF(H629,DEC2HEX(HEX2DEC(F629),8),DEC2HEX(N629-_xlfn.XLOOKUP(P629,Data!A:A,Data!F:F),8)),_xlfn.CONCAT(MID(_xlpm.big,7,2),MID(_xlpm.big,5,2),MID(_xlpm.big,3,2),MID(_xlpm.big,1,2)))</f>
        <v>FEFFFFFF</v>
      </c>
      <c r="L629" s="2">
        <f t="shared" si="37"/>
        <v>0</v>
      </c>
      <c r="M629" s="2">
        <f t="shared" si="38"/>
        <v>0</v>
      </c>
      <c r="N629" s="2">
        <f t="shared" si="39"/>
        <v>0</v>
      </c>
      <c r="O629" s="2" cm="1">
        <f t="array" ref="O629">_xlfn.IFS(M629&lt;Data!$F$3,0,M629&lt;Data!$F$4,1,TRUE,2)</f>
        <v>0</v>
      </c>
      <c r="P629" s="2" cm="1">
        <f t="array" ref="P629">_xlfn.IFS(H629,3,N629&lt;Data!$F$3,0,N629&lt;Data!$F$4,1,TRUE,2)</f>
        <v>0</v>
      </c>
    </row>
    <row r="630" spans="4:16">
      <c r="G630" s="2" t="str" cm="1">
        <f t="array" ref="G630">_xlfn.CONCAT(IFERROR(I630:K630,""))</f>
        <v>02000000FEFFFFFF</v>
      </c>
      <c r="I630" s="2" t="e">
        <f>_xlfn.LET(_xlpm.big,DEC2HEX(_xlfn.BITLSHIFT(M630-_xlfn.XLOOKUP(O630,Data!A:A,Data!F:F),4)+O630,8),_xlfn.CONCAT(MID(_xlpm.big,7,2),MID(_xlpm.big,5,2),MID(_xlpm.big,3,2),MID(_xlpm.big,1,2)))</f>
        <v>#NUM!</v>
      </c>
      <c r="J630" s="2" t="str">
        <f t="shared" si="36"/>
        <v>02000000</v>
      </c>
      <c r="K630" s="2" t="str">
        <f>_xlfn.LET(_xlpm.big,IF(H630,DEC2HEX(HEX2DEC(F630),8),DEC2HEX(N630-_xlfn.XLOOKUP(P630,Data!A:A,Data!F:F),8)),_xlfn.CONCAT(MID(_xlpm.big,7,2),MID(_xlpm.big,5,2),MID(_xlpm.big,3,2),MID(_xlpm.big,1,2)))</f>
        <v>FEFFFFFF</v>
      </c>
      <c r="L630" s="2">
        <f t="shared" si="37"/>
        <v>0</v>
      </c>
      <c r="M630" s="2">
        <f t="shared" si="38"/>
        <v>0</v>
      </c>
      <c r="N630" s="2">
        <f t="shared" si="39"/>
        <v>0</v>
      </c>
      <c r="O630" s="2" cm="1">
        <f t="array" ref="O630">_xlfn.IFS(M630&lt;Data!$F$3,0,M630&lt;Data!$F$4,1,TRUE,2)</f>
        <v>0</v>
      </c>
      <c r="P630" s="2" cm="1">
        <f t="array" ref="P630">_xlfn.IFS(H630,3,N630&lt;Data!$F$3,0,N630&lt;Data!$F$4,1,TRUE,2)</f>
        <v>0</v>
      </c>
    </row>
    <row r="631" spans="4:16">
      <c r="G631" s="2" t="str" cm="1">
        <f t="array" ref="G631">_xlfn.CONCAT(IFERROR(I631:K631,""))</f>
        <v>02000000FEFFFFFF</v>
      </c>
      <c r="I631" s="2" t="e">
        <f>_xlfn.LET(_xlpm.big,DEC2HEX(_xlfn.BITLSHIFT(M631-_xlfn.XLOOKUP(O631,Data!A:A,Data!F:F),4)+O631,8),_xlfn.CONCAT(MID(_xlpm.big,7,2),MID(_xlpm.big,5,2),MID(_xlpm.big,3,2),MID(_xlpm.big,1,2)))</f>
        <v>#NUM!</v>
      </c>
      <c r="J631" s="2" t="str">
        <f t="shared" si="36"/>
        <v>02000000</v>
      </c>
      <c r="K631" s="2" t="str">
        <f>_xlfn.LET(_xlpm.big,IF(H631,DEC2HEX(HEX2DEC(F631),8),DEC2HEX(N631-_xlfn.XLOOKUP(P631,Data!A:A,Data!F:F),8)),_xlfn.CONCAT(MID(_xlpm.big,7,2),MID(_xlpm.big,5,2),MID(_xlpm.big,3,2),MID(_xlpm.big,1,2)))</f>
        <v>FEFFFFFF</v>
      </c>
      <c r="L631" s="2">
        <f t="shared" si="37"/>
        <v>0</v>
      </c>
      <c r="M631" s="2">
        <f t="shared" si="38"/>
        <v>0</v>
      </c>
      <c r="N631" s="2">
        <f t="shared" si="39"/>
        <v>0</v>
      </c>
      <c r="O631" s="2" cm="1">
        <f t="array" ref="O631">_xlfn.IFS(M631&lt;Data!$F$3,0,M631&lt;Data!$F$4,1,TRUE,2)</f>
        <v>0</v>
      </c>
      <c r="P631" s="2" cm="1">
        <f t="array" ref="P631">_xlfn.IFS(H631,3,N631&lt;Data!$F$3,0,N631&lt;Data!$F$4,1,TRUE,2)</f>
        <v>0</v>
      </c>
    </row>
    <row r="632" spans="4:16">
      <c r="G632" s="2" t="str" cm="1">
        <f t="array" ref="G632">_xlfn.CONCAT(IFERROR(I632:K632,""))</f>
        <v>02000000FEFFFFFF</v>
      </c>
      <c r="I632" s="2" t="e">
        <f>_xlfn.LET(_xlpm.big,DEC2HEX(_xlfn.BITLSHIFT(M632-_xlfn.XLOOKUP(O632,Data!A:A,Data!F:F),4)+O632,8),_xlfn.CONCAT(MID(_xlpm.big,7,2),MID(_xlpm.big,5,2),MID(_xlpm.big,3,2),MID(_xlpm.big,1,2)))</f>
        <v>#NUM!</v>
      </c>
      <c r="J632" s="2" t="str">
        <f t="shared" si="36"/>
        <v>02000000</v>
      </c>
      <c r="K632" s="2" t="str">
        <f>_xlfn.LET(_xlpm.big,IF(H632,DEC2HEX(HEX2DEC(F632),8),DEC2HEX(N632-_xlfn.XLOOKUP(P632,Data!A:A,Data!F:F),8)),_xlfn.CONCAT(MID(_xlpm.big,7,2),MID(_xlpm.big,5,2),MID(_xlpm.big,3,2),MID(_xlpm.big,1,2)))</f>
        <v>FEFFFFFF</v>
      </c>
      <c r="L632" s="2">
        <f t="shared" si="37"/>
        <v>0</v>
      </c>
      <c r="M632" s="2">
        <f t="shared" si="38"/>
        <v>0</v>
      </c>
      <c r="N632" s="2">
        <f t="shared" si="39"/>
        <v>0</v>
      </c>
      <c r="O632" s="2" cm="1">
        <f t="array" ref="O632">_xlfn.IFS(M632&lt;Data!$F$3,0,M632&lt;Data!$F$4,1,TRUE,2)</f>
        <v>0</v>
      </c>
      <c r="P632" s="2" cm="1">
        <f t="array" ref="P632">_xlfn.IFS(H632,3,N632&lt;Data!$F$3,0,N632&lt;Data!$F$4,1,TRUE,2)</f>
        <v>0</v>
      </c>
    </row>
    <row r="633" spans="4:16">
      <c r="G633" s="2" t="str" cm="1">
        <f t="array" ref="G633">_xlfn.CONCAT(IFERROR(I633:K633,""))</f>
        <v>02000000FEFFFFFF</v>
      </c>
      <c r="I633" s="2" t="e">
        <f>_xlfn.LET(_xlpm.big,DEC2HEX(_xlfn.BITLSHIFT(M633-_xlfn.XLOOKUP(O633,Data!A:A,Data!F:F),4)+O633,8),_xlfn.CONCAT(MID(_xlpm.big,7,2),MID(_xlpm.big,5,2),MID(_xlpm.big,3,2),MID(_xlpm.big,1,2)))</f>
        <v>#NUM!</v>
      </c>
      <c r="J633" s="2" t="str">
        <f t="shared" si="36"/>
        <v>02000000</v>
      </c>
      <c r="K633" s="2" t="str">
        <f>_xlfn.LET(_xlpm.big,IF(H633,DEC2HEX(HEX2DEC(F633),8),DEC2HEX(N633-_xlfn.XLOOKUP(P633,Data!A:A,Data!F:F),8)),_xlfn.CONCAT(MID(_xlpm.big,7,2),MID(_xlpm.big,5,2),MID(_xlpm.big,3,2),MID(_xlpm.big,1,2)))</f>
        <v>FEFFFFFF</v>
      </c>
      <c r="L633" s="2">
        <f t="shared" si="37"/>
        <v>0</v>
      </c>
      <c r="M633" s="2">
        <f t="shared" si="38"/>
        <v>0</v>
      </c>
      <c r="N633" s="2">
        <f t="shared" si="39"/>
        <v>0</v>
      </c>
      <c r="O633" s="2" cm="1">
        <f t="array" ref="O633">_xlfn.IFS(M633&lt;Data!$F$3,0,M633&lt;Data!$F$4,1,TRUE,2)</f>
        <v>0</v>
      </c>
      <c r="P633" s="2" cm="1">
        <f t="array" ref="P633">_xlfn.IFS(H633,3,N633&lt;Data!$F$3,0,N633&lt;Data!$F$4,1,TRUE,2)</f>
        <v>0</v>
      </c>
    </row>
    <row r="634" spans="4:16">
      <c r="G634" s="2" t="str" cm="1">
        <f t="array" ref="G634">_xlfn.CONCAT(IFERROR(I634:K634,""))</f>
        <v>02000000FEFFFFFF</v>
      </c>
      <c r="I634" s="2" t="e">
        <f>_xlfn.LET(_xlpm.big,DEC2HEX(_xlfn.BITLSHIFT(M634-_xlfn.XLOOKUP(O634,Data!A:A,Data!F:F),4)+O634,8),_xlfn.CONCAT(MID(_xlpm.big,7,2),MID(_xlpm.big,5,2),MID(_xlpm.big,3,2),MID(_xlpm.big,1,2)))</f>
        <v>#NUM!</v>
      </c>
      <c r="J634" s="2" t="str">
        <f t="shared" si="36"/>
        <v>02000000</v>
      </c>
      <c r="K634" s="2" t="str">
        <f>_xlfn.LET(_xlpm.big,IF(H634,DEC2HEX(HEX2DEC(F634),8),DEC2HEX(N634-_xlfn.XLOOKUP(P634,Data!A:A,Data!F:F),8)),_xlfn.CONCAT(MID(_xlpm.big,7,2),MID(_xlpm.big,5,2),MID(_xlpm.big,3,2),MID(_xlpm.big,1,2)))</f>
        <v>FEFFFFFF</v>
      </c>
      <c r="L634" s="2">
        <f t="shared" si="37"/>
        <v>0</v>
      </c>
      <c r="M634" s="2">
        <f t="shared" si="38"/>
        <v>0</v>
      </c>
      <c r="N634" s="2">
        <f t="shared" si="39"/>
        <v>0</v>
      </c>
      <c r="O634" s="2" cm="1">
        <f t="array" ref="O634">_xlfn.IFS(M634&lt;Data!$F$3,0,M634&lt;Data!$F$4,1,TRUE,2)</f>
        <v>0</v>
      </c>
      <c r="P634" s="2" cm="1">
        <f t="array" ref="P634">_xlfn.IFS(H634,3,N634&lt;Data!$F$3,0,N634&lt;Data!$F$4,1,TRUE,2)</f>
        <v>0</v>
      </c>
    </row>
    <row r="635" spans="4:16">
      <c r="G635" s="2" t="str" cm="1">
        <f t="array" ref="G635">_xlfn.CONCAT(IFERROR(I635:K635,""))</f>
        <v>02000000FEFFFFFF</v>
      </c>
      <c r="I635" s="2" t="e">
        <f>_xlfn.LET(_xlpm.big,DEC2HEX(_xlfn.BITLSHIFT(M635-_xlfn.XLOOKUP(O635,Data!A:A,Data!F:F),4)+O635,8),_xlfn.CONCAT(MID(_xlpm.big,7,2),MID(_xlpm.big,5,2),MID(_xlpm.big,3,2),MID(_xlpm.big,1,2)))</f>
        <v>#NUM!</v>
      </c>
      <c r="J635" s="2" t="str">
        <f t="shared" si="36"/>
        <v>02000000</v>
      </c>
      <c r="K635" s="2" t="str">
        <f>_xlfn.LET(_xlpm.big,IF(H635,DEC2HEX(HEX2DEC(F635),8),DEC2HEX(N635-_xlfn.XLOOKUP(P635,Data!A:A,Data!F:F),8)),_xlfn.CONCAT(MID(_xlpm.big,7,2),MID(_xlpm.big,5,2),MID(_xlpm.big,3,2),MID(_xlpm.big,1,2)))</f>
        <v>FEFFFFFF</v>
      </c>
      <c r="L635" s="2">
        <f t="shared" si="37"/>
        <v>0</v>
      </c>
      <c r="M635" s="2">
        <f t="shared" si="38"/>
        <v>0</v>
      </c>
      <c r="N635" s="2">
        <f t="shared" si="39"/>
        <v>0</v>
      </c>
      <c r="O635" s="2" cm="1">
        <f t="array" ref="O635">_xlfn.IFS(M635&lt;Data!$F$3,0,M635&lt;Data!$F$4,1,TRUE,2)</f>
        <v>0</v>
      </c>
      <c r="P635" s="2" cm="1">
        <f t="array" ref="P635">_xlfn.IFS(H635,3,N635&lt;Data!$F$3,0,N635&lt;Data!$F$4,1,TRUE,2)</f>
        <v>0</v>
      </c>
    </row>
    <row r="636" spans="4:16">
      <c r="G636" s="2" t="str" cm="1">
        <f t="array" ref="G636">_xlfn.CONCAT(IFERROR(I636:K636,""))</f>
        <v>02000000FEFFFFFF</v>
      </c>
      <c r="I636" s="2" t="e">
        <f>_xlfn.LET(_xlpm.big,DEC2HEX(_xlfn.BITLSHIFT(M636-_xlfn.XLOOKUP(O636,Data!A:A,Data!F:F),4)+O636,8),_xlfn.CONCAT(MID(_xlpm.big,7,2),MID(_xlpm.big,5,2),MID(_xlpm.big,3,2),MID(_xlpm.big,1,2)))</f>
        <v>#NUM!</v>
      </c>
      <c r="J636" s="2" t="str">
        <f t="shared" si="36"/>
        <v>02000000</v>
      </c>
      <c r="K636" s="2" t="str">
        <f>_xlfn.LET(_xlpm.big,IF(H636,DEC2HEX(HEX2DEC(F636),8),DEC2HEX(N636-_xlfn.XLOOKUP(P636,Data!A:A,Data!F:F),8)),_xlfn.CONCAT(MID(_xlpm.big,7,2),MID(_xlpm.big,5,2),MID(_xlpm.big,3,2),MID(_xlpm.big,1,2)))</f>
        <v>FEFFFFFF</v>
      </c>
      <c r="L636" s="2">
        <f t="shared" si="37"/>
        <v>0</v>
      </c>
      <c r="M636" s="2">
        <f t="shared" si="38"/>
        <v>0</v>
      </c>
      <c r="N636" s="2">
        <f t="shared" si="39"/>
        <v>0</v>
      </c>
      <c r="O636" s="2" cm="1">
        <f t="array" ref="O636">_xlfn.IFS(M636&lt;Data!$F$3,0,M636&lt;Data!$F$4,1,TRUE,2)</f>
        <v>0</v>
      </c>
      <c r="P636" s="2" cm="1">
        <f t="array" ref="P636">_xlfn.IFS(H636,3,N636&lt;Data!$F$3,0,N636&lt;Data!$F$4,1,TRUE,2)</f>
        <v>0</v>
      </c>
    </row>
    <row r="637" spans="4:16">
      <c r="G637" s="2" t="str" cm="1">
        <f t="array" ref="G637">_xlfn.CONCAT(IFERROR(I637:K637,""))</f>
        <v>02000000FEFFFFFF</v>
      </c>
      <c r="I637" s="2" t="e">
        <f>_xlfn.LET(_xlpm.big,DEC2HEX(_xlfn.BITLSHIFT(M637-_xlfn.XLOOKUP(O637,Data!A:A,Data!F:F),4)+O637,8),_xlfn.CONCAT(MID(_xlpm.big,7,2),MID(_xlpm.big,5,2),MID(_xlpm.big,3,2),MID(_xlpm.big,1,2)))</f>
        <v>#NUM!</v>
      </c>
      <c r="J637" s="2" t="str">
        <f t="shared" si="36"/>
        <v>02000000</v>
      </c>
      <c r="K637" s="2" t="str">
        <f>_xlfn.LET(_xlpm.big,IF(H637,DEC2HEX(HEX2DEC(F637),8),DEC2HEX(N637-_xlfn.XLOOKUP(P637,Data!A:A,Data!F:F),8)),_xlfn.CONCAT(MID(_xlpm.big,7,2),MID(_xlpm.big,5,2),MID(_xlpm.big,3,2),MID(_xlpm.big,1,2)))</f>
        <v>FEFFFFFF</v>
      </c>
      <c r="L637" s="2">
        <f t="shared" si="37"/>
        <v>0</v>
      </c>
      <c r="M637" s="2">
        <f t="shared" si="38"/>
        <v>0</v>
      </c>
      <c r="N637" s="2">
        <f t="shared" si="39"/>
        <v>0</v>
      </c>
      <c r="O637" s="2" cm="1">
        <f t="array" ref="O637">_xlfn.IFS(M637&lt;Data!$F$3,0,M637&lt;Data!$F$4,1,TRUE,2)</f>
        <v>0</v>
      </c>
      <c r="P637" s="2" cm="1">
        <f t="array" ref="P637">_xlfn.IFS(H637,3,N637&lt;Data!$F$3,0,N637&lt;Data!$F$4,1,TRUE,2)</f>
        <v>0</v>
      </c>
    </row>
    <row r="638" spans="4:16">
      <c r="G638" s="2" t="str" cm="1">
        <f t="array" ref="G638">_xlfn.CONCAT(IFERROR(I638:K638,""))</f>
        <v>02000000FEFFFFFF</v>
      </c>
      <c r="I638" s="2" t="e">
        <f>_xlfn.LET(_xlpm.big,DEC2HEX(_xlfn.BITLSHIFT(M638-_xlfn.XLOOKUP(O638,Data!A:A,Data!F:F),4)+O638,8),_xlfn.CONCAT(MID(_xlpm.big,7,2),MID(_xlpm.big,5,2),MID(_xlpm.big,3,2),MID(_xlpm.big,1,2)))</f>
        <v>#NUM!</v>
      </c>
      <c r="J638" s="2" t="str">
        <f t="shared" si="36"/>
        <v>02000000</v>
      </c>
      <c r="K638" s="2" t="str">
        <f>_xlfn.LET(_xlpm.big,IF(H638,DEC2HEX(HEX2DEC(F638),8),DEC2HEX(N638-_xlfn.XLOOKUP(P638,Data!A:A,Data!F:F),8)),_xlfn.CONCAT(MID(_xlpm.big,7,2),MID(_xlpm.big,5,2),MID(_xlpm.big,3,2),MID(_xlpm.big,1,2)))</f>
        <v>FEFFFFFF</v>
      </c>
      <c r="L638" s="2">
        <f t="shared" si="37"/>
        <v>0</v>
      </c>
      <c r="M638" s="2">
        <f t="shared" si="38"/>
        <v>0</v>
      </c>
      <c r="N638" s="2">
        <f t="shared" si="39"/>
        <v>0</v>
      </c>
      <c r="O638" s="2" cm="1">
        <f t="array" ref="O638">_xlfn.IFS(M638&lt;Data!$F$3,0,M638&lt;Data!$F$4,1,TRUE,2)</f>
        <v>0</v>
      </c>
      <c r="P638" s="2" cm="1">
        <f t="array" ref="P638">_xlfn.IFS(H638,3,N638&lt;Data!$F$3,0,N638&lt;Data!$F$4,1,TRUE,2)</f>
        <v>0</v>
      </c>
    </row>
    <row r="639" spans="4:16">
      <c r="G639" s="2" t="str" cm="1">
        <f t="array" ref="G639">_xlfn.CONCAT(IFERROR(I639:K639,""))</f>
        <v>02000000FEFFFFFF</v>
      </c>
      <c r="I639" s="2" t="e">
        <f>_xlfn.LET(_xlpm.big,DEC2HEX(_xlfn.BITLSHIFT(M639-_xlfn.XLOOKUP(O639,Data!A:A,Data!F:F),4)+O639,8),_xlfn.CONCAT(MID(_xlpm.big,7,2),MID(_xlpm.big,5,2),MID(_xlpm.big,3,2),MID(_xlpm.big,1,2)))</f>
        <v>#NUM!</v>
      </c>
      <c r="J639" s="2" t="str">
        <f t="shared" si="36"/>
        <v>02000000</v>
      </c>
      <c r="K639" s="2" t="str">
        <f>_xlfn.LET(_xlpm.big,IF(H639,DEC2HEX(HEX2DEC(F639),8),DEC2HEX(N639-_xlfn.XLOOKUP(P639,Data!A:A,Data!F:F),8)),_xlfn.CONCAT(MID(_xlpm.big,7,2),MID(_xlpm.big,5,2),MID(_xlpm.big,3,2),MID(_xlpm.big,1,2)))</f>
        <v>FEFFFFFF</v>
      </c>
      <c r="L639" s="2">
        <f t="shared" si="37"/>
        <v>0</v>
      </c>
      <c r="M639" s="2">
        <f t="shared" si="38"/>
        <v>0</v>
      </c>
      <c r="N639" s="2">
        <f t="shared" si="39"/>
        <v>0</v>
      </c>
      <c r="O639" s="2" cm="1">
        <f t="array" ref="O639">_xlfn.IFS(M639&lt;Data!$F$3,0,M639&lt;Data!$F$4,1,TRUE,2)</f>
        <v>0</v>
      </c>
      <c r="P639" s="2" cm="1">
        <f t="array" ref="P639">_xlfn.IFS(H639,3,N639&lt;Data!$F$3,0,N639&lt;Data!$F$4,1,TRUE,2)</f>
        <v>0</v>
      </c>
    </row>
    <row r="640" spans="4:16">
      <c r="G640" s="2" t="str" cm="1">
        <f t="array" ref="G640">_xlfn.CONCAT(IFERROR(I640:K640,""))</f>
        <v>02000000FEFFFFFF</v>
      </c>
      <c r="I640" s="2" t="e">
        <f>_xlfn.LET(_xlpm.big,DEC2HEX(_xlfn.BITLSHIFT(M640-_xlfn.XLOOKUP(O640,Data!A:A,Data!F:F),4)+O640,8),_xlfn.CONCAT(MID(_xlpm.big,7,2),MID(_xlpm.big,5,2),MID(_xlpm.big,3,2),MID(_xlpm.big,1,2)))</f>
        <v>#NUM!</v>
      </c>
      <c r="J640" s="2" t="str">
        <f t="shared" si="36"/>
        <v>02000000</v>
      </c>
      <c r="K640" s="2" t="str">
        <f>_xlfn.LET(_xlpm.big,IF(H640,DEC2HEX(HEX2DEC(F640),8),DEC2HEX(N640-_xlfn.XLOOKUP(P640,Data!A:A,Data!F:F),8)),_xlfn.CONCAT(MID(_xlpm.big,7,2),MID(_xlpm.big,5,2),MID(_xlpm.big,3,2),MID(_xlpm.big,1,2)))</f>
        <v>FEFFFFFF</v>
      </c>
      <c r="L640" s="2">
        <f t="shared" si="37"/>
        <v>0</v>
      </c>
      <c r="M640" s="2">
        <f t="shared" si="38"/>
        <v>0</v>
      </c>
      <c r="N640" s="2">
        <f t="shared" si="39"/>
        <v>0</v>
      </c>
      <c r="O640" s="2" cm="1">
        <f t="array" ref="O640">_xlfn.IFS(M640&lt;Data!$F$3,0,M640&lt;Data!$F$4,1,TRUE,2)</f>
        <v>0</v>
      </c>
      <c r="P640" s="2" cm="1">
        <f t="array" ref="P640">_xlfn.IFS(H640,3,N640&lt;Data!$F$3,0,N640&lt;Data!$F$4,1,TRUE,2)</f>
        <v>0</v>
      </c>
    </row>
    <row r="641" spans="4:16">
      <c r="G641" s="2" t="str" cm="1">
        <f t="array" ref="G641">_xlfn.CONCAT(IFERROR(I641:K641,""))</f>
        <v>02000000FEFFFFFF</v>
      </c>
      <c r="I641" s="2" t="e">
        <f>_xlfn.LET(_xlpm.big,DEC2HEX(_xlfn.BITLSHIFT(M641-_xlfn.XLOOKUP(O641,Data!A:A,Data!F:F),4)+O641,8),_xlfn.CONCAT(MID(_xlpm.big,7,2),MID(_xlpm.big,5,2),MID(_xlpm.big,3,2),MID(_xlpm.big,1,2)))</f>
        <v>#NUM!</v>
      </c>
      <c r="J641" s="2" t="str">
        <f t="shared" si="36"/>
        <v>02000000</v>
      </c>
      <c r="K641" s="2" t="str">
        <f>_xlfn.LET(_xlpm.big,IF(H641,DEC2HEX(HEX2DEC(F641),8),DEC2HEX(N641-_xlfn.XLOOKUP(P641,Data!A:A,Data!F:F),8)),_xlfn.CONCAT(MID(_xlpm.big,7,2),MID(_xlpm.big,5,2),MID(_xlpm.big,3,2),MID(_xlpm.big,1,2)))</f>
        <v>FEFFFFFF</v>
      </c>
      <c r="L641" s="2">
        <f t="shared" si="37"/>
        <v>0</v>
      </c>
      <c r="M641" s="2">
        <f t="shared" si="38"/>
        <v>0</v>
      </c>
      <c r="N641" s="2">
        <f t="shared" si="39"/>
        <v>0</v>
      </c>
      <c r="O641" s="2" cm="1">
        <f t="array" ref="O641">_xlfn.IFS(M641&lt;Data!$F$3,0,M641&lt;Data!$F$4,1,TRUE,2)</f>
        <v>0</v>
      </c>
      <c r="P641" s="2" cm="1">
        <f t="array" ref="P641">_xlfn.IFS(H641,3,N641&lt;Data!$F$3,0,N641&lt;Data!$F$4,1,TRUE,2)</f>
        <v>0</v>
      </c>
    </row>
    <row r="642" spans="4:16">
      <c r="G642" s="2" t="str" cm="1">
        <f t="array" ref="G642">_xlfn.CONCAT(IFERROR(I642:K642,""))</f>
        <v>02000000FEFFFFFF</v>
      </c>
      <c r="I642" s="2" t="e">
        <f>_xlfn.LET(_xlpm.big,DEC2HEX(_xlfn.BITLSHIFT(M642-_xlfn.XLOOKUP(O642,Data!A:A,Data!F:F),4)+O642,8),_xlfn.CONCAT(MID(_xlpm.big,7,2),MID(_xlpm.big,5,2),MID(_xlpm.big,3,2),MID(_xlpm.big,1,2)))</f>
        <v>#NUM!</v>
      </c>
      <c r="J642" s="2" t="str">
        <f t="shared" ref="J642:J705" si="40">_xlfn.CONCAT("02",DEC2HEX(P642,2),"0000")</f>
        <v>02000000</v>
      </c>
      <c r="K642" s="2" t="str">
        <f>_xlfn.LET(_xlpm.big,IF(H642,DEC2HEX(HEX2DEC(F642),8),DEC2HEX(N642-_xlfn.XLOOKUP(P642,Data!A:A,Data!F:F),8)),_xlfn.CONCAT(MID(_xlpm.big,7,2),MID(_xlpm.big,5,2),MID(_xlpm.big,3,2),MID(_xlpm.big,1,2)))</f>
        <v>FEFFFFFF</v>
      </c>
      <c r="L642" s="2">
        <f t="shared" ref="L642:L705" si="41">HEX2DEC(D642)</f>
        <v>0</v>
      </c>
      <c r="M642" s="2">
        <f t="shared" ref="M642:M705" si="42">HEX2DEC(E642)</f>
        <v>0</v>
      </c>
      <c r="N642" s="2">
        <f t="shared" ref="N642:N705" si="43">HEX2DEC(F642)</f>
        <v>0</v>
      </c>
      <c r="O642" s="2" cm="1">
        <f t="array" ref="O642">_xlfn.IFS(M642&lt;Data!$F$3,0,M642&lt;Data!$F$4,1,TRUE,2)</f>
        <v>0</v>
      </c>
      <c r="P642" s="2" cm="1">
        <f t="array" ref="P642">_xlfn.IFS(H642,3,N642&lt;Data!$F$3,0,N642&lt;Data!$F$4,1,TRUE,2)</f>
        <v>0</v>
      </c>
    </row>
    <row r="643" spans="4:16">
      <c r="E643" s="16"/>
      <c r="G643" s="2" t="str" cm="1">
        <f t="array" ref="G643">_xlfn.CONCAT(IFERROR(I643:K643,""))</f>
        <v>02000000FEFFFFFF</v>
      </c>
      <c r="I643" s="2" t="e">
        <f>_xlfn.LET(_xlpm.big,DEC2HEX(_xlfn.BITLSHIFT(M643-_xlfn.XLOOKUP(O643,Data!A:A,Data!F:F),4)+O643,8),_xlfn.CONCAT(MID(_xlpm.big,7,2),MID(_xlpm.big,5,2),MID(_xlpm.big,3,2),MID(_xlpm.big,1,2)))</f>
        <v>#NUM!</v>
      </c>
      <c r="J643" s="2" t="str">
        <f t="shared" si="40"/>
        <v>02000000</v>
      </c>
      <c r="K643" s="2" t="str">
        <f>_xlfn.LET(_xlpm.big,IF(H643,DEC2HEX(HEX2DEC(F643),8),DEC2HEX(N643-_xlfn.XLOOKUP(P643,Data!A:A,Data!F:F),8)),_xlfn.CONCAT(MID(_xlpm.big,7,2),MID(_xlpm.big,5,2),MID(_xlpm.big,3,2),MID(_xlpm.big,1,2)))</f>
        <v>FEFFFFFF</v>
      </c>
      <c r="L643" s="2">
        <f t="shared" si="41"/>
        <v>0</v>
      </c>
      <c r="M643" s="2">
        <f t="shared" si="42"/>
        <v>0</v>
      </c>
      <c r="N643" s="2">
        <f t="shared" si="43"/>
        <v>0</v>
      </c>
      <c r="O643" s="2" cm="1">
        <f t="array" ref="O643">_xlfn.IFS(M643&lt;Data!$F$3,0,M643&lt;Data!$F$4,1,TRUE,2)</f>
        <v>0</v>
      </c>
      <c r="P643" s="2" cm="1">
        <f t="array" ref="P643">_xlfn.IFS(H643,3,N643&lt;Data!$F$3,0,N643&lt;Data!$F$4,1,TRUE,2)</f>
        <v>0</v>
      </c>
    </row>
    <row r="644" spans="4:16">
      <c r="D644" s="3"/>
      <c r="E644" s="3"/>
      <c r="G644" s="2" t="str" cm="1">
        <f t="array" ref="G644">_xlfn.CONCAT(IFERROR(I644:K644,""))</f>
        <v>02000000FEFFFFFF</v>
      </c>
      <c r="I644" s="2" t="e">
        <f>_xlfn.LET(_xlpm.big,DEC2HEX(_xlfn.BITLSHIFT(M644-_xlfn.XLOOKUP(O644,Data!A:A,Data!F:F),4)+O644,8),_xlfn.CONCAT(MID(_xlpm.big,7,2),MID(_xlpm.big,5,2),MID(_xlpm.big,3,2),MID(_xlpm.big,1,2)))</f>
        <v>#NUM!</v>
      </c>
      <c r="J644" s="2" t="str">
        <f t="shared" si="40"/>
        <v>02000000</v>
      </c>
      <c r="K644" s="2" t="str">
        <f>_xlfn.LET(_xlpm.big,IF(H644,DEC2HEX(HEX2DEC(F644),8),DEC2HEX(N644-_xlfn.XLOOKUP(P644,Data!A:A,Data!F:F),8)),_xlfn.CONCAT(MID(_xlpm.big,7,2),MID(_xlpm.big,5,2),MID(_xlpm.big,3,2),MID(_xlpm.big,1,2)))</f>
        <v>FEFFFFFF</v>
      </c>
      <c r="L644" s="2">
        <f t="shared" si="41"/>
        <v>0</v>
      </c>
      <c r="M644" s="2">
        <f t="shared" si="42"/>
        <v>0</v>
      </c>
      <c r="N644" s="2">
        <f t="shared" si="43"/>
        <v>0</v>
      </c>
      <c r="O644" s="2" cm="1">
        <f t="array" ref="O644">_xlfn.IFS(M644&lt;Data!$F$3,0,M644&lt;Data!$F$4,1,TRUE,2)</f>
        <v>0</v>
      </c>
      <c r="P644" s="2" cm="1">
        <f t="array" ref="P644">_xlfn.IFS(H644,3,N644&lt;Data!$F$3,0,N644&lt;Data!$F$4,1,TRUE,2)</f>
        <v>0</v>
      </c>
    </row>
    <row r="645" spans="4:16">
      <c r="G645" s="2" t="str" cm="1">
        <f t="array" ref="G645">_xlfn.CONCAT(IFERROR(I645:K645,""))</f>
        <v>02000000FEFFFFFF</v>
      </c>
      <c r="I645" s="2" t="e">
        <f>_xlfn.LET(_xlpm.big,DEC2HEX(_xlfn.BITLSHIFT(M645-_xlfn.XLOOKUP(O645,Data!A:A,Data!F:F),4)+O645,8),_xlfn.CONCAT(MID(_xlpm.big,7,2),MID(_xlpm.big,5,2),MID(_xlpm.big,3,2),MID(_xlpm.big,1,2)))</f>
        <v>#NUM!</v>
      </c>
      <c r="J645" s="2" t="str">
        <f t="shared" si="40"/>
        <v>02000000</v>
      </c>
      <c r="K645" s="2" t="str">
        <f>_xlfn.LET(_xlpm.big,IF(H645,DEC2HEX(HEX2DEC(F645),8),DEC2HEX(N645-_xlfn.XLOOKUP(P645,Data!A:A,Data!F:F),8)),_xlfn.CONCAT(MID(_xlpm.big,7,2),MID(_xlpm.big,5,2),MID(_xlpm.big,3,2),MID(_xlpm.big,1,2)))</f>
        <v>FEFFFFFF</v>
      </c>
      <c r="L645" s="2">
        <f t="shared" si="41"/>
        <v>0</v>
      </c>
      <c r="M645" s="2">
        <f t="shared" si="42"/>
        <v>0</v>
      </c>
      <c r="N645" s="2">
        <f t="shared" si="43"/>
        <v>0</v>
      </c>
      <c r="O645" s="2" cm="1">
        <f t="array" ref="O645">_xlfn.IFS(M645&lt;Data!$F$3,0,M645&lt;Data!$F$4,1,TRUE,2)</f>
        <v>0</v>
      </c>
      <c r="P645" s="2" cm="1">
        <f t="array" ref="P645">_xlfn.IFS(H645,3,N645&lt;Data!$F$3,0,N645&lt;Data!$F$4,1,TRUE,2)</f>
        <v>0</v>
      </c>
    </row>
    <row r="646" spans="4:16">
      <c r="E646" s="16"/>
      <c r="G646" s="2" t="str" cm="1">
        <f t="array" ref="G646">_xlfn.CONCAT(IFERROR(I646:K646,""))</f>
        <v>02000000FEFFFFFF</v>
      </c>
      <c r="I646" s="2" t="e">
        <f>_xlfn.LET(_xlpm.big,DEC2HEX(_xlfn.BITLSHIFT(M646-_xlfn.XLOOKUP(O646,Data!A:A,Data!F:F),4)+O646,8),_xlfn.CONCAT(MID(_xlpm.big,7,2),MID(_xlpm.big,5,2),MID(_xlpm.big,3,2),MID(_xlpm.big,1,2)))</f>
        <v>#NUM!</v>
      </c>
      <c r="J646" s="2" t="str">
        <f t="shared" si="40"/>
        <v>02000000</v>
      </c>
      <c r="K646" s="2" t="str">
        <f>_xlfn.LET(_xlpm.big,IF(H646,DEC2HEX(HEX2DEC(F646),8),DEC2HEX(N646-_xlfn.XLOOKUP(P646,Data!A:A,Data!F:F),8)),_xlfn.CONCAT(MID(_xlpm.big,7,2),MID(_xlpm.big,5,2),MID(_xlpm.big,3,2),MID(_xlpm.big,1,2)))</f>
        <v>FEFFFFFF</v>
      </c>
      <c r="L646" s="2">
        <f t="shared" si="41"/>
        <v>0</v>
      </c>
      <c r="M646" s="2">
        <f t="shared" si="42"/>
        <v>0</v>
      </c>
      <c r="N646" s="2">
        <f t="shared" si="43"/>
        <v>0</v>
      </c>
      <c r="O646" s="2" cm="1">
        <f t="array" ref="O646">_xlfn.IFS(M646&lt;Data!$F$3,0,M646&lt;Data!$F$4,1,TRUE,2)</f>
        <v>0</v>
      </c>
      <c r="P646" s="2" cm="1">
        <f t="array" ref="P646">_xlfn.IFS(H646,3,N646&lt;Data!$F$3,0,N646&lt;Data!$F$4,1,TRUE,2)</f>
        <v>0</v>
      </c>
    </row>
    <row r="647" spans="4:16">
      <c r="D647" s="3"/>
      <c r="E647" s="3"/>
      <c r="G647" s="2" t="str" cm="1">
        <f t="array" ref="G647">_xlfn.CONCAT(IFERROR(I647:K647,""))</f>
        <v>02000000FEFFFFFF</v>
      </c>
      <c r="I647" s="2" t="e">
        <f>_xlfn.LET(_xlpm.big,DEC2HEX(_xlfn.BITLSHIFT(M647-_xlfn.XLOOKUP(O647,Data!A:A,Data!F:F),4)+O647,8),_xlfn.CONCAT(MID(_xlpm.big,7,2),MID(_xlpm.big,5,2),MID(_xlpm.big,3,2),MID(_xlpm.big,1,2)))</f>
        <v>#NUM!</v>
      </c>
      <c r="J647" s="2" t="str">
        <f t="shared" si="40"/>
        <v>02000000</v>
      </c>
      <c r="K647" s="2" t="str">
        <f>_xlfn.LET(_xlpm.big,IF(H647,DEC2HEX(HEX2DEC(F647),8),DEC2HEX(N647-_xlfn.XLOOKUP(P647,Data!A:A,Data!F:F),8)),_xlfn.CONCAT(MID(_xlpm.big,7,2),MID(_xlpm.big,5,2),MID(_xlpm.big,3,2),MID(_xlpm.big,1,2)))</f>
        <v>FEFFFFFF</v>
      </c>
      <c r="L647" s="2">
        <f t="shared" si="41"/>
        <v>0</v>
      </c>
      <c r="M647" s="2">
        <f t="shared" si="42"/>
        <v>0</v>
      </c>
      <c r="N647" s="2">
        <f t="shared" si="43"/>
        <v>0</v>
      </c>
      <c r="O647" s="2" cm="1">
        <f t="array" ref="O647">_xlfn.IFS(M647&lt;Data!$F$3,0,M647&lt;Data!$F$4,1,TRUE,2)</f>
        <v>0</v>
      </c>
      <c r="P647" s="2" cm="1">
        <f t="array" ref="P647">_xlfn.IFS(H647,3,N647&lt;Data!$F$3,0,N647&lt;Data!$F$4,1,TRUE,2)</f>
        <v>0</v>
      </c>
    </row>
    <row r="648" spans="4:16">
      <c r="G648" s="2" t="str" cm="1">
        <f t="array" ref="G648">_xlfn.CONCAT(IFERROR(I648:K648,""))</f>
        <v>02000000FEFFFFFF</v>
      </c>
      <c r="I648" s="2" t="e">
        <f>_xlfn.LET(_xlpm.big,DEC2HEX(_xlfn.BITLSHIFT(M648-_xlfn.XLOOKUP(O648,Data!A:A,Data!F:F),4)+O648,8),_xlfn.CONCAT(MID(_xlpm.big,7,2),MID(_xlpm.big,5,2),MID(_xlpm.big,3,2),MID(_xlpm.big,1,2)))</f>
        <v>#NUM!</v>
      </c>
      <c r="J648" s="2" t="str">
        <f t="shared" si="40"/>
        <v>02000000</v>
      </c>
      <c r="K648" s="2" t="str">
        <f>_xlfn.LET(_xlpm.big,IF(H648,DEC2HEX(HEX2DEC(F648),8),DEC2HEX(N648-_xlfn.XLOOKUP(P648,Data!A:A,Data!F:F),8)),_xlfn.CONCAT(MID(_xlpm.big,7,2),MID(_xlpm.big,5,2),MID(_xlpm.big,3,2),MID(_xlpm.big,1,2)))</f>
        <v>FEFFFFFF</v>
      </c>
      <c r="L648" s="2">
        <f t="shared" si="41"/>
        <v>0</v>
      </c>
      <c r="M648" s="2">
        <f t="shared" si="42"/>
        <v>0</v>
      </c>
      <c r="N648" s="2">
        <f t="shared" si="43"/>
        <v>0</v>
      </c>
      <c r="O648" s="2" cm="1">
        <f t="array" ref="O648">_xlfn.IFS(M648&lt;Data!$F$3,0,M648&lt;Data!$F$4,1,TRUE,2)</f>
        <v>0</v>
      </c>
      <c r="P648" s="2" cm="1">
        <f t="array" ref="P648">_xlfn.IFS(H648,3,N648&lt;Data!$F$3,0,N648&lt;Data!$F$4,1,TRUE,2)</f>
        <v>0</v>
      </c>
    </row>
    <row r="649" spans="4:16">
      <c r="G649" s="2" t="str" cm="1">
        <f t="array" ref="G649">_xlfn.CONCAT(IFERROR(I649:K649,""))</f>
        <v>02000000FEFFFFFF</v>
      </c>
      <c r="I649" s="2" t="e">
        <f>_xlfn.LET(_xlpm.big,DEC2HEX(_xlfn.BITLSHIFT(M649-_xlfn.XLOOKUP(O649,Data!A:A,Data!F:F),4)+O649,8),_xlfn.CONCAT(MID(_xlpm.big,7,2),MID(_xlpm.big,5,2),MID(_xlpm.big,3,2),MID(_xlpm.big,1,2)))</f>
        <v>#NUM!</v>
      </c>
      <c r="J649" s="2" t="str">
        <f t="shared" si="40"/>
        <v>02000000</v>
      </c>
      <c r="K649" s="2" t="str">
        <f>_xlfn.LET(_xlpm.big,IF(H649,DEC2HEX(HEX2DEC(F649),8),DEC2HEX(N649-_xlfn.XLOOKUP(P649,Data!A:A,Data!F:F),8)),_xlfn.CONCAT(MID(_xlpm.big,7,2),MID(_xlpm.big,5,2),MID(_xlpm.big,3,2),MID(_xlpm.big,1,2)))</f>
        <v>FEFFFFFF</v>
      </c>
      <c r="L649" s="2">
        <f t="shared" si="41"/>
        <v>0</v>
      </c>
      <c r="M649" s="2">
        <f t="shared" si="42"/>
        <v>0</v>
      </c>
      <c r="N649" s="2">
        <f t="shared" si="43"/>
        <v>0</v>
      </c>
      <c r="O649" s="2" cm="1">
        <f t="array" ref="O649">_xlfn.IFS(M649&lt;Data!$F$3,0,M649&lt;Data!$F$4,1,TRUE,2)</f>
        <v>0</v>
      </c>
      <c r="P649" s="2" cm="1">
        <f t="array" ref="P649">_xlfn.IFS(H649,3,N649&lt;Data!$F$3,0,N649&lt;Data!$F$4,1,TRUE,2)</f>
        <v>0</v>
      </c>
    </row>
    <row r="650" spans="4:16">
      <c r="G650" s="2" t="str" cm="1">
        <f t="array" ref="G650">_xlfn.CONCAT(IFERROR(I650:K650,""))</f>
        <v>02000000FEFFFFFF</v>
      </c>
      <c r="I650" s="2" t="e">
        <f>_xlfn.LET(_xlpm.big,DEC2HEX(_xlfn.BITLSHIFT(M650-_xlfn.XLOOKUP(O650,Data!A:A,Data!F:F),4)+O650,8),_xlfn.CONCAT(MID(_xlpm.big,7,2),MID(_xlpm.big,5,2),MID(_xlpm.big,3,2),MID(_xlpm.big,1,2)))</f>
        <v>#NUM!</v>
      </c>
      <c r="J650" s="2" t="str">
        <f t="shared" si="40"/>
        <v>02000000</v>
      </c>
      <c r="K650" s="2" t="str">
        <f>_xlfn.LET(_xlpm.big,IF(H650,DEC2HEX(HEX2DEC(F650),8),DEC2HEX(N650-_xlfn.XLOOKUP(P650,Data!A:A,Data!F:F),8)),_xlfn.CONCAT(MID(_xlpm.big,7,2),MID(_xlpm.big,5,2),MID(_xlpm.big,3,2),MID(_xlpm.big,1,2)))</f>
        <v>FEFFFFFF</v>
      </c>
      <c r="L650" s="2">
        <f t="shared" si="41"/>
        <v>0</v>
      </c>
      <c r="M650" s="2">
        <f t="shared" si="42"/>
        <v>0</v>
      </c>
      <c r="N650" s="2">
        <f t="shared" si="43"/>
        <v>0</v>
      </c>
      <c r="O650" s="2" cm="1">
        <f t="array" ref="O650">_xlfn.IFS(M650&lt;Data!$F$3,0,M650&lt;Data!$F$4,1,TRUE,2)</f>
        <v>0</v>
      </c>
      <c r="P650" s="2" cm="1">
        <f t="array" ref="P650">_xlfn.IFS(H650,3,N650&lt;Data!$F$3,0,N650&lt;Data!$F$4,1,TRUE,2)</f>
        <v>0</v>
      </c>
    </row>
    <row r="651" spans="4:16">
      <c r="G651" s="2" t="str" cm="1">
        <f t="array" ref="G651">_xlfn.CONCAT(IFERROR(I651:K651,""))</f>
        <v>02000000FEFFFFFF</v>
      </c>
      <c r="I651" s="2" t="e">
        <f>_xlfn.LET(_xlpm.big,DEC2HEX(_xlfn.BITLSHIFT(M651-_xlfn.XLOOKUP(O651,Data!A:A,Data!F:F),4)+O651,8),_xlfn.CONCAT(MID(_xlpm.big,7,2),MID(_xlpm.big,5,2),MID(_xlpm.big,3,2),MID(_xlpm.big,1,2)))</f>
        <v>#NUM!</v>
      </c>
      <c r="J651" s="2" t="str">
        <f t="shared" si="40"/>
        <v>02000000</v>
      </c>
      <c r="K651" s="2" t="str">
        <f>_xlfn.LET(_xlpm.big,IF(H651,DEC2HEX(HEX2DEC(F651),8),DEC2HEX(N651-_xlfn.XLOOKUP(P651,Data!A:A,Data!F:F),8)),_xlfn.CONCAT(MID(_xlpm.big,7,2),MID(_xlpm.big,5,2),MID(_xlpm.big,3,2),MID(_xlpm.big,1,2)))</f>
        <v>FEFFFFFF</v>
      </c>
      <c r="L651" s="2">
        <f t="shared" si="41"/>
        <v>0</v>
      </c>
      <c r="M651" s="2">
        <f t="shared" si="42"/>
        <v>0</v>
      </c>
      <c r="N651" s="2">
        <f t="shared" si="43"/>
        <v>0</v>
      </c>
      <c r="O651" s="2" cm="1">
        <f t="array" ref="O651">_xlfn.IFS(M651&lt;Data!$F$3,0,M651&lt;Data!$F$4,1,TRUE,2)</f>
        <v>0</v>
      </c>
      <c r="P651" s="2" cm="1">
        <f t="array" ref="P651">_xlfn.IFS(H651,3,N651&lt;Data!$F$3,0,N651&lt;Data!$F$4,1,TRUE,2)</f>
        <v>0</v>
      </c>
    </row>
    <row r="652" spans="4:16">
      <c r="G652" s="2" t="str" cm="1">
        <f t="array" ref="G652">_xlfn.CONCAT(IFERROR(I652:K652,""))</f>
        <v>02000000FEFFFFFF</v>
      </c>
      <c r="I652" s="2" t="e">
        <f>_xlfn.LET(_xlpm.big,DEC2HEX(_xlfn.BITLSHIFT(M652-_xlfn.XLOOKUP(O652,Data!A:A,Data!F:F),4)+O652,8),_xlfn.CONCAT(MID(_xlpm.big,7,2),MID(_xlpm.big,5,2),MID(_xlpm.big,3,2),MID(_xlpm.big,1,2)))</f>
        <v>#NUM!</v>
      </c>
      <c r="J652" s="2" t="str">
        <f t="shared" si="40"/>
        <v>02000000</v>
      </c>
      <c r="K652" s="2" t="str">
        <f>_xlfn.LET(_xlpm.big,IF(H652,DEC2HEX(HEX2DEC(F652),8),DEC2HEX(N652-_xlfn.XLOOKUP(P652,Data!A:A,Data!F:F),8)),_xlfn.CONCAT(MID(_xlpm.big,7,2),MID(_xlpm.big,5,2),MID(_xlpm.big,3,2),MID(_xlpm.big,1,2)))</f>
        <v>FEFFFFFF</v>
      </c>
      <c r="L652" s="2">
        <f t="shared" si="41"/>
        <v>0</v>
      </c>
      <c r="M652" s="2">
        <f t="shared" si="42"/>
        <v>0</v>
      </c>
      <c r="N652" s="2">
        <f t="shared" si="43"/>
        <v>0</v>
      </c>
      <c r="O652" s="2" cm="1">
        <f t="array" ref="O652">_xlfn.IFS(M652&lt;Data!$F$3,0,M652&lt;Data!$F$4,1,TRUE,2)</f>
        <v>0</v>
      </c>
      <c r="P652" s="2" cm="1">
        <f t="array" ref="P652">_xlfn.IFS(H652,3,N652&lt;Data!$F$3,0,N652&lt;Data!$F$4,1,TRUE,2)</f>
        <v>0</v>
      </c>
    </row>
    <row r="653" spans="4:16">
      <c r="G653" s="2" t="str" cm="1">
        <f t="array" ref="G653">_xlfn.CONCAT(IFERROR(I653:K653,""))</f>
        <v>02000000FEFFFFFF</v>
      </c>
      <c r="I653" s="2" t="e">
        <f>_xlfn.LET(_xlpm.big,DEC2HEX(_xlfn.BITLSHIFT(M653-_xlfn.XLOOKUP(O653,Data!A:A,Data!F:F),4)+O653,8),_xlfn.CONCAT(MID(_xlpm.big,7,2),MID(_xlpm.big,5,2),MID(_xlpm.big,3,2),MID(_xlpm.big,1,2)))</f>
        <v>#NUM!</v>
      </c>
      <c r="J653" s="2" t="str">
        <f t="shared" si="40"/>
        <v>02000000</v>
      </c>
      <c r="K653" s="2" t="str">
        <f>_xlfn.LET(_xlpm.big,IF(H653,DEC2HEX(HEX2DEC(F653),8),DEC2HEX(N653-_xlfn.XLOOKUP(P653,Data!A:A,Data!F:F),8)),_xlfn.CONCAT(MID(_xlpm.big,7,2),MID(_xlpm.big,5,2),MID(_xlpm.big,3,2),MID(_xlpm.big,1,2)))</f>
        <v>FEFFFFFF</v>
      </c>
      <c r="L653" s="2">
        <f t="shared" si="41"/>
        <v>0</v>
      </c>
      <c r="M653" s="2">
        <f t="shared" si="42"/>
        <v>0</v>
      </c>
      <c r="N653" s="2">
        <f t="shared" si="43"/>
        <v>0</v>
      </c>
      <c r="O653" s="2" cm="1">
        <f t="array" ref="O653">_xlfn.IFS(M653&lt;Data!$F$3,0,M653&lt;Data!$F$4,1,TRUE,2)</f>
        <v>0</v>
      </c>
      <c r="P653" s="2" cm="1">
        <f t="array" ref="P653">_xlfn.IFS(H653,3,N653&lt;Data!$F$3,0,N653&lt;Data!$F$4,1,TRUE,2)</f>
        <v>0</v>
      </c>
    </row>
    <row r="654" spans="4:16">
      <c r="G654" s="2" t="str" cm="1">
        <f t="array" ref="G654">_xlfn.CONCAT(IFERROR(I654:K654,""))</f>
        <v>02000000FEFFFFFF</v>
      </c>
      <c r="I654" s="2" t="e">
        <f>_xlfn.LET(_xlpm.big,DEC2HEX(_xlfn.BITLSHIFT(M654-_xlfn.XLOOKUP(O654,Data!A:A,Data!F:F),4)+O654,8),_xlfn.CONCAT(MID(_xlpm.big,7,2),MID(_xlpm.big,5,2),MID(_xlpm.big,3,2),MID(_xlpm.big,1,2)))</f>
        <v>#NUM!</v>
      </c>
      <c r="J654" s="2" t="str">
        <f t="shared" si="40"/>
        <v>02000000</v>
      </c>
      <c r="K654" s="2" t="str">
        <f>_xlfn.LET(_xlpm.big,IF(H654,DEC2HEX(HEX2DEC(F654),8),DEC2HEX(N654-_xlfn.XLOOKUP(P654,Data!A:A,Data!F:F),8)),_xlfn.CONCAT(MID(_xlpm.big,7,2),MID(_xlpm.big,5,2),MID(_xlpm.big,3,2),MID(_xlpm.big,1,2)))</f>
        <v>FEFFFFFF</v>
      </c>
      <c r="L654" s="2">
        <f t="shared" si="41"/>
        <v>0</v>
      </c>
      <c r="M654" s="2">
        <f t="shared" si="42"/>
        <v>0</v>
      </c>
      <c r="N654" s="2">
        <f t="shared" si="43"/>
        <v>0</v>
      </c>
      <c r="O654" s="2" cm="1">
        <f t="array" ref="O654">_xlfn.IFS(M654&lt;Data!$F$3,0,M654&lt;Data!$F$4,1,TRUE,2)</f>
        <v>0</v>
      </c>
      <c r="P654" s="2" cm="1">
        <f t="array" ref="P654">_xlfn.IFS(H654,3,N654&lt;Data!$F$3,0,N654&lt;Data!$F$4,1,TRUE,2)</f>
        <v>0</v>
      </c>
    </row>
    <row r="655" spans="4:16">
      <c r="G655" s="2" t="str" cm="1">
        <f t="array" ref="G655">_xlfn.CONCAT(IFERROR(I655:K655,""))</f>
        <v>02000000FEFFFFFF</v>
      </c>
      <c r="I655" s="2" t="e">
        <f>_xlfn.LET(_xlpm.big,DEC2HEX(_xlfn.BITLSHIFT(M655-_xlfn.XLOOKUP(O655,Data!A:A,Data!F:F),4)+O655,8),_xlfn.CONCAT(MID(_xlpm.big,7,2),MID(_xlpm.big,5,2),MID(_xlpm.big,3,2),MID(_xlpm.big,1,2)))</f>
        <v>#NUM!</v>
      </c>
      <c r="J655" s="2" t="str">
        <f t="shared" si="40"/>
        <v>02000000</v>
      </c>
      <c r="K655" s="2" t="str">
        <f>_xlfn.LET(_xlpm.big,IF(H655,DEC2HEX(HEX2DEC(F655),8),DEC2HEX(N655-_xlfn.XLOOKUP(P655,Data!A:A,Data!F:F),8)),_xlfn.CONCAT(MID(_xlpm.big,7,2),MID(_xlpm.big,5,2),MID(_xlpm.big,3,2),MID(_xlpm.big,1,2)))</f>
        <v>FEFFFFFF</v>
      </c>
      <c r="L655" s="2">
        <f t="shared" si="41"/>
        <v>0</v>
      </c>
      <c r="M655" s="2">
        <f t="shared" si="42"/>
        <v>0</v>
      </c>
      <c r="N655" s="2">
        <f t="shared" si="43"/>
        <v>0</v>
      </c>
      <c r="O655" s="2" cm="1">
        <f t="array" ref="O655">_xlfn.IFS(M655&lt;Data!$F$3,0,M655&lt;Data!$F$4,1,TRUE,2)</f>
        <v>0</v>
      </c>
      <c r="P655" s="2" cm="1">
        <f t="array" ref="P655">_xlfn.IFS(H655,3,N655&lt;Data!$F$3,0,N655&lt;Data!$F$4,1,TRUE,2)</f>
        <v>0</v>
      </c>
    </row>
    <row r="656" spans="4:16">
      <c r="G656" s="2" t="str" cm="1">
        <f t="array" ref="G656">_xlfn.CONCAT(IFERROR(I656:K656,""))</f>
        <v>02000000FEFFFFFF</v>
      </c>
      <c r="I656" s="2" t="e">
        <f>_xlfn.LET(_xlpm.big,DEC2HEX(_xlfn.BITLSHIFT(M656-_xlfn.XLOOKUP(O656,Data!A:A,Data!F:F),4)+O656,8),_xlfn.CONCAT(MID(_xlpm.big,7,2),MID(_xlpm.big,5,2),MID(_xlpm.big,3,2),MID(_xlpm.big,1,2)))</f>
        <v>#NUM!</v>
      </c>
      <c r="J656" s="2" t="str">
        <f t="shared" si="40"/>
        <v>02000000</v>
      </c>
      <c r="K656" s="2" t="str">
        <f>_xlfn.LET(_xlpm.big,IF(H656,DEC2HEX(HEX2DEC(F656),8),DEC2HEX(N656-_xlfn.XLOOKUP(P656,Data!A:A,Data!F:F),8)),_xlfn.CONCAT(MID(_xlpm.big,7,2),MID(_xlpm.big,5,2),MID(_xlpm.big,3,2),MID(_xlpm.big,1,2)))</f>
        <v>FEFFFFFF</v>
      </c>
      <c r="L656" s="2">
        <f t="shared" si="41"/>
        <v>0</v>
      </c>
      <c r="M656" s="2">
        <f t="shared" si="42"/>
        <v>0</v>
      </c>
      <c r="N656" s="2">
        <f t="shared" si="43"/>
        <v>0</v>
      </c>
      <c r="O656" s="2" cm="1">
        <f t="array" ref="O656">_xlfn.IFS(M656&lt;Data!$F$3,0,M656&lt;Data!$F$4,1,TRUE,2)</f>
        <v>0</v>
      </c>
      <c r="P656" s="2" cm="1">
        <f t="array" ref="P656">_xlfn.IFS(H656,3,N656&lt;Data!$F$3,0,N656&lt;Data!$F$4,1,TRUE,2)</f>
        <v>0</v>
      </c>
    </row>
    <row r="657" spans="6:16">
      <c r="G657" s="2" t="str" cm="1">
        <f t="array" ref="G657">_xlfn.CONCAT(IFERROR(I657:K657,""))</f>
        <v>02000000FEFFFFFF</v>
      </c>
      <c r="I657" s="2" t="e">
        <f>_xlfn.LET(_xlpm.big,DEC2HEX(_xlfn.BITLSHIFT(M657-_xlfn.XLOOKUP(O657,Data!A:A,Data!F:F),4)+O657,8),_xlfn.CONCAT(MID(_xlpm.big,7,2),MID(_xlpm.big,5,2),MID(_xlpm.big,3,2),MID(_xlpm.big,1,2)))</f>
        <v>#NUM!</v>
      </c>
      <c r="J657" s="2" t="str">
        <f t="shared" si="40"/>
        <v>02000000</v>
      </c>
      <c r="K657" s="2" t="str">
        <f>_xlfn.LET(_xlpm.big,IF(H657,DEC2HEX(HEX2DEC(F657),8),DEC2HEX(N657-_xlfn.XLOOKUP(P657,Data!A:A,Data!F:F),8)),_xlfn.CONCAT(MID(_xlpm.big,7,2),MID(_xlpm.big,5,2),MID(_xlpm.big,3,2),MID(_xlpm.big,1,2)))</f>
        <v>FEFFFFFF</v>
      </c>
      <c r="L657" s="2">
        <f t="shared" si="41"/>
        <v>0</v>
      </c>
      <c r="M657" s="2">
        <f t="shared" si="42"/>
        <v>0</v>
      </c>
      <c r="N657" s="2">
        <f t="shared" si="43"/>
        <v>0</v>
      </c>
      <c r="O657" s="2" cm="1">
        <f t="array" ref="O657">_xlfn.IFS(M657&lt;Data!$F$3,0,M657&lt;Data!$F$4,1,TRUE,2)</f>
        <v>0</v>
      </c>
      <c r="P657" s="2" cm="1">
        <f t="array" ref="P657">_xlfn.IFS(H657,3,N657&lt;Data!$F$3,0,N657&lt;Data!$F$4,1,TRUE,2)</f>
        <v>0</v>
      </c>
    </row>
    <row r="658" spans="6:16">
      <c r="G658" s="2" t="str" cm="1">
        <f t="array" ref="G658">_xlfn.CONCAT(IFERROR(I658:K658,""))</f>
        <v>02000000FEFFFFFF</v>
      </c>
      <c r="I658" s="2" t="e">
        <f>_xlfn.LET(_xlpm.big,DEC2HEX(_xlfn.BITLSHIFT(M658-_xlfn.XLOOKUP(O658,Data!A:A,Data!F:F),4)+O658,8),_xlfn.CONCAT(MID(_xlpm.big,7,2),MID(_xlpm.big,5,2),MID(_xlpm.big,3,2),MID(_xlpm.big,1,2)))</f>
        <v>#NUM!</v>
      </c>
      <c r="J658" s="2" t="str">
        <f t="shared" si="40"/>
        <v>02000000</v>
      </c>
      <c r="K658" s="2" t="str">
        <f>_xlfn.LET(_xlpm.big,IF(H658,DEC2HEX(HEX2DEC(F658),8),DEC2HEX(N658-_xlfn.XLOOKUP(P658,Data!A:A,Data!F:F),8)),_xlfn.CONCAT(MID(_xlpm.big,7,2),MID(_xlpm.big,5,2),MID(_xlpm.big,3,2),MID(_xlpm.big,1,2)))</f>
        <v>FEFFFFFF</v>
      </c>
      <c r="L658" s="2">
        <f t="shared" si="41"/>
        <v>0</v>
      </c>
      <c r="M658" s="2">
        <f t="shared" si="42"/>
        <v>0</v>
      </c>
      <c r="N658" s="2">
        <f t="shared" si="43"/>
        <v>0</v>
      </c>
      <c r="O658" s="2" cm="1">
        <f t="array" ref="O658">_xlfn.IFS(M658&lt;Data!$F$3,0,M658&lt;Data!$F$4,1,TRUE,2)</f>
        <v>0</v>
      </c>
      <c r="P658" s="2" cm="1">
        <f t="array" ref="P658">_xlfn.IFS(H658,3,N658&lt;Data!$F$3,0,N658&lt;Data!$F$4,1,TRUE,2)</f>
        <v>0</v>
      </c>
    </row>
    <row r="659" spans="6:16">
      <c r="G659" s="2" t="str" cm="1">
        <f t="array" ref="G659">_xlfn.CONCAT(IFERROR(I659:K659,""))</f>
        <v>02000000FEFFFFFF</v>
      </c>
      <c r="I659" s="2" t="e">
        <f>_xlfn.LET(_xlpm.big,DEC2HEX(_xlfn.BITLSHIFT(M659-_xlfn.XLOOKUP(O659,Data!A:A,Data!F:F),4)+O659,8),_xlfn.CONCAT(MID(_xlpm.big,7,2),MID(_xlpm.big,5,2),MID(_xlpm.big,3,2),MID(_xlpm.big,1,2)))</f>
        <v>#NUM!</v>
      </c>
      <c r="J659" s="2" t="str">
        <f t="shared" si="40"/>
        <v>02000000</v>
      </c>
      <c r="K659" s="2" t="str">
        <f>_xlfn.LET(_xlpm.big,IF(H659,DEC2HEX(HEX2DEC(F659),8),DEC2HEX(N659-_xlfn.XLOOKUP(P659,Data!A:A,Data!F:F),8)),_xlfn.CONCAT(MID(_xlpm.big,7,2),MID(_xlpm.big,5,2),MID(_xlpm.big,3,2),MID(_xlpm.big,1,2)))</f>
        <v>FEFFFFFF</v>
      </c>
      <c r="L659" s="2">
        <f t="shared" si="41"/>
        <v>0</v>
      </c>
      <c r="M659" s="2">
        <f t="shared" si="42"/>
        <v>0</v>
      </c>
      <c r="N659" s="2">
        <f t="shared" si="43"/>
        <v>0</v>
      </c>
      <c r="O659" s="2" cm="1">
        <f t="array" ref="O659">_xlfn.IFS(M659&lt;Data!$F$3,0,M659&lt;Data!$F$4,1,TRUE,2)</f>
        <v>0</v>
      </c>
      <c r="P659" s="2" cm="1">
        <f t="array" ref="P659">_xlfn.IFS(H659,3,N659&lt;Data!$F$3,0,N659&lt;Data!$F$4,1,TRUE,2)</f>
        <v>0</v>
      </c>
    </row>
    <row r="660" spans="6:16">
      <c r="G660" s="2" t="str" cm="1">
        <f t="array" ref="G660">_xlfn.CONCAT(IFERROR(I660:K660,""))</f>
        <v>02000000FEFFFFFF</v>
      </c>
      <c r="I660" s="2" t="e">
        <f>_xlfn.LET(_xlpm.big,DEC2HEX(_xlfn.BITLSHIFT(M660-_xlfn.XLOOKUP(O660,Data!A:A,Data!F:F),4)+O660,8),_xlfn.CONCAT(MID(_xlpm.big,7,2),MID(_xlpm.big,5,2),MID(_xlpm.big,3,2),MID(_xlpm.big,1,2)))</f>
        <v>#NUM!</v>
      </c>
      <c r="J660" s="2" t="str">
        <f t="shared" si="40"/>
        <v>02000000</v>
      </c>
      <c r="K660" s="2" t="str">
        <f>_xlfn.LET(_xlpm.big,IF(H660,DEC2HEX(HEX2DEC(F660),8),DEC2HEX(N660-_xlfn.XLOOKUP(P660,Data!A:A,Data!F:F),8)),_xlfn.CONCAT(MID(_xlpm.big,7,2),MID(_xlpm.big,5,2),MID(_xlpm.big,3,2),MID(_xlpm.big,1,2)))</f>
        <v>FEFFFFFF</v>
      </c>
      <c r="L660" s="2">
        <f t="shared" si="41"/>
        <v>0</v>
      </c>
      <c r="M660" s="2">
        <f t="shared" si="42"/>
        <v>0</v>
      </c>
      <c r="N660" s="2">
        <f t="shared" si="43"/>
        <v>0</v>
      </c>
      <c r="O660" s="2" cm="1">
        <f t="array" ref="O660">_xlfn.IFS(M660&lt;Data!$F$3,0,M660&lt;Data!$F$4,1,TRUE,2)</f>
        <v>0</v>
      </c>
      <c r="P660" s="2" cm="1">
        <f t="array" ref="P660">_xlfn.IFS(H660,3,N660&lt;Data!$F$3,0,N660&lt;Data!$F$4,1,TRUE,2)</f>
        <v>0</v>
      </c>
    </row>
    <row r="661" spans="6:16">
      <c r="G661" s="2" t="str" cm="1">
        <f t="array" ref="G661">_xlfn.CONCAT(IFERROR(I661:K661,""))</f>
        <v>02000000FEFFFFFF</v>
      </c>
      <c r="I661" s="2" t="e">
        <f>_xlfn.LET(_xlpm.big,DEC2HEX(_xlfn.BITLSHIFT(M661-_xlfn.XLOOKUP(O661,Data!A:A,Data!F:F),4)+O661,8),_xlfn.CONCAT(MID(_xlpm.big,7,2),MID(_xlpm.big,5,2),MID(_xlpm.big,3,2),MID(_xlpm.big,1,2)))</f>
        <v>#NUM!</v>
      </c>
      <c r="J661" s="2" t="str">
        <f t="shared" si="40"/>
        <v>02000000</v>
      </c>
      <c r="K661" s="2" t="str">
        <f>_xlfn.LET(_xlpm.big,IF(H661,DEC2HEX(HEX2DEC(F661),8),DEC2HEX(N661-_xlfn.XLOOKUP(P661,Data!A:A,Data!F:F),8)),_xlfn.CONCAT(MID(_xlpm.big,7,2),MID(_xlpm.big,5,2),MID(_xlpm.big,3,2),MID(_xlpm.big,1,2)))</f>
        <v>FEFFFFFF</v>
      </c>
      <c r="L661" s="2">
        <f t="shared" si="41"/>
        <v>0</v>
      </c>
      <c r="M661" s="2">
        <f t="shared" si="42"/>
        <v>0</v>
      </c>
      <c r="N661" s="2">
        <f t="shared" si="43"/>
        <v>0</v>
      </c>
      <c r="O661" s="2" cm="1">
        <f t="array" ref="O661">_xlfn.IFS(M661&lt;Data!$F$3,0,M661&lt;Data!$F$4,1,TRUE,2)</f>
        <v>0</v>
      </c>
      <c r="P661" s="2" cm="1">
        <f t="array" ref="P661">_xlfn.IFS(H661,3,N661&lt;Data!$F$3,0,N661&lt;Data!$F$4,1,TRUE,2)</f>
        <v>0</v>
      </c>
    </row>
    <row r="662" spans="6:16">
      <c r="G662" s="2" t="str" cm="1">
        <f t="array" ref="G662">_xlfn.CONCAT(IFERROR(I662:K662,""))</f>
        <v>02000000FEFFFFFF</v>
      </c>
      <c r="I662" s="2" t="e">
        <f>_xlfn.LET(_xlpm.big,DEC2HEX(_xlfn.BITLSHIFT(M662-_xlfn.XLOOKUP(O662,Data!A:A,Data!F:F),4)+O662,8),_xlfn.CONCAT(MID(_xlpm.big,7,2),MID(_xlpm.big,5,2),MID(_xlpm.big,3,2),MID(_xlpm.big,1,2)))</f>
        <v>#NUM!</v>
      </c>
      <c r="J662" s="2" t="str">
        <f t="shared" si="40"/>
        <v>02000000</v>
      </c>
      <c r="K662" s="2" t="str">
        <f>_xlfn.LET(_xlpm.big,IF(H662,DEC2HEX(HEX2DEC(F662),8),DEC2HEX(N662-_xlfn.XLOOKUP(P662,Data!A:A,Data!F:F),8)),_xlfn.CONCAT(MID(_xlpm.big,7,2),MID(_xlpm.big,5,2),MID(_xlpm.big,3,2),MID(_xlpm.big,1,2)))</f>
        <v>FEFFFFFF</v>
      </c>
      <c r="L662" s="2">
        <f t="shared" si="41"/>
        <v>0</v>
      </c>
      <c r="M662" s="2">
        <f t="shared" si="42"/>
        <v>0</v>
      </c>
      <c r="N662" s="2">
        <f t="shared" si="43"/>
        <v>0</v>
      </c>
      <c r="O662" s="2" cm="1">
        <f t="array" ref="O662">_xlfn.IFS(M662&lt;Data!$F$3,0,M662&lt;Data!$F$4,1,TRUE,2)</f>
        <v>0</v>
      </c>
      <c r="P662" s="2" cm="1">
        <f t="array" ref="P662">_xlfn.IFS(H662,3,N662&lt;Data!$F$3,0,N662&lt;Data!$F$4,1,TRUE,2)</f>
        <v>0</v>
      </c>
    </row>
    <row r="663" spans="6:16">
      <c r="G663" s="2" t="str" cm="1">
        <f t="array" ref="G663">_xlfn.CONCAT(IFERROR(I663:K663,""))</f>
        <v>02000000FEFFFFFF</v>
      </c>
      <c r="I663" s="2" t="e">
        <f>_xlfn.LET(_xlpm.big,DEC2HEX(_xlfn.BITLSHIFT(M663-_xlfn.XLOOKUP(O663,Data!A:A,Data!F:F),4)+O663,8),_xlfn.CONCAT(MID(_xlpm.big,7,2),MID(_xlpm.big,5,2),MID(_xlpm.big,3,2),MID(_xlpm.big,1,2)))</f>
        <v>#NUM!</v>
      </c>
      <c r="J663" s="2" t="str">
        <f t="shared" si="40"/>
        <v>02000000</v>
      </c>
      <c r="K663" s="2" t="str">
        <f>_xlfn.LET(_xlpm.big,IF(H663,DEC2HEX(HEX2DEC(F663),8),DEC2HEX(N663-_xlfn.XLOOKUP(P663,Data!A:A,Data!F:F),8)),_xlfn.CONCAT(MID(_xlpm.big,7,2),MID(_xlpm.big,5,2),MID(_xlpm.big,3,2),MID(_xlpm.big,1,2)))</f>
        <v>FEFFFFFF</v>
      </c>
      <c r="L663" s="2">
        <f t="shared" si="41"/>
        <v>0</v>
      </c>
      <c r="M663" s="2">
        <f t="shared" si="42"/>
        <v>0</v>
      </c>
      <c r="N663" s="2">
        <f t="shared" si="43"/>
        <v>0</v>
      </c>
      <c r="O663" s="2" cm="1">
        <f t="array" ref="O663">_xlfn.IFS(M663&lt;Data!$F$3,0,M663&lt;Data!$F$4,1,TRUE,2)</f>
        <v>0</v>
      </c>
      <c r="P663" s="2" cm="1">
        <f t="array" ref="P663">_xlfn.IFS(H663,3,N663&lt;Data!$F$3,0,N663&lt;Data!$F$4,1,TRUE,2)</f>
        <v>0</v>
      </c>
    </row>
    <row r="664" spans="6:16">
      <c r="F664" s="3"/>
      <c r="G664" s="2" t="str" cm="1">
        <f t="array" ref="G664">_xlfn.CONCAT(IFERROR(I664:K664,""))</f>
        <v>02000000FEFFFFFF</v>
      </c>
      <c r="I664" s="2" t="e">
        <f>_xlfn.LET(_xlpm.big,DEC2HEX(_xlfn.BITLSHIFT(M664-_xlfn.XLOOKUP(O664,Data!A:A,Data!F:F),4)+O664,8),_xlfn.CONCAT(MID(_xlpm.big,7,2),MID(_xlpm.big,5,2),MID(_xlpm.big,3,2),MID(_xlpm.big,1,2)))</f>
        <v>#NUM!</v>
      </c>
      <c r="J664" s="2" t="str">
        <f t="shared" si="40"/>
        <v>02000000</v>
      </c>
      <c r="K664" s="2" t="str">
        <f>_xlfn.LET(_xlpm.big,IF(H664,DEC2HEX(HEX2DEC(F664),8),DEC2HEX(N664-_xlfn.XLOOKUP(P664,Data!A:A,Data!F:F),8)),_xlfn.CONCAT(MID(_xlpm.big,7,2),MID(_xlpm.big,5,2),MID(_xlpm.big,3,2),MID(_xlpm.big,1,2)))</f>
        <v>FEFFFFFF</v>
      </c>
      <c r="L664" s="2">
        <f t="shared" si="41"/>
        <v>0</v>
      </c>
      <c r="M664" s="2">
        <f t="shared" si="42"/>
        <v>0</v>
      </c>
      <c r="N664" s="2">
        <f t="shared" si="43"/>
        <v>0</v>
      </c>
      <c r="O664" s="2" cm="1">
        <f t="array" ref="O664">_xlfn.IFS(M664&lt;Data!$F$3,0,M664&lt;Data!$F$4,1,TRUE,2)</f>
        <v>0</v>
      </c>
      <c r="P664" s="2" cm="1">
        <f t="array" ref="P664">_xlfn.IFS(H664,3,N664&lt;Data!$F$3,0,N664&lt;Data!$F$4,1,TRUE,2)</f>
        <v>0</v>
      </c>
    </row>
    <row r="665" spans="6:16">
      <c r="G665" s="2" t="str" cm="1">
        <f t="array" ref="G665">_xlfn.CONCAT(IFERROR(I665:K665,""))</f>
        <v>02000000FEFFFFFF</v>
      </c>
      <c r="I665" s="2" t="e">
        <f>_xlfn.LET(_xlpm.big,DEC2HEX(_xlfn.BITLSHIFT(M665-_xlfn.XLOOKUP(O665,Data!A:A,Data!F:F),4)+O665,8),_xlfn.CONCAT(MID(_xlpm.big,7,2),MID(_xlpm.big,5,2),MID(_xlpm.big,3,2),MID(_xlpm.big,1,2)))</f>
        <v>#NUM!</v>
      </c>
      <c r="J665" s="2" t="str">
        <f t="shared" si="40"/>
        <v>02000000</v>
      </c>
      <c r="K665" s="2" t="str">
        <f>_xlfn.LET(_xlpm.big,IF(H665,DEC2HEX(HEX2DEC(F665),8),DEC2HEX(N665-_xlfn.XLOOKUP(P665,Data!A:A,Data!F:F),8)),_xlfn.CONCAT(MID(_xlpm.big,7,2),MID(_xlpm.big,5,2),MID(_xlpm.big,3,2),MID(_xlpm.big,1,2)))</f>
        <v>FEFFFFFF</v>
      </c>
      <c r="L665" s="2">
        <f t="shared" si="41"/>
        <v>0</v>
      </c>
      <c r="M665" s="2">
        <f t="shared" si="42"/>
        <v>0</v>
      </c>
      <c r="N665" s="2">
        <f t="shared" si="43"/>
        <v>0</v>
      </c>
      <c r="O665" s="2" cm="1">
        <f t="array" ref="O665">_xlfn.IFS(M665&lt;Data!$F$3,0,M665&lt;Data!$F$4,1,TRUE,2)</f>
        <v>0</v>
      </c>
      <c r="P665" s="2" cm="1">
        <f t="array" ref="P665">_xlfn.IFS(H665,3,N665&lt;Data!$F$3,0,N665&lt;Data!$F$4,1,TRUE,2)</f>
        <v>0</v>
      </c>
    </row>
    <row r="666" spans="6:16">
      <c r="G666" s="2" t="str" cm="1">
        <f t="array" ref="G666">_xlfn.CONCAT(IFERROR(I666:K666,""))</f>
        <v>02000000FEFFFFFF</v>
      </c>
      <c r="I666" s="2" t="e">
        <f>_xlfn.LET(_xlpm.big,DEC2HEX(_xlfn.BITLSHIFT(M666-_xlfn.XLOOKUP(O666,Data!A:A,Data!F:F),4)+O666,8),_xlfn.CONCAT(MID(_xlpm.big,7,2),MID(_xlpm.big,5,2),MID(_xlpm.big,3,2),MID(_xlpm.big,1,2)))</f>
        <v>#NUM!</v>
      </c>
      <c r="J666" s="2" t="str">
        <f t="shared" si="40"/>
        <v>02000000</v>
      </c>
      <c r="K666" s="2" t="str">
        <f>_xlfn.LET(_xlpm.big,IF(H666,DEC2HEX(HEX2DEC(F666),8),DEC2HEX(N666-_xlfn.XLOOKUP(P666,Data!A:A,Data!F:F),8)),_xlfn.CONCAT(MID(_xlpm.big,7,2),MID(_xlpm.big,5,2),MID(_xlpm.big,3,2),MID(_xlpm.big,1,2)))</f>
        <v>FEFFFFFF</v>
      </c>
      <c r="L666" s="2">
        <f t="shared" si="41"/>
        <v>0</v>
      </c>
      <c r="M666" s="2">
        <f t="shared" si="42"/>
        <v>0</v>
      </c>
      <c r="N666" s="2">
        <f t="shared" si="43"/>
        <v>0</v>
      </c>
      <c r="O666" s="2" cm="1">
        <f t="array" ref="O666">_xlfn.IFS(M666&lt;Data!$F$3,0,M666&lt;Data!$F$4,1,TRUE,2)</f>
        <v>0</v>
      </c>
      <c r="P666" s="2" cm="1">
        <f t="array" ref="P666">_xlfn.IFS(H666,3,N666&lt;Data!$F$3,0,N666&lt;Data!$F$4,1,TRUE,2)</f>
        <v>0</v>
      </c>
    </row>
    <row r="667" spans="6:16">
      <c r="G667" s="2" t="str" cm="1">
        <f t="array" ref="G667">_xlfn.CONCAT(IFERROR(I667:K667,""))</f>
        <v>02000000FEFFFFFF</v>
      </c>
      <c r="I667" s="2" t="e">
        <f>_xlfn.LET(_xlpm.big,DEC2HEX(_xlfn.BITLSHIFT(M667-_xlfn.XLOOKUP(O667,Data!A:A,Data!F:F),4)+O667,8),_xlfn.CONCAT(MID(_xlpm.big,7,2),MID(_xlpm.big,5,2),MID(_xlpm.big,3,2),MID(_xlpm.big,1,2)))</f>
        <v>#NUM!</v>
      </c>
      <c r="J667" s="2" t="str">
        <f t="shared" si="40"/>
        <v>02000000</v>
      </c>
      <c r="K667" s="2" t="str">
        <f>_xlfn.LET(_xlpm.big,IF(H667,DEC2HEX(HEX2DEC(F667),8),DEC2HEX(N667-_xlfn.XLOOKUP(P667,Data!A:A,Data!F:F),8)),_xlfn.CONCAT(MID(_xlpm.big,7,2),MID(_xlpm.big,5,2),MID(_xlpm.big,3,2),MID(_xlpm.big,1,2)))</f>
        <v>FEFFFFFF</v>
      </c>
      <c r="L667" s="2">
        <f t="shared" si="41"/>
        <v>0</v>
      </c>
      <c r="M667" s="2">
        <f t="shared" si="42"/>
        <v>0</v>
      </c>
      <c r="N667" s="2">
        <f t="shared" si="43"/>
        <v>0</v>
      </c>
      <c r="O667" s="2" cm="1">
        <f t="array" ref="O667">_xlfn.IFS(M667&lt;Data!$F$3,0,M667&lt;Data!$F$4,1,TRUE,2)</f>
        <v>0</v>
      </c>
      <c r="P667" s="2" cm="1">
        <f t="array" ref="P667">_xlfn.IFS(H667,3,N667&lt;Data!$F$3,0,N667&lt;Data!$F$4,1,TRUE,2)</f>
        <v>0</v>
      </c>
    </row>
    <row r="668" spans="6:16">
      <c r="G668" s="2" t="str" cm="1">
        <f t="array" ref="G668">_xlfn.CONCAT(IFERROR(I668:K668,""))</f>
        <v>02000000FEFFFFFF</v>
      </c>
      <c r="I668" s="2" t="e">
        <f>_xlfn.LET(_xlpm.big,DEC2HEX(_xlfn.BITLSHIFT(M668-_xlfn.XLOOKUP(O668,Data!A:A,Data!F:F),4)+O668,8),_xlfn.CONCAT(MID(_xlpm.big,7,2),MID(_xlpm.big,5,2),MID(_xlpm.big,3,2),MID(_xlpm.big,1,2)))</f>
        <v>#NUM!</v>
      </c>
      <c r="J668" s="2" t="str">
        <f t="shared" si="40"/>
        <v>02000000</v>
      </c>
      <c r="K668" s="2" t="str">
        <f>_xlfn.LET(_xlpm.big,IF(H668,DEC2HEX(HEX2DEC(F668),8),DEC2HEX(N668-_xlfn.XLOOKUP(P668,Data!A:A,Data!F:F),8)),_xlfn.CONCAT(MID(_xlpm.big,7,2),MID(_xlpm.big,5,2),MID(_xlpm.big,3,2),MID(_xlpm.big,1,2)))</f>
        <v>FEFFFFFF</v>
      </c>
      <c r="L668" s="2">
        <f t="shared" si="41"/>
        <v>0</v>
      </c>
      <c r="M668" s="2">
        <f t="shared" si="42"/>
        <v>0</v>
      </c>
      <c r="N668" s="2">
        <f t="shared" si="43"/>
        <v>0</v>
      </c>
      <c r="O668" s="2" cm="1">
        <f t="array" ref="O668">_xlfn.IFS(M668&lt;Data!$F$3,0,M668&lt;Data!$F$4,1,TRUE,2)</f>
        <v>0</v>
      </c>
      <c r="P668" s="2" cm="1">
        <f t="array" ref="P668">_xlfn.IFS(H668,3,N668&lt;Data!$F$3,0,N668&lt;Data!$F$4,1,TRUE,2)</f>
        <v>0</v>
      </c>
    </row>
    <row r="669" spans="6:16">
      <c r="G669" s="2" t="str" cm="1">
        <f t="array" ref="G669">_xlfn.CONCAT(IFERROR(I669:K669,""))</f>
        <v>02000000FEFFFFFF</v>
      </c>
      <c r="I669" s="2" t="e">
        <f>_xlfn.LET(_xlpm.big,DEC2HEX(_xlfn.BITLSHIFT(M669-_xlfn.XLOOKUP(O669,Data!A:A,Data!F:F),4)+O669,8),_xlfn.CONCAT(MID(_xlpm.big,7,2),MID(_xlpm.big,5,2),MID(_xlpm.big,3,2),MID(_xlpm.big,1,2)))</f>
        <v>#NUM!</v>
      </c>
      <c r="J669" s="2" t="str">
        <f t="shared" si="40"/>
        <v>02000000</v>
      </c>
      <c r="K669" s="2" t="str">
        <f>_xlfn.LET(_xlpm.big,IF(H669,DEC2HEX(HEX2DEC(F669),8),DEC2HEX(N669-_xlfn.XLOOKUP(P669,Data!A:A,Data!F:F),8)),_xlfn.CONCAT(MID(_xlpm.big,7,2),MID(_xlpm.big,5,2),MID(_xlpm.big,3,2),MID(_xlpm.big,1,2)))</f>
        <v>FEFFFFFF</v>
      </c>
      <c r="L669" s="2">
        <f t="shared" si="41"/>
        <v>0</v>
      </c>
      <c r="M669" s="2">
        <f t="shared" si="42"/>
        <v>0</v>
      </c>
      <c r="N669" s="2">
        <f t="shared" si="43"/>
        <v>0</v>
      </c>
      <c r="O669" s="2" cm="1">
        <f t="array" ref="O669">_xlfn.IFS(M669&lt;Data!$F$3,0,M669&lt;Data!$F$4,1,TRUE,2)</f>
        <v>0</v>
      </c>
      <c r="P669" s="2" cm="1">
        <f t="array" ref="P669">_xlfn.IFS(H669,3,N669&lt;Data!$F$3,0,N669&lt;Data!$F$4,1,TRUE,2)</f>
        <v>0</v>
      </c>
    </row>
    <row r="670" spans="6:16">
      <c r="G670" s="2" t="str" cm="1">
        <f t="array" ref="G670">_xlfn.CONCAT(IFERROR(I670:K670,""))</f>
        <v>02000000FEFFFFFF</v>
      </c>
      <c r="I670" s="2" t="e">
        <f>_xlfn.LET(_xlpm.big,DEC2HEX(_xlfn.BITLSHIFT(M670-_xlfn.XLOOKUP(O670,Data!A:A,Data!F:F),4)+O670,8),_xlfn.CONCAT(MID(_xlpm.big,7,2),MID(_xlpm.big,5,2),MID(_xlpm.big,3,2),MID(_xlpm.big,1,2)))</f>
        <v>#NUM!</v>
      </c>
      <c r="J670" s="2" t="str">
        <f t="shared" si="40"/>
        <v>02000000</v>
      </c>
      <c r="K670" s="2" t="str">
        <f>_xlfn.LET(_xlpm.big,IF(H670,DEC2HEX(HEX2DEC(F670),8),DEC2HEX(N670-_xlfn.XLOOKUP(P670,Data!A:A,Data!F:F),8)),_xlfn.CONCAT(MID(_xlpm.big,7,2),MID(_xlpm.big,5,2),MID(_xlpm.big,3,2),MID(_xlpm.big,1,2)))</f>
        <v>FEFFFFFF</v>
      </c>
      <c r="L670" s="2">
        <f t="shared" si="41"/>
        <v>0</v>
      </c>
      <c r="M670" s="2">
        <f t="shared" si="42"/>
        <v>0</v>
      </c>
      <c r="N670" s="2">
        <f t="shared" si="43"/>
        <v>0</v>
      </c>
      <c r="O670" s="2" cm="1">
        <f t="array" ref="O670">_xlfn.IFS(M670&lt;Data!$F$3,0,M670&lt;Data!$F$4,1,TRUE,2)</f>
        <v>0</v>
      </c>
      <c r="P670" s="2" cm="1">
        <f t="array" ref="P670">_xlfn.IFS(H670,3,N670&lt;Data!$F$3,0,N670&lt;Data!$F$4,1,TRUE,2)</f>
        <v>0</v>
      </c>
    </row>
    <row r="671" spans="6:16">
      <c r="G671" s="2" t="str" cm="1">
        <f t="array" ref="G671">_xlfn.CONCAT(IFERROR(I671:K671,""))</f>
        <v>02000000FEFFFFFF</v>
      </c>
      <c r="I671" s="2" t="e">
        <f>_xlfn.LET(_xlpm.big,DEC2HEX(_xlfn.BITLSHIFT(M671-_xlfn.XLOOKUP(O671,Data!A:A,Data!F:F),4)+O671,8),_xlfn.CONCAT(MID(_xlpm.big,7,2),MID(_xlpm.big,5,2),MID(_xlpm.big,3,2),MID(_xlpm.big,1,2)))</f>
        <v>#NUM!</v>
      </c>
      <c r="J671" s="2" t="str">
        <f t="shared" si="40"/>
        <v>02000000</v>
      </c>
      <c r="K671" s="2" t="str">
        <f>_xlfn.LET(_xlpm.big,IF(H671,DEC2HEX(HEX2DEC(F671),8),DEC2HEX(N671-_xlfn.XLOOKUP(P671,Data!A:A,Data!F:F),8)),_xlfn.CONCAT(MID(_xlpm.big,7,2),MID(_xlpm.big,5,2),MID(_xlpm.big,3,2),MID(_xlpm.big,1,2)))</f>
        <v>FEFFFFFF</v>
      </c>
      <c r="L671" s="2">
        <f t="shared" si="41"/>
        <v>0</v>
      </c>
      <c r="M671" s="2">
        <f t="shared" si="42"/>
        <v>0</v>
      </c>
      <c r="N671" s="2">
        <f t="shared" si="43"/>
        <v>0</v>
      </c>
      <c r="O671" s="2" cm="1">
        <f t="array" ref="O671">_xlfn.IFS(M671&lt;Data!$F$3,0,M671&lt;Data!$F$4,1,TRUE,2)</f>
        <v>0</v>
      </c>
      <c r="P671" s="2" cm="1">
        <f t="array" ref="P671">_xlfn.IFS(H671,3,N671&lt;Data!$F$3,0,N671&lt;Data!$F$4,1,TRUE,2)</f>
        <v>0</v>
      </c>
    </row>
    <row r="672" spans="6:16">
      <c r="G672" s="2" t="str" cm="1">
        <f t="array" ref="G672">_xlfn.CONCAT(IFERROR(I672:K672,""))</f>
        <v>02000000FEFFFFFF</v>
      </c>
      <c r="I672" s="2" t="e">
        <f>_xlfn.LET(_xlpm.big,DEC2HEX(_xlfn.BITLSHIFT(M672-_xlfn.XLOOKUP(O672,Data!A:A,Data!F:F),4)+O672,8),_xlfn.CONCAT(MID(_xlpm.big,7,2),MID(_xlpm.big,5,2),MID(_xlpm.big,3,2),MID(_xlpm.big,1,2)))</f>
        <v>#NUM!</v>
      </c>
      <c r="J672" s="2" t="str">
        <f t="shared" si="40"/>
        <v>02000000</v>
      </c>
      <c r="K672" s="2" t="str">
        <f>_xlfn.LET(_xlpm.big,IF(H672,DEC2HEX(HEX2DEC(F672),8),DEC2HEX(N672-_xlfn.XLOOKUP(P672,Data!A:A,Data!F:F),8)),_xlfn.CONCAT(MID(_xlpm.big,7,2),MID(_xlpm.big,5,2),MID(_xlpm.big,3,2),MID(_xlpm.big,1,2)))</f>
        <v>FEFFFFFF</v>
      </c>
      <c r="L672" s="2">
        <f t="shared" si="41"/>
        <v>0</v>
      </c>
      <c r="M672" s="2">
        <f t="shared" si="42"/>
        <v>0</v>
      </c>
      <c r="N672" s="2">
        <f t="shared" si="43"/>
        <v>0</v>
      </c>
      <c r="O672" s="2" cm="1">
        <f t="array" ref="O672">_xlfn.IFS(M672&lt;Data!$F$3,0,M672&lt;Data!$F$4,1,TRUE,2)</f>
        <v>0</v>
      </c>
      <c r="P672" s="2" cm="1">
        <f t="array" ref="P672">_xlfn.IFS(H672,3,N672&lt;Data!$F$3,0,N672&lt;Data!$F$4,1,TRUE,2)</f>
        <v>0</v>
      </c>
    </row>
    <row r="673" spans="4:16">
      <c r="G673" s="2" t="str" cm="1">
        <f t="array" ref="G673">_xlfn.CONCAT(IFERROR(I673:K673,""))</f>
        <v>02000000FEFFFFFF</v>
      </c>
      <c r="I673" s="2" t="e">
        <f>_xlfn.LET(_xlpm.big,DEC2HEX(_xlfn.BITLSHIFT(M673-_xlfn.XLOOKUP(O673,Data!A:A,Data!F:F),4)+O673,8),_xlfn.CONCAT(MID(_xlpm.big,7,2),MID(_xlpm.big,5,2),MID(_xlpm.big,3,2),MID(_xlpm.big,1,2)))</f>
        <v>#NUM!</v>
      </c>
      <c r="J673" s="2" t="str">
        <f t="shared" si="40"/>
        <v>02000000</v>
      </c>
      <c r="K673" s="2" t="str">
        <f>_xlfn.LET(_xlpm.big,IF(H673,DEC2HEX(HEX2DEC(F673),8),DEC2HEX(N673-_xlfn.XLOOKUP(P673,Data!A:A,Data!F:F),8)),_xlfn.CONCAT(MID(_xlpm.big,7,2),MID(_xlpm.big,5,2),MID(_xlpm.big,3,2),MID(_xlpm.big,1,2)))</f>
        <v>FEFFFFFF</v>
      </c>
      <c r="L673" s="2">
        <f t="shared" si="41"/>
        <v>0</v>
      </c>
      <c r="M673" s="2">
        <f t="shared" si="42"/>
        <v>0</v>
      </c>
      <c r="N673" s="2">
        <f t="shared" si="43"/>
        <v>0</v>
      </c>
      <c r="O673" s="2" cm="1">
        <f t="array" ref="O673">_xlfn.IFS(M673&lt;Data!$F$3,0,M673&lt;Data!$F$4,1,TRUE,2)</f>
        <v>0</v>
      </c>
      <c r="P673" s="2" cm="1">
        <f t="array" ref="P673">_xlfn.IFS(H673,3,N673&lt;Data!$F$3,0,N673&lt;Data!$F$4,1,TRUE,2)</f>
        <v>0</v>
      </c>
    </row>
    <row r="674" spans="4:16">
      <c r="D674" s="3"/>
      <c r="E674" s="3"/>
      <c r="G674" s="2" t="str" cm="1">
        <f t="array" ref="G674">_xlfn.CONCAT(IFERROR(I674:K674,""))</f>
        <v>02000000FEFFFFFF</v>
      </c>
      <c r="I674" s="2" t="e">
        <f>_xlfn.LET(_xlpm.big,DEC2HEX(_xlfn.BITLSHIFT(M674-_xlfn.XLOOKUP(O674,Data!A:A,Data!F:F),4)+O674,8),_xlfn.CONCAT(MID(_xlpm.big,7,2),MID(_xlpm.big,5,2),MID(_xlpm.big,3,2),MID(_xlpm.big,1,2)))</f>
        <v>#NUM!</v>
      </c>
      <c r="J674" s="2" t="str">
        <f t="shared" si="40"/>
        <v>02000000</v>
      </c>
      <c r="K674" s="2" t="str">
        <f>_xlfn.LET(_xlpm.big,IF(H674,DEC2HEX(HEX2DEC(F674),8),DEC2HEX(N674-_xlfn.XLOOKUP(P674,Data!A:A,Data!F:F),8)),_xlfn.CONCAT(MID(_xlpm.big,7,2),MID(_xlpm.big,5,2),MID(_xlpm.big,3,2),MID(_xlpm.big,1,2)))</f>
        <v>FEFFFFFF</v>
      </c>
      <c r="L674" s="2">
        <f t="shared" si="41"/>
        <v>0</v>
      </c>
      <c r="M674" s="2">
        <f t="shared" si="42"/>
        <v>0</v>
      </c>
      <c r="N674" s="2">
        <f t="shared" si="43"/>
        <v>0</v>
      </c>
      <c r="O674" s="2" cm="1">
        <f t="array" ref="O674">_xlfn.IFS(M674&lt;Data!$F$3,0,M674&lt;Data!$F$4,1,TRUE,2)</f>
        <v>0</v>
      </c>
      <c r="P674" s="2" cm="1">
        <f t="array" ref="P674">_xlfn.IFS(H674,3,N674&lt;Data!$F$3,0,N674&lt;Data!$F$4,1,TRUE,2)</f>
        <v>0</v>
      </c>
    </row>
    <row r="675" spans="4:16">
      <c r="F675" s="2"/>
      <c r="G675" s="2" t="str" cm="1">
        <f t="array" ref="G675">_xlfn.CONCAT(IFERROR(I675:K675,""))</f>
        <v>02000000FEFFFFFF</v>
      </c>
      <c r="I675" s="2" t="e">
        <f>_xlfn.LET(_xlpm.big,DEC2HEX(_xlfn.BITLSHIFT(M675-_xlfn.XLOOKUP(O675,Data!A:A,Data!F:F),4)+O675,8),_xlfn.CONCAT(MID(_xlpm.big,7,2),MID(_xlpm.big,5,2),MID(_xlpm.big,3,2),MID(_xlpm.big,1,2)))</f>
        <v>#NUM!</v>
      </c>
      <c r="J675" s="2" t="str">
        <f t="shared" si="40"/>
        <v>02000000</v>
      </c>
      <c r="K675" s="2" t="str">
        <f>_xlfn.LET(_xlpm.big,IF(H675,DEC2HEX(HEX2DEC(F675),8),DEC2HEX(N675-_xlfn.XLOOKUP(P675,Data!A:A,Data!F:F),8)),_xlfn.CONCAT(MID(_xlpm.big,7,2),MID(_xlpm.big,5,2),MID(_xlpm.big,3,2),MID(_xlpm.big,1,2)))</f>
        <v>FEFFFFFF</v>
      </c>
      <c r="L675" s="2">
        <f t="shared" si="41"/>
        <v>0</v>
      </c>
      <c r="M675" s="2">
        <f t="shared" si="42"/>
        <v>0</v>
      </c>
      <c r="N675" s="2">
        <f t="shared" si="43"/>
        <v>0</v>
      </c>
      <c r="O675" s="2" cm="1">
        <f t="array" ref="O675">_xlfn.IFS(M675&lt;Data!$F$3,0,M675&lt;Data!$F$4,1,TRUE,2)</f>
        <v>0</v>
      </c>
      <c r="P675" s="2" cm="1">
        <f t="array" ref="P675">_xlfn.IFS(H675,3,N675&lt;Data!$F$3,0,N675&lt;Data!$F$4,1,TRUE,2)</f>
        <v>0</v>
      </c>
    </row>
    <row r="676" spans="4:16">
      <c r="G676" s="2" t="str" cm="1">
        <f t="array" ref="G676">_xlfn.CONCAT(IFERROR(I676:K676,""))</f>
        <v>02000000FEFFFFFF</v>
      </c>
      <c r="I676" s="2" t="e">
        <f>_xlfn.LET(_xlpm.big,DEC2HEX(_xlfn.BITLSHIFT(M676-_xlfn.XLOOKUP(O676,Data!A:A,Data!F:F),4)+O676,8),_xlfn.CONCAT(MID(_xlpm.big,7,2),MID(_xlpm.big,5,2),MID(_xlpm.big,3,2),MID(_xlpm.big,1,2)))</f>
        <v>#NUM!</v>
      </c>
      <c r="J676" s="2" t="str">
        <f t="shared" si="40"/>
        <v>02000000</v>
      </c>
      <c r="K676" s="2" t="str">
        <f>_xlfn.LET(_xlpm.big,IF(H676,DEC2HEX(HEX2DEC(F676),8),DEC2HEX(N676-_xlfn.XLOOKUP(P676,Data!A:A,Data!F:F),8)),_xlfn.CONCAT(MID(_xlpm.big,7,2),MID(_xlpm.big,5,2),MID(_xlpm.big,3,2),MID(_xlpm.big,1,2)))</f>
        <v>FEFFFFFF</v>
      </c>
      <c r="L676" s="2">
        <f t="shared" si="41"/>
        <v>0</v>
      </c>
      <c r="M676" s="2">
        <f t="shared" si="42"/>
        <v>0</v>
      </c>
      <c r="N676" s="2">
        <f t="shared" si="43"/>
        <v>0</v>
      </c>
      <c r="O676" s="2" cm="1">
        <f t="array" ref="O676">_xlfn.IFS(M676&lt;Data!$F$3,0,M676&lt;Data!$F$4,1,TRUE,2)</f>
        <v>0</v>
      </c>
      <c r="P676" s="2" cm="1">
        <f t="array" ref="P676">_xlfn.IFS(H676,3,N676&lt;Data!$F$3,0,N676&lt;Data!$F$4,1,TRUE,2)</f>
        <v>0</v>
      </c>
    </row>
    <row r="677" spans="4:16">
      <c r="G677" s="2" t="str" cm="1">
        <f t="array" ref="G677">_xlfn.CONCAT(IFERROR(I677:K677,""))</f>
        <v>02000000FEFFFFFF</v>
      </c>
      <c r="I677" s="2" t="e">
        <f>_xlfn.LET(_xlpm.big,DEC2HEX(_xlfn.BITLSHIFT(M677-_xlfn.XLOOKUP(O677,Data!A:A,Data!F:F),4)+O677,8),_xlfn.CONCAT(MID(_xlpm.big,7,2),MID(_xlpm.big,5,2),MID(_xlpm.big,3,2),MID(_xlpm.big,1,2)))</f>
        <v>#NUM!</v>
      </c>
      <c r="J677" s="2" t="str">
        <f t="shared" si="40"/>
        <v>02000000</v>
      </c>
      <c r="K677" s="2" t="str">
        <f>_xlfn.LET(_xlpm.big,IF(H677,DEC2HEX(HEX2DEC(F677),8),DEC2HEX(N677-_xlfn.XLOOKUP(P677,Data!A:A,Data!F:F),8)),_xlfn.CONCAT(MID(_xlpm.big,7,2),MID(_xlpm.big,5,2),MID(_xlpm.big,3,2),MID(_xlpm.big,1,2)))</f>
        <v>FEFFFFFF</v>
      </c>
      <c r="L677" s="2">
        <f t="shared" si="41"/>
        <v>0</v>
      </c>
      <c r="M677" s="2">
        <f t="shared" si="42"/>
        <v>0</v>
      </c>
      <c r="N677" s="2">
        <f t="shared" si="43"/>
        <v>0</v>
      </c>
      <c r="O677" s="2" cm="1">
        <f t="array" ref="O677">_xlfn.IFS(M677&lt;Data!$F$3,0,M677&lt;Data!$F$4,1,TRUE,2)</f>
        <v>0</v>
      </c>
      <c r="P677" s="2" cm="1">
        <f t="array" ref="P677">_xlfn.IFS(H677,3,N677&lt;Data!$F$3,0,N677&lt;Data!$F$4,1,TRUE,2)</f>
        <v>0</v>
      </c>
    </row>
    <row r="678" spans="4:16">
      <c r="G678" s="2" t="str" cm="1">
        <f t="array" ref="G678">_xlfn.CONCAT(IFERROR(I678:K678,""))</f>
        <v>02000000FEFFFFFF</v>
      </c>
      <c r="I678" s="2" t="e">
        <f>_xlfn.LET(_xlpm.big,DEC2HEX(_xlfn.BITLSHIFT(M678-_xlfn.XLOOKUP(O678,Data!A:A,Data!F:F),4)+O678,8),_xlfn.CONCAT(MID(_xlpm.big,7,2),MID(_xlpm.big,5,2),MID(_xlpm.big,3,2),MID(_xlpm.big,1,2)))</f>
        <v>#NUM!</v>
      </c>
      <c r="J678" s="2" t="str">
        <f t="shared" si="40"/>
        <v>02000000</v>
      </c>
      <c r="K678" s="2" t="str">
        <f>_xlfn.LET(_xlpm.big,IF(H678,DEC2HEX(HEX2DEC(F678),8),DEC2HEX(N678-_xlfn.XLOOKUP(P678,Data!A:A,Data!F:F),8)),_xlfn.CONCAT(MID(_xlpm.big,7,2),MID(_xlpm.big,5,2),MID(_xlpm.big,3,2),MID(_xlpm.big,1,2)))</f>
        <v>FEFFFFFF</v>
      </c>
      <c r="L678" s="2">
        <f t="shared" si="41"/>
        <v>0</v>
      </c>
      <c r="M678" s="2">
        <f t="shared" si="42"/>
        <v>0</v>
      </c>
      <c r="N678" s="2">
        <f t="shared" si="43"/>
        <v>0</v>
      </c>
      <c r="O678" s="2" cm="1">
        <f t="array" ref="O678">_xlfn.IFS(M678&lt;Data!$F$3,0,M678&lt;Data!$F$4,1,TRUE,2)</f>
        <v>0</v>
      </c>
      <c r="P678" s="2" cm="1">
        <f t="array" ref="P678">_xlfn.IFS(H678,3,N678&lt;Data!$F$3,0,N678&lt;Data!$F$4,1,TRUE,2)</f>
        <v>0</v>
      </c>
    </row>
    <row r="679" spans="4:16">
      <c r="F679" s="2"/>
      <c r="G679" s="2" t="str" cm="1">
        <f t="array" ref="G679">_xlfn.CONCAT(IFERROR(I679:K679,""))</f>
        <v>02000000FEFFFFFF</v>
      </c>
      <c r="I679" s="2" t="e">
        <f>_xlfn.LET(_xlpm.big,DEC2HEX(_xlfn.BITLSHIFT(M679-_xlfn.XLOOKUP(O679,Data!A:A,Data!F:F),4)+O679,8),_xlfn.CONCAT(MID(_xlpm.big,7,2),MID(_xlpm.big,5,2),MID(_xlpm.big,3,2),MID(_xlpm.big,1,2)))</f>
        <v>#NUM!</v>
      </c>
      <c r="J679" s="2" t="str">
        <f t="shared" si="40"/>
        <v>02000000</v>
      </c>
      <c r="K679" s="2" t="str">
        <f>_xlfn.LET(_xlpm.big,IF(H679,DEC2HEX(HEX2DEC(F679),8),DEC2HEX(N679-_xlfn.XLOOKUP(P679,Data!A:A,Data!F:F),8)),_xlfn.CONCAT(MID(_xlpm.big,7,2),MID(_xlpm.big,5,2),MID(_xlpm.big,3,2),MID(_xlpm.big,1,2)))</f>
        <v>FEFFFFFF</v>
      </c>
      <c r="L679" s="2">
        <f t="shared" si="41"/>
        <v>0</v>
      </c>
      <c r="M679" s="2">
        <f t="shared" si="42"/>
        <v>0</v>
      </c>
      <c r="N679" s="2">
        <f t="shared" si="43"/>
        <v>0</v>
      </c>
      <c r="O679" s="2" cm="1">
        <f t="array" ref="O679">_xlfn.IFS(M679&lt;Data!$F$3,0,M679&lt;Data!$F$4,1,TRUE,2)</f>
        <v>0</v>
      </c>
      <c r="P679" s="2" cm="1">
        <f t="array" ref="P679">_xlfn.IFS(H679,3,N679&lt;Data!$F$3,0,N679&lt;Data!$F$4,1,TRUE,2)</f>
        <v>0</v>
      </c>
    </row>
    <row r="680" spans="4:16">
      <c r="G680" s="2" t="str" cm="1">
        <f t="array" ref="G680">_xlfn.CONCAT(IFERROR(I680:K680,""))</f>
        <v>02000000FEFFFFFF</v>
      </c>
      <c r="I680" s="2" t="e">
        <f>_xlfn.LET(_xlpm.big,DEC2HEX(_xlfn.BITLSHIFT(M680-_xlfn.XLOOKUP(O680,Data!A:A,Data!F:F),4)+O680,8),_xlfn.CONCAT(MID(_xlpm.big,7,2),MID(_xlpm.big,5,2),MID(_xlpm.big,3,2),MID(_xlpm.big,1,2)))</f>
        <v>#NUM!</v>
      </c>
      <c r="J680" s="2" t="str">
        <f t="shared" si="40"/>
        <v>02000000</v>
      </c>
      <c r="K680" s="2" t="str">
        <f>_xlfn.LET(_xlpm.big,IF(H680,DEC2HEX(HEX2DEC(F680),8),DEC2HEX(N680-_xlfn.XLOOKUP(P680,Data!A:A,Data!F:F),8)),_xlfn.CONCAT(MID(_xlpm.big,7,2),MID(_xlpm.big,5,2),MID(_xlpm.big,3,2),MID(_xlpm.big,1,2)))</f>
        <v>FEFFFFFF</v>
      </c>
      <c r="L680" s="2">
        <f t="shared" si="41"/>
        <v>0</v>
      </c>
      <c r="M680" s="2">
        <f t="shared" si="42"/>
        <v>0</v>
      </c>
      <c r="N680" s="2">
        <f t="shared" si="43"/>
        <v>0</v>
      </c>
      <c r="O680" s="2" cm="1">
        <f t="array" ref="O680">_xlfn.IFS(M680&lt;Data!$F$3,0,M680&lt;Data!$F$4,1,TRUE,2)</f>
        <v>0</v>
      </c>
      <c r="P680" s="2" cm="1">
        <f t="array" ref="P680">_xlfn.IFS(H680,3,N680&lt;Data!$F$3,0,N680&lt;Data!$F$4,1,TRUE,2)</f>
        <v>0</v>
      </c>
    </row>
    <row r="681" spans="4:16">
      <c r="G681" s="2" t="str" cm="1">
        <f t="array" ref="G681">_xlfn.CONCAT(IFERROR(I681:K681,""))</f>
        <v>02000000FEFFFFFF</v>
      </c>
      <c r="I681" s="2" t="e">
        <f>_xlfn.LET(_xlpm.big,DEC2HEX(_xlfn.BITLSHIFT(M681-_xlfn.XLOOKUP(O681,Data!A:A,Data!F:F),4)+O681,8),_xlfn.CONCAT(MID(_xlpm.big,7,2),MID(_xlpm.big,5,2),MID(_xlpm.big,3,2),MID(_xlpm.big,1,2)))</f>
        <v>#NUM!</v>
      </c>
      <c r="J681" s="2" t="str">
        <f t="shared" si="40"/>
        <v>02000000</v>
      </c>
      <c r="K681" s="2" t="str">
        <f>_xlfn.LET(_xlpm.big,IF(H681,DEC2HEX(HEX2DEC(F681),8),DEC2HEX(N681-_xlfn.XLOOKUP(P681,Data!A:A,Data!F:F),8)),_xlfn.CONCAT(MID(_xlpm.big,7,2),MID(_xlpm.big,5,2),MID(_xlpm.big,3,2),MID(_xlpm.big,1,2)))</f>
        <v>FEFFFFFF</v>
      </c>
      <c r="L681" s="2">
        <f t="shared" si="41"/>
        <v>0</v>
      </c>
      <c r="M681" s="2">
        <f t="shared" si="42"/>
        <v>0</v>
      </c>
      <c r="N681" s="2">
        <f t="shared" si="43"/>
        <v>0</v>
      </c>
      <c r="O681" s="2" cm="1">
        <f t="array" ref="O681">_xlfn.IFS(M681&lt;Data!$F$3,0,M681&lt;Data!$F$4,1,TRUE,2)</f>
        <v>0</v>
      </c>
      <c r="P681" s="2" cm="1">
        <f t="array" ref="P681">_xlfn.IFS(H681,3,N681&lt;Data!$F$3,0,N681&lt;Data!$F$4,1,TRUE,2)</f>
        <v>0</v>
      </c>
    </row>
    <row r="682" spans="4:16">
      <c r="G682" s="2" t="str" cm="1">
        <f t="array" ref="G682">_xlfn.CONCAT(IFERROR(I682:K682,""))</f>
        <v>02000000FEFFFFFF</v>
      </c>
      <c r="I682" s="2" t="e">
        <f>_xlfn.LET(_xlpm.big,DEC2HEX(_xlfn.BITLSHIFT(M682-_xlfn.XLOOKUP(O682,Data!A:A,Data!F:F),4)+O682,8),_xlfn.CONCAT(MID(_xlpm.big,7,2),MID(_xlpm.big,5,2),MID(_xlpm.big,3,2),MID(_xlpm.big,1,2)))</f>
        <v>#NUM!</v>
      </c>
      <c r="J682" s="2" t="str">
        <f t="shared" si="40"/>
        <v>02000000</v>
      </c>
      <c r="K682" s="2" t="str">
        <f>_xlfn.LET(_xlpm.big,IF(H682,DEC2HEX(HEX2DEC(F682),8),DEC2HEX(N682-_xlfn.XLOOKUP(P682,Data!A:A,Data!F:F),8)),_xlfn.CONCAT(MID(_xlpm.big,7,2),MID(_xlpm.big,5,2),MID(_xlpm.big,3,2),MID(_xlpm.big,1,2)))</f>
        <v>FEFFFFFF</v>
      </c>
      <c r="L682" s="2">
        <f t="shared" si="41"/>
        <v>0</v>
      </c>
      <c r="M682" s="2">
        <f t="shared" si="42"/>
        <v>0</v>
      </c>
      <c r="N682" s="2">
        <f t="shared" si="43"/>
        <v>0</v>
      </c>
      <c r="O682" s="2" cm="1">
        <f t="array" ref="O682">_xlfn.IFS(M682&lt;Data!$F$3,0,M682&lt;Data!$F$4,1,TRUE,2)</f>
        <v>0</v>
      </c>
      <c r="P682" s="2" cm="1">
        <f t="array" ref="P682">_xlfn.IFS(H682,3,N682&lt;Data!$F$3,0,N682&lt;Data!$F$4,1,TRUE,2)</f>
        <v>0</v>
      </c>
    </row>
    <row r="683" spans="4:16">
      <c r="E683" s="16"/>
      <c r="G683" s="2" t="str" cm="1">
        <f t="array" ref="G683">_xlfn.CONCAT(IFERROR(I683:K683,""))</f>
        <v>02000000FEFFFFFF</v>
      </c>
      <c r="I683" s="2" t="e">
        <f>_xlfn.LET(_xlpm.big,DEC2HEX(_xlfn.BITLSHIFT(M683-_xlfn.XLOOKUP(O683,Data!A:A,Data!F:F),4)+O683,8),_xlfn.CONCAT(MID(_xlpm.big,7,2),MID(_xlpm.big,5,2),MID(_xlpm.big,3,2),MID(_xlpm.big,1,2)))</f>
        <v>#NUM!</v>
      </c>
      <c r="J683" s="2" t="str">
        <f t="shared" si="40"/>
        <v>02000000</v>
      </c>
      <c r="K683" s="2" t="str">
        <f>_xlfn.LET(_xlpm.big,IF(H683,DEC2HEX(HEX2DEC(F683),8),DEC2HEX(N683-_xlfn.XLOOKUP(P683,Data!A:A,Data!F:F),8)),_xlfn.CONCAT(MID(_xlpm.big,7,2),MID(_xlpm.big,5,2),MID(_xlpm.big,3,2),MID(_xlpm.big,1,2)))</f>
        <v>FEFFFFFF</v>
      </c>
      <c r="L683" s="2">
        <f t="shared" si="41"/>
        <v>0</v>
      </c>
      <c r="M683" s="2">
        <f t="shared" si="42"/>
        <v>0</v>
      </c>
      <c r="N683" s="2">
        <f t="shared" si="43"/>
        <v>0</v>
      </c>
      <c r="O683" s="2" cm="1">
        <f t="array" ref="O683">_xlfn.IFS(M683&lt;Data!$F$3,0,M683&lt;Data!$F$4,1,TRUE,2)</f>
        <v>0</v>
      </c>
      <c r="P683" s="2" cm="1">
        <f t="array" ref="P683">_xlfn.IFS(H683,3,N683&lt;Data!$F$3,0,N683&lt;Data!$F$4,1,TRUE,2)</f>
        <v>0</v>
      </c>
    </row>
    <row r="684" spans="4:16">
      <c r="G684" s="2" t="str" cm="1">
        <f t="array" ref="G684">_xlfn.CONCAT(IFERROR(I684:K684,""))</f>
        <v>02000000FEFFFFFF</v>
      </c>
      <c r="I684" s="2" t="e">
        <f>_xlfn.LET(_xlpm.big,DEC2HEX(_xlfn.BITLSHIFT(M684-_xlfn.XLOOKUP(O684,Data!A:A,Data!F:F),4)+O684,8),_xlfn.CONCAT(MID(_xlpm.big,7,2),MID(_xlpm.big,5,2),MID(_xlpm.big,3,2),MID(_xlpm.big,1,2)))</f>
        <v>#NUM!</v>
      </c>
      <c r="J684" s="2" t="str">
        <f t="shared" si="40"/>
        <v>02000000</v>
      </c>
      <c r="K684" s="2" t="str">
        <f>_xlfn.LET(_xlpm.big,IF(H684,DEC2HEX(HEX2DEC(F684),8),DEC2HEX(N684-_xlfn.XLOOKUP(P684,Data!A:A,Data!F:F),8)),_xlfn.CONCAT(MID(_xlpm.big,7,2),MID(_xlpm.big,5,2),MID(_xlpm.big,3,2),MID(_xlpm.big,1,2)))</f>
        <v>FEFFFFFF</v>
      </c>
      <c r="L684" s="2">
        <f t="shared" si="41"/>
        <v>0</v>
      </c>
      <c r="M684" s="2">
        <f t="shared" si="42"/>
        <v>0</v>
      </c>
      <c r="N684" s="2">
        <f t="shared" si="43"/>
        <v>0</v>
      </c>
      <c r="O684" s="2" cm="1">
        <f t="array" ref="O684">_xlfn.IFS(M684&lt;Data!$F$3,0,M684&lt;Data!$F$4,1,TRUE,2)</f>
        <v>0</v>
      </c>
      <c r="P684" s="2" cm="1">
        <f t="array" ref="P684">_xlfn.IFS(H684,3,N684&lt;Data!$F$3,0,N684&lt;Data!$F$4,1,TRUE,2)</f>
        <v>0</v>
      </c>
    </row>
    <row r="685" spans="4:16">
      <c r="E685" s="16"/>
      <c r="F685" s="3"/>
      <c r="G685" s="2" t="str" cm="1">
        <f t="array" ref="G685">_xlfn.CONCAT(IFERROR(I685:K685,""))</f>
        <v>02000000FEFFFFFF</v>
      </c>
      <c r="I685" s="2" t="e">
        <f>_xlfn.LET(_xlpm.big,DEC2HEX(_xlfn.BITLSHIFT(M685-_xlfn.XLOOKUP(O685,Data!A:A,Data!F:F),4)+O685,8),_xlfn.CONCAT(MID(_xlpm.big,7,2),MID(_xlpm.big,5,2),MID(_xlpm.big,3,2),MID(_xlpm.big,1,2)))</f>
        <v>#NUM!</v>
      </c>
      <c r="J685" s="2" t="str">
        <f t="shared" si="40"/>
        <v>02000000</v>
      </c>
      <c r="K685" s="2" t="str">
        <f>_xlfn.LET(_xlpm.big,IF(H685,DEC2HEX(HEX2DEC(F685),8),DEC2HEX(N685-_xlfn.XLOOKUP(P685,Data!A:A,Data!F:F),8)),_xlfn.CONCAT(MID(_xlpm.big,7,2),MID(_xlpm.big,5,2),MID(_xlpm.big,3,2),MID(_xlpm.big,1,2)))</f>
        <v>FEFFFFFF</v>
      </c>
      <c r="L685" s="2">
        <f t="shared" si="41"/>
        <v>0</v>
      </c>
      <c r="M685" s="2">
        <f t="shared" si="42"/>
        <v>0</v>
      </c>
      <c r="N685" s="2">
        <f t="shared" si="43"/>
        <v>0</v>
      </c>
      <c r="O685" s="2" cm="1">
        <f t="array" ref="O685">_xlfn.IFS(M685&lt;Data!$F$3,0,M685&lt;Data!$F$4,1,TRUE,2)</f>
        <v>0</v>
      </c>
      <c r="P685" s="2" cm="1">
        <f t="array" ref="P685">_xlfn.IFS(H685,3,N685&lt;Data!$F$3,0,N685&lt;Data!$F$4,1,TRUE,2)</f>
        <v>0</v>
      </c>
    </row>
    <row r="686" spans="4:16">
      <c r="E686" s="16"/>
      <c r="F686" s="3"/>
      <c r="G686" s="2" t="str" cm="1">
        <f t="array" ref="G686">_xlfn.CONCAT(IFERROR(I686:K686,""))</f>
        <v>02000000FEFFFFFF</v>
      </c>
      <c r="I686" s="2" t="e">
        <f>_xlfn.LET(_xlpm.big,DEC2HEX(_xlfn.BITLSHIFT(M686-_xlfn.XLOOKUP(O686,Data!A:A,Data!F:F),4)+O686,8),_xlfn.CONCAT(MID(_xlpm.big,7,2),MID(_xlpm.big,5,2),MID(_xlpm.big,3,2),MID(_xlpm.big,1,2)))</f>
        <v>#NUM!</v>
      </c>
      <c r="J686" s="2" t="str">
        <f t="shared" si="40"/>
        <v>02000000</v>
      </c>
      <c r="K686" s="2" t="str">
        <f>_xlfn.LET(_xlpm.big,IF(H686,DEC2HEX(HEX2DEC(F686),8),DEC2HEX(N686-_xlfn.XLOOKUP(P686,Data!A:A,Data!F:F),8)),_xlfn.CONCAT(MID(_xlpm.big,7,2),MID(_xlpm.big,5,2),MID(_xlpm.big,3,2),MID(_xlpm.big,1,2)))</f>
        <v>FEFFFFFF</v>
      </c>
      <c r="L686" s="2">
        <f t="shared" si="41"/>
        <v>0</v>
      </c>
      <c r="M686" s="2">
        <f t="shared" si="42"/>
        <v>0</v>
      </c>
      <c r="N686" s="2">
        <f t="shared" si="43"/>
        <v>0</v>
      </c>
      <c r="O686" s="2" cm="1">
        <f t="array" ref="O686">_xlfn.IFS(M686&lt;Data!$F$3,0,M686&lt;Data!$F$4,1,TRUE,2)</f>
        <v>0</v>
      </c>
      <c r="P686" s="2" cm="1">
        <f t="array" ref="P686">_xlfn.IFS(H686,3,N686&lt;Data!$F$3,0,N686&lt;Data!$F$4,1,TRUE,2)</f>
        <v>0</v>
      </c>
    </row>
    <row r="687" spans="4:16">
      <c r="E687" s="16"/>
      <c r="F687" s="3"/>
      <c r="G687" s="2" t="str" cm="1">
        <f t="array" ref="G687">_xlfn.CONCAT(IFERROR(I687:K687,""))</f>
        <v>02000000FEFFFFFF</v>
      </c>
      <c r="I687" s="2" t="e">
        <f>_xlfn.LET(_xlpm.big,DEC2HEX(_xlfn.BITLSHIFT(M687-_xlfn.XLOOKUP(O687,Data!A:A,Data!F:F),4)+O687,8),_xlfn.CONCAT(MID(_xlpm.big,7,2),MID(_xlpm.big,5,2),MID(_xlpm.big,3,2),MID(_xlpm.big,1,2)))</f>
        <v>#NUM!</v>
      </c>
      <c r="J687" s="2" t="str">
        <f t="shared" si="40"/>
        <v>02000000</v>
      </c>
      <c r="K687" s="2" t="str">
        <f>_xlfn.LET(_xlpm.big,IF(H687,DEC2HEX(HEX2DEC(F687),8),DEC2HEX(N687-_xlfn.XLOOKUP(P687,Data!A:A,Data!F:F),8)),_xlfn.CONCAT(MID(_xlpm.big,7,2),MID(_xlpm.big,5,2),MID(_xlpm.big,3,2),MID(_xlpm.big,1,2)))</f>
        <v>FEFFFFFF</v>
      </c>
      <c r="L687" s="2">
        <f t="shared" si="41"/>
        <v>0</v>
      </c>
      <c r="M687" s="2">
        <f t="shared" si="42"/>
        <v>0</v>
      </c>
      <c r="N687" s="2">
        <f t="shared" si="43"/>
        <v>0</v>
      </c>
      <c r="O687" s="2" cm="1">
        <f t="array" ref="O687">_xlfn.IFS(M687&lt;Data!$F$3,0,M687&lt;Data!$F$4,1,TRUE,2)</f>
        <v>0</v>
      </c>
      <c r="P687" s="2" cm="1">
        <f t="array" ref="P687">_xlfn.IFS(H687,3,N687&lt;Data!$F$3,0,N687&lt;Data!$F$4,1,TRUE,2)</f>
        <v>0</v>
      </c>
    </row>
    <row r="688" spans="4:16">
      <c r="E688" s="16"/>
      <c r="G688" s="2" t="str" cm="1">
        <f t="array" ref="G688">_xlfn.CONCAT(IFERROR(I688:K688,""))</f>
        <v>02000000FEFFFFFF</v>
      </c>
      <c r="I688" s="2" t="e">
        <f>_xlfn.LET(_xlpm.big,DEC2HEX(_xlfn.BITLSHIFT(M688-_xlfn.XLOOKUP(O688,Data!A:A,Data!F:F),4)+O688,8),_xlfn.CONCAT(MID(_xlpm.big,7,2),MID(_xlpm.big,5,2),MID(_xlpm.big,3,2),MID(_xlpm.big,1,2)))</f>
        <v>#NUM!</v>
      </c>
      <c r="J688" s="2" t="str">
        <f t="shared" si="40"/>
        <v>02000000</v>
      </c>
      <c r="K688" s="2" t="str">
        <f>_xlfn.LET(_xlpm.big,IF(H688,DEC2HEX(HEX2DEC(F688),8),DEC2HEX(N688-_xlfn.XLOOKUP(P688,Data!A:A,Data!F:F),8)),_xlfn.CONCAT(MID(_xlpm.big,7,2),MID(_xlpm.big,5,2),MID(_xlpm.big,3,2),MID(_xlpm.big,1,2)))</f>
        <v>FEFFFFFF</v>
      </c>
      <c r="L688" s="2">
        <f t="shared" si="41"/>
        <v>0</v>
      </c>
      <c r="M688" s="2">
        <f t="shared" si="42"/>
        <v>0</v>
      </c>
      <c r="N688" s="2">
        <f t="shared" si="43"/>
        <v>0</v>
      </c>
      <c r="O688" s="2" cm="1">
        <f t="array" ref="O688">_xlfn.IFS(M688&lt;Data!$F$3,0,M688&lt;Data!$F$4,1,TRUE,2)</f>
        <v>0</v>
      </c>
      <c r="P688" s="2" cm="1">
        <f t="array" ref="P688">_xlfn.IFS(H688,3,N688&lt;Data!$F$3,0,N688&lt;Data!$F$4,1,TRUE,2)</f>
        <v>0</v>
      </c>
    </row>
    <row r="689" spans="4:16">
      <c r="G689" s="2" t="str" cm="1">
        <f t="array" ref="G689">_xlfn.CONCAT(IFERROR(I689:K689,""))</f>
        <v>02000000FEFFFFFF</v>
      </c>
      <c r="I689" s="2" t="e">
        <f>_xlfn.LET(_xlpm.big,DEC2HEX(_xlfn.BITLSHIFT(M689-_xlfn.XLOOKUP(O689,Data!A:A,Data!F:F),4)+O689,8),_xlfn.CONCAT(MID(_xlpm.big,7,2),MID(_xlpm.big,5,2),MID(_xlpm.big,3,2),MID(_xlpm.big,1,2)))</f>
        <v>#NUM!</v>
      </c>
      <c r="J689" s="2" t="str">
        <f t="shared" si="40"/>
        <v>02000000</v>
      </c>
      <c r="K689" s="2" t="str">
        <f>_xlfn.LET(_xlpm.big,IF(H689,DEC2HEX(HEX2DEC(F689),8),DEC2HEX(N689-_xlfn.XLOOKUP(P689,Data!A:A,Data!F:F),8)),_xlfn.CONCAT(MID(_xlpm.big,7,2),MID(_xlpm.big,5,2),MID(_xlpm.big,3,2),MID(_xlpm.big,1,2)))</f>
        <v>FEFFFFFF</v>
      </c>
      <c r="L689" s="2">
        <f t="shared" si="41"/>
        <v>0</v>
      </c>
      <c r="M689" s="2">
        <f t="shared" si="42"/>
        <v>0</v>
      </c>
      <c r="N689" s="2">
        <f t="shared" si="43"/>
        <v>0</v>
      </c>
      <c r="O689" s="2" cm="1">
        <f t="array" ref="O689">_xlfn.IFS(M689&lt;Data!$F$3,0,M689&lt;Data!$F$4,1,TRUE,2)</f>
        <v>0</v>
      </c>
      <c r="P689" s="2" cm="1">
        <f t="array" ref="P689">_xlfn.IFS(H689,3,N689&lt;Data!$F$3,0,N689&lt;Data!$F$4,1,TRUE,2)</f>
        <v>0</v>
      </c>
    </row>
    <row r="690" spans="4:16">
      <c r="E690" s="16"/>
      <c r="G690" s="2" t="str" cm="1">
        <f t="array" ref="G690">_xlfn.CONCAT(IFERROR(I690:K690,""))</f>
        <v>02000000FEFFFFFF</v>
      </c>
      <c r="I690" s="2" t="e">
        <f>_xlfn.LET(_xlpm.big,DEC2HEX(_xlfn.BITLSHIFT(M690-_xlfn.XLOOKUP(O690,Data!A:A,Data!F:F),4)+O690,8),_xlfn.CONCAT(MID(_xlpm.big,7,2),MID(_xlpm.big,5,2),MID(_xlpm.big,3,2),MID(_xlpm.big,1,2)))</f>
        <v>#NUM!</v>
      </c>
      <c r="J690" s="2" t="str">
        <f t="shared" si="40"/>
        <v>02000000</v>
      </c>
      <c r="K690" s="2" t="str">
        <f>_xlfn.LET(_xlpm.big,IF(H690,DEC2HEX(HEX2DEC(F690),8),DEC2HEX(N690-_xlfn.XLOOKUP(P690,Data!A:A,Data!F:F),8)),_xlfn.CONCAT(MID(_xlpm.big,7,2),MID(_xlpm.big,5,2),MID(_xlpm.big,3,2),MID(_xlpm.big,1,2)))</f>
        <v>FEFFFFFF</v>
      </c>
      <c r="L690" s="2">
        <f t="shared" si="41"/>
        <v>0</v>
      </c>
      <c r="M690" s="2">
        <f t="shared" si="42"/>
        <v>0</v>
      </c>
      <c r="N690" s="2">
        <f t="shared" si="43"/>
        <v>0</v>
      </c>
      <c r="O690" s="2" cm="1">
        <f t="array" ref="O690">_xlfn.IFS(M690&lt;Data!$F$3,0,M690&lt;Data!$F$4,1,TRUE,2)</f>
        <v>0</v>
      </c>
      <c r="P690" s="2" cm="1">
        <f t="array" ref="P690">_xlfn.IFS(H690,3,N690&lt;Data!$F$3,0,N690&lt;Data!$F$4,1,TRUE,2)</f>
        <v>0</v>
      </c>
    </row>
    <row r="691" spans="4:16">
      <c r="E691" s="16"/>
      <c r="G691" s="2" t="str" cm="1">
        <f t="array" ref="G691">_xlfn.CONCAT(IFERROR(I691:K691,""))</f>
        <v>02000000FEFFFFFF</v>
      </c>
      <c r="I691" s="2" t="e">
        <f>_xlfn.LET(_xlpm.big,DEC2HEX(_xlfn.BITLSHIFT(M691-_xlfn.XLOOKUP(O691,Data!A:A,Data!F:F),4)+O691,8),_xlfn.CONCAT(MID(_xlpm.big,7,2),MID(_xlpm.big,5,2),MID(_xlpm.big,3,2),MID(_xlpm.big,1,2)))</f>
        <v>#NUM!</v>
      </c>
      <c r="J691" s="2" t="str">
        <f t="shared" si="40"/>
        <v>02000000</v>
      </c>
      <c r="K691" s="2" t="str">
        <f>_xlfn.LET(_xlpm.big,IF(H691,DEC2HEX(HEX2DEC(F691),8),DEC2HEX(N691-_xlfn.XLOOKUP(P691,Data!A:A,Data!F:F),8)),_xlfn.CONCAT(MID(_xlpm.big,7,2),MID(_xlpm.big,5,2),MID(_xlpm.big,3,2),MID(_xlpm.big,1,2)))</f>
        <v>FEFFFFFF</v>
      </c>
      <c r="L691" s="2">
        <f t="shared" si="41"/>
        <v>0</v>
      </c>
      <c r="M691" s="2">
        <f t="shared" si="42"/>
        <v>0</v>
      </c>
      <c r="N691" s="2">
        <f t="shared" si="43"/>
        <v>0</v>
      </c>
      <c r="O691" s="2" cm="1">
        <f t="array" ref="O691">_xlfn.IFS(M691&lt;Data!$F$3,0,M691&lt;Data!$F$4,1,TRUE,2)</f>
        <v>0</v>
      </c>
      <c r="P691" s="2" cm="1">
        <f t="array" ref="P691">_xlfn.IFS(H691,3,N691&lt;Data!$F$3,0,N691&lt;Data!$F$4,1,TRUE,2)</f>
        <v>0</v>
      </c>
    </row>
    <row r="692" spans="4:16">
      <c r="G692" s="2" t="str" cm="1">
        <f t="array" ref="G692">_xlfn.CONCAT(IFERROR(I692:K692,""))</f>
        <v>02000000FEFFFFFF</v>
      </c>
      <c r="I692" s="2" t="e">
        <f>_xlfn.LET(_xlpm.big,DEC2HEX(_xlfn.BITLSHIFT(M692-_xlfn.XLOOKUP(O692,Data!A:A,Data!F:F),4)+O692,8),_xlfn.CONCAT(MID(_xlpm.big,7,2),MID(_xlpm.big,5,2),MID(_xlpm.big,3,2),MID(_xlpm.big,1,2)))</f>
        <v>#NUM!</v>
      </c>
      <c r="J692" s="2" t="str">
        <f t="shared" si="40"/>
        <v>02000000</v>
      </c>
      <c r="K692" s="2" t="str">
        <f>_xlfn.LET(_xlpm.big,IF(H692,DEC2HEX(HEX2DEC(F692),8),DEC2HEX(N692-_xlfn.XLOOKUP(P692,Data!A:A,Data!F:F),8)),_xlfn.CONCAT(MID(_xlpm.big,7,2),MID(_xlpm.big,5,2),MID(_xlpm.big,3,2),MID(_xlpm.big,1,2)))</f>
        <v>FEFFFFFF</v>
      </c>
      <c r="L692" s="2">
        <f t="shared" si="41"/>
        <v>0</v>
      </c>
      <c r="M692" s="2">
        <f t="shared" si="42"/>
        <v>0</v>
      </c>
      <c r="N692" s="2">
        <f t="shared" si="43"/>
        <v>0</v>
      </c>
      <c r="O692" s="2" cm="1">
        <f t="array" ref="O692">_xlfn.IFS(M692&lt;Data!$F$3,0,M692&lt;Data!$F$4,1,TRUE,2)</f>
        <v>0</v>
      </c>
      <c r="P692" s="2" cm="1">
        <f t="array" ref="P692">_xlfn.IFS(H692,3,N692&lt;Data!$F$3,0,N692&lt;Data!$F$4,1,TRUE,2)</f>
        <v>0</v>
      </c>
    </row>
    <row r="693" spans="4:16">
      <c r="E693" s="16"/>
      <c r="G693" s="2" t="str" cm="1">
        <f t="array" ref="G693">_xlfn.CONCAT(IFERROR(I693:K693,""))</f>
        <v>02000000FEFFFFFF</v>
      </c>
      <c r="I693" s="2" t="e">
        <f>_xlfn.LET(_xlpm.big,DEC2HEX(_xlfn.BITLSHIFT(M693-_xlfn.XLOOKUP(O693,Data!A:A,Data!F:F),4)+O693,8),_xlfn.CONCAT(MID(_xlpm.big,7,2),MID(_xlpm.big,5,2),MID(_xlpm.big,3,2),MID(_xlpm.big,1,2)))</f>
        <v>#NUM!</v>
      </c>
      <c r="J693" s="2" t="str">
        <f t="shared" si="40"/>
        <v>02000000</v>
      </c>
      <c r="K693" s="2" t="str">
        <f>_xlfn.LET(_xlpm.big,IF(H693,DEC2HEX(HEX2DEC(F693),8),DEC2HEX(N693-_xlfn.XLOOKUP(P693,Data!A:A,Data!F:F),8)),_xlfn.CONCAT(MID(_xlpm.big,7,2),MID(_xlpm.big,5,2),MID(_xlpm.big,3,2),MID(_xlpm.big,1,2)))</f>
        <v>FEFFFFFF</v>
      </c>
      <c r="L693" s="2">
        <f t="shared" si="41"/>
        <v>0</v>
      </c>
      <c r="M693" s="2">
        <f t="shared" si="42"/>
        <v>0</v>
      </c>
      <c r="N693" s="2">
        <f t="shared" si="43"/>
        <v>0</v>
      </c>
      <c r="O693" s="2" cm="1">
        <f t="array" ref="O693">_xlfn.IFS(M693&lt;Data!$F$3,0,M693&lt;Data!$F$4,1,TRUE,2)</f>
        <v>0</v>
      </c>
      <c r="P693" s="2" cm="1">
        <f t="array" ref="P693">_xlfn.IFS(H693,3,N693&lt;Data!$F$3,0,N693&lt;Data!$F$4,1,TRUE,2)</f>
        <v>0</v>
      </c>
    </row>
    <row r="694" spans="4:16">
      <c r="G694" s="2" t="str" cm="1">
        <f t="array" ref="G694">_xlfn.CONCAT(IFERROR(I694:K694,""))</f>
        <v>02000000FEFFFFFF</v>
      </c>
      <c r="I694" s="2" t="e">
        <f>_xlfn.LET(_xlpm.big,DEC2HEX(_xlfn.BITLSHIFT(M694-_xlfn.XLOOKUP(O694,Data!A:A,Data!F:F),4)+O694,8),_xlfn.CONCAT(MID(_xlpm.big,7,2),MID(_xlpm.big,5,2),MID(_xlpm.big,3,2),MID(_xlpm.big,1,2)))</f>
        <v>#NUM!</v>
      </c>
      <c r="J694" s="2" t="str">
        <f t="shared" si="40"/>
        <v>02000000</v>
      </c>
      <c r="K694" s="2" t="str">
        <f>_xlfn.LET(_xlpm.big,IF(H694,DEC2HEX(HEX2DEC(F694),8),DEC2HEX(N694-_xlfn.XLOOKUP(P694,Data!A:A,Data!F:F),8)),_xlfn.CONCAT(MID(_xlpm.big,7,2),MID(_xlpm.big,5,2),MID(_xlpm.big,3,2),MID(_xlpm.big,1,2)))</f>
        <v>FEFFFFFF</v>
      </c>
      <c r="L694" s="2">
        <f t="shared" si="41"/>
        <v>0</v>
      </c>
      <c r="M694" s="2">
        <f t="shared" si="42"/>
        <v>0</v>
      </c>
      <c r="N694" s="2">
        <f t="shared" si="43"/>
        <v>0</v>
      </c>
      <c r="O694" s="2" cm="1">
        <f t="array" ref="O694">_xlfn.IFS(M694&lt;Data!$F$3,0,M694&lt;Data!$F$4,1,TRUE,2)</f>
        <v>0</v>
      </c>
      <c r="P694" s="2" cm="1">
        <f t="array" ref="P694">_xlfn.IFS(H694,3,N694&lt;Data!$F$3,0,N694&lt;Data!$F$4,1,TRUE,2)</f>
        <v>0</v>
      </c>
    </row>
    <row r="695" spans="4:16">
      <c r="D695" s="3"/>
      <c r="E695" s="3"/>
      <c r="G695" s="2" t="str" cm="1">
        <f t="array" ref="G695">_xlfn.CONCAT(IFERROR(I695:K695,""))</f>
        <v>02000000FEFFFFFF</v>
      </c>
      <c r="I695" s="2" t="e">
        <f>_xlfn.LET(_xlpm.big,DEC2HEX(_xlfn.BITLSHIFT(M695-_xlfn.XLOOKUP(O695,Data!A:A,Data!F:F),4)+O695,8),_xlfn.CONCAT(MID(_xlpm.big,7,2),MID(_xlpm.big,5,2),MID(_xlpm.big,3,2),MID(_xlpm.big,1,2)))</f>
        <v>#NUM!</v>
      </c>
      <c r="J695" s="2" t="str">
        <f t="shared" si="40"/>
        <v>02000000</v>
      </c>
      <c r="K695" s="2" t="str">
        <f>_xlfn.LET(_xlpm.big,IF(H695,DEC2HEX(HEX2DEC(F695),8),DEC2HEX(N695-_xlfn.XLOOKUP(P695,Data!A:A,Data!F:F),8)),_xlfn.CONCAT(MID(_xlpm.big,7,2),MID(_xlpm.big,5,2),MID(_xlpm.big,3,2),MID(_xlpm.big,1,2)))</f>
        <v>FEFFFFFF</v>
      </c>
      <c r="L695" s="2">
        <f t="shared" si="41"/>
        <v>0</v>
      </c>
      <c r="M695" s="2">
        <f t="shared" si="42"/>
        <v>0</v>
      </c>
      <c r="N695" s="2">
        <f t="shared" si="43"/>
        <v>0</v>
      </c>
      <c r="O695" s="2" cm="1">
        <f t="array" ref="O695">_xlfn.IFS(M695&lt;Data!$F$3,0,M695&lt;Data!$F$4,1,TRUE,2)</f>
        <v>0</v>
      </c>
      <c r="P695" s="2" cm="1">
        <f t="array" ref="P695">_xlfn.IFS(H695,3,N695&lt;Data!$F$3,0,N695&lt;Data!$F$4,1,TRUE,2)</f>
        <v>0</v>
      </c>
    </row>
    <row r="696" spans="4:16">
      <c r="G696" s="2" t="str" cm="1">
        <f t="array" ref="G696">_xlfn.CONCAT(IFERROR(I696:K696,""))</f>
        <v>02000000FEFFFFFF</v>
      </c>
      <c r="I696" s="2" t="e">
        <f>_xlfn.LET(_xlpm.big,DEC2HEX(_xlfn.BITLSHIFT(M696-_xlfn.XLOOKUP(O696,Data!A:A,Data!F:F),4)+O696,8),_xlfn.CONCAT(MID(_xlpm.big,7,2),MID(_xlpm.big,5,2),MID(_xlpm.big,3,2),MID(_xlpm.big,1,2)))</f>
        <v>#NUM!</v>
      </c>
      <c r="J696" s="2" t="str">
        <f t="shared" si="40"/>
        <v>02000000</v>
      </c>
      <c r="K696" s="2" t="str">
        <f>_xlfn.LET(_xlpm.big,IF(H696,DEC2HEX(HEX2DEC(F696),8),DEC2HEX(N696-_xlfn.XLOOKUP(P696,Data!A:A,Data!F:F),8)),_xlfn.CONCAT(MID(_xlpm.big,7,2),MID(_xlpm.big,5,2),MID(_xlpm.big,3,2),MID(_xlpm.big,1,2)))</f>
        <v>FEFFFFFF</v>
      </c>
      <c r="L696" s="2">
        <f t="shared" si="41"/>
        <v>0</v>
      </c>
      <c r="M696" s="2">
        <f t="shared" si="42"/>
        <v>0</v>
      </c>
      <c r="N696" s="2">
        <f t="shared" si="43"/>
        <v>0</v>
      </c>
      <c r="O696" s="2" cm="1">
        <f t="array" ref="O696">_xlfn.IFS(M696&lt;Data!$F$3,0,M696&lt;Data!$F$4,1,TRUE,2)</f>
        <v>0</v>
      </c>
      <c r="P696" s="2" cm="1">
        <f t="array" ref="P696">_xlfn.IFS(H696,3,N696&lt;Data!$F$3,0,N696&lt;Data!$F$4,1,TRUE,2)</f>
        <v>0</v>
      </c>
    </row>
    <row r="697" spans="4:16">
      <c r="D697" s="3"/>
      <c r="E697" s="3"/>
      <c r="G697" s="2" t="str" cm="1">
        <f t="array" ref="G697">_xlfn.CONCAT(IFERROR(I697:K697,""))</f>
        <v>02000000FEFFFFFF</v>
      </c>
      <c r="I697" s="2" t="e">
        <f>_xlfn.LET(_xlpm.big,DEC2HEX(_xlfn.BITLSHIFT(M697-_xlfn.XLOOKUP(O697,Data!A:A,Data!F:F),4)+O697,8),_xlfn.CONCAT(MID(_xlpm.big,7,2),MID(_xlpm.big,5,2),MID(_xlpm.big,3,2),MID(_xlpm.big,1,2)))</f>
        <v>#NUM!</v>
      </c>
      <c r="J697" s="2" t="str">
        <f t="shared" si="40"/>
        <v>02000000</v>
      </c>
      <c r="K697" s="2" t="str">
        <f>_xlfn.LET(_xlpm.big,IF(H697,DEC2HEX(HEX2DEC(F697),8),DEC2HEX(N697-_xlfn.XLOOKUP(P697,Data!A:A,Data!F:F),8)),_xlfn.CONCAT(MID(_xlpm.big,7,2),MID(_xlpm.big,5,2),MID(_xlpm.big,3,2),MID(_xlpm.big,1,2)))</f>
        <v>FEFFFFFF</v>
      </c>
      <c r="L697" s="2">
        <f t="shared" si="41"/>
        <v>0</v>
      </c>
      <c r="M697" s="2">
        <f t="shared" si="42"/>
        <v>0</v>
      </c>
      <c r="N697" s="2">
        <f t="shared" si="43"/>
        <v>0</v>
      </c>
      <c r="O697" s="2" cm="1">
        <f t="array" ref="O697">_xlfn.IFS(M697&lt;Data!$F$3,0,M697&lt;Data!$F$4,1,TRUE,2)</f>
        <v>0</v>
      </c>
      <c r="P697" s="2" cm="1">
        <f t="array" ref="P697">_xlfn.IFS(H697,3,N697&lt;Data!$F$3,0,N697&lt;Data!$F$4,1,TRUE,2)</f>
        <v>0</v>
      </c>
    </row>
    <row r="698" spans="4:16">
      <c r="G698" s="2" t="str" cm="1">
        <f t="array" ref="G698">_xlfn.CONCAT(IFERROR(I698:K698,""))</f>
        <v>02000000FEFFFFFF</v>
      </c>
      <c r="I698" s="2" t="e">
        <f>_xlfn.LET(_xlpm.big,DEC2HEX(_xlfn.BITLSHIFT(M698-_xlfn.XLOOKUP(O698,Data!A:A,Data!F:F),4)+O698,8),_xlfn.CONCAT(MID(_xlpm.big,7,2),MID(_xlpm.big,5,2),MID(_xlpm.big,3,2),MID(_xlpm.big,1,2)))</f>
        <v>#NUM!</v>
      </c>
      <c r="J698" s="2" t="str">
        <f t="shared" si="40"/>
        <v>02000000</v>
      </c>
      <c r="K698" s="2" t="str">
        <f>_xlfn.LET(_xlpm.big,IF(H698,DEC2HEX(HEX2DEC(F698),8),DEC2HEX(N698-_xlfn.XLOOKUP(P698,Data!A:A,Data!F:F),8)),_xlfn.CONCAT(MID(_xlpm.big,7,2),MID(_xlpm.big,5,2),MID(_xlpm.big,3,2),MID(_xlpm.big,1,2)))</f>
        <v>FEFFFFFF</v>
      </c>
      <c r="L698" s="2">
        <f t="shared" si="41"/>
        <v>0</v>
      </c>
      <c r="M698" s="2">
        <f t="shared" si="42"/>
        <v>0</v>
      </c>
      <c r="N698" s="2">
        <f t="shared" si="43"/>
        <v>0</v>
      </c>
      <c r="O698" s="2" cm="1">
        <f t="array" ref="O698">_xlfn.IFS(M698&lt;Data!$F$3,0,M698&lt;Data!$F$4,1,TRUE,2)</f>
        <v>0</v>
      </c>
      <c r="P698" s="2" cm="1">
        <f t="array" ref="P698">_xlfn.IFS(H698,3,N698&lt;Data!$F$3,0,N698&lt;Data!$F$4,1,TRUE,2)</f>
        <v>0</v>
      </c>
    </row>
    <row r="699" spans="4:16">
      <c r="E699" s="16"/>
      <c r="G699" s="2" t="str" cm="1">
        <f t="array" ref="G699">_xlfn.CONCAT(IFERROR(I699:K699,""))</f>
        <v>02000000FEFFFFFF</v>
      </c>
      <c r="I699" s="2" t="e">
        <f>_xlfn.LET(_xlpm.big,DEC2HEX(_xlfn.BITLSHIFT(M699-_xlfn.XLOOKUP(O699,Data!A:A,Data!F:F),4)+O699,8),_xlfn.CONCAT(MID(_xlpm.big,7,2),MID(_xlpm.big,5,2),MID(_xlpm.big,3,2),MID(_xlpm.big,1,2)))</f>
        <v>#NUM!</v>
      </c>
      <c r="J699" s="2" t="str">
        <f t="shared" si="40"/>
        <v>02000000</v>
      </c>
      <c r="K699" s="2" t="str">
        <f>_xlfn.LET(_xlpm.big,IF(H699,DEC2HEX(HEX2DEC(F699),8),DEC2HEX(N699-_xlfn.XLOOKUP(P699,Data!A:A,Data!F:F),8)),_xlfn.CONCAT(MID(_xlpm.big,7,2),MID(_xlpm.big,5,2),MID(_xlpm.big,3,2),MID(_xlpm.big,1,2)))</f>
        <v>FEFFFFFF</v>
      </c>
      <c r="L699" s="2">
        <f t="shared" si="41"/>
        <v>0</v>
      </c>
      <c r="M699" s="2">
        <f t="shared" si="42"/>
        <v>0</v>
      </c>
      <c r="N699" s="2">
        <f t="shared" si="43"/>
        <v>0</v>
      </c>
      <c r="O699" s="2" cm="1">
        <f t="array" ref="O699">_xlfn.IFS(M699&lt;Data!$F$3,0,M699&lt;Data!$F$4,1,TRUE,2)</f>
        <v>0</v>
      </c>
      <c r="P699" s="2" cm="1">
        <f t="array" ref="P699">_xlfn.IFS(H699,3,N699&lt;Data!$F$3,0,N699&lt;Data!$F$4,1,TRUE,2)</f>
        <v>0</v>
      </c>
    </row>
    <row r="700" spans="4:16">
      <c r="D700" s="3"/>
      <c r="E700" s="3"/>
      <c r="G700" s="2" t="str" cm="1">
        <f t="array" ref="G700">_xlfn.CONCAT(IFERROR(I700:K700,""))</f>
        <v>02000000FEFFFFFF</v>
      </c>
      <c r="I700" s="2" t="e">
        <f>_xlfn.LET(_xlpm.big,DEC2HEX(_xlfn.BITLSHIFT(M700-_xlfn.XLOOKUP(O700,Data!A:A,Data!F:F),4)+O700,8),_xlfn.CONCAT(MID(_xlpm.big,7,2),MID(_xlpm.big,5,2),MID(_xlpm.big,3,2),MID(_xlpm.big,1,2)))</f>
        <v>#NUM!</v>
      </c>
      <c r="J700" s="2" t="str">
        <f t="shared" si="40"/>
        <v>02000000</v>
      </c>
      <c r="K700" s="2" t="str">
        <f>_xlfn.LET(_xlpm.big,IF(H700,DEC2HEX(HEX2DEC(F700),8),DEC2HEX(N700-_xlfn.XLOOKUP(P700,Data!A:A,Data!F:F),8)),_xlfn.CONCAT(MID(_xlpm.big,7,2),MID(_xlpm.big,5,2),MID(_xlpm.big,3,2),MID(_xlpm.big,1,2)))</f>
        <v>FEFFFFFF</v>
      </c>
      <c r="L700" s="2">
        <f t="shared" si="41"/>
        <v>0</v>
      </c>
      <c r="M700" s="2">
        <f t="shared" si="42"/>
        <v>0</v>
      </c>
      <c r="N700" s="2">
        <f t="shared" si="43"/>
        <v>0</v>
      </c>
      <c r="O700" s="2" cm="1">
        <f t="array" ref="O700">_xlfn.IFS(M700&lt;Data!$F$3,0,M700&lt;Data!$F$4,1,TRUE,2)</f>
        <v>0</v>
      </c>
      <c r="P700" s="2" cm="1">
        <f t="array" ref="P700">_xlfn.IFS(H700,3,N700&lt;Data!$F$3,0,N700&lt;Data!$F$4,1,TRUE,2)</f>
        <v>0</v>
      </c>
    </row>
    <row r="701" spans="4:16">
      <c r="G701" s="2" t="str" cm="1">
        <f t="array" ref="G701">_xlfn.CONCAT(IFERROR(I701:K701,""))</f>
        <v>02000000FEFFFFFF</v>
      </c>
      <c r="I701" s="2" t="e">
        <f>_xlfn.LET(_xlpm.big,DEC2HEX(_xlfn.BITLSHIFT(M701-_xlfn.XLOOKUP(O701,Data!A:A,Data!F:F),4)+O701,8),_xlfn.CONCAT(MID(_xlpm.big,7,2),MID(_xlpm.big,5,2),MID(_xlpm.big,3,2),MID(_xlpm.big,1,2)))</f>
        <v>#NUM!</v>
      </c>
      <c r="J701" s="2" t="str">
        <f t="shared" si="40"/>
        <v>02000000</v>
      </c>
      <c r="K701" s="2" t="str">
        <f>_xlfn.LET(_xlpm.big,IF(H701,DEC2HEX(HEX2DEC(F701),8),DEC2HEX(N701-_xlfn.XLOOKUP(P701,Data!A:A,Data!F:F),8)),_xlfn.CONCAT(MID(_xlpm.big,7,2),MID(_xlpm.big,5,2),MID(_xlpm.big,3,2),MID(_xlpm.big,1,2)))</f>
        <v>FEFFFFFF</v>
      </c>
      <c r="L701" s="2">
        <f t="shared" si="41"/>
        <v>0</v>
      </c>
      <c r="M701" s="2">
        <f t="shared" si="42"/>
        <v>0</v>
      </c>
      <c r="N701" s="2">
        <f t="shared" si="43"/>
        <v>0</v>
      </c>
      <c r="O701" s="2" cm="1">
        <f t="array" ref="O701">_xlfn.IFS(M701&lt;Data!$F$3,0,M701&lt;Data!$F$4,1,TRUE,2)</f>
        <v>0</v>
      </c>
      <c r="P701" s="2" cm="1">
        <f t="array" ref="P701">_xlfn.IFS(H701,3,N701&lt;Data!$F$3,0,N701&lt;Data!$F$4,1,TRUE,2)</f>
        <v>0</v>
      </c>
    </row>
    <row r="702" spans="4:16">
      <c r="E702" s="16"/>
      <c r="G702" s="2" t="str" cm="1">
        <f t="array" ref="G702">_xlfn.CONCAT(IFERROR(I702:K702,""))</f>
        <v>02000000FEFFFFFF</v>
      </c>
      <c r="I702" s="2" t="e">
        <f>_xlfn.LET(_xlpm.big,DEC2HEX(_xlfn.BITLSHIFT(M702-_xlfn.XLOOKUP(O702,Data!A:A,Data!F:F),4)+O702,8),_xlfn.CONCAT(MID(_xlpm.big,7,2),MID(_xlpm.big,5,2),MID(_xlpm.big,3,2),MID(_xlpm.big,1,2)))</f>
        <v>#NUM!</v>
      </c>
      <c r="J702" s="2" t="str">
        <f t="shared" si="40"/>
        <v>02000000</v>
      </c>
      <c r="K702" s="2" t="str">
        <f>_xlfn.LET(_xlpm.big,IF(H702,DEC2HEX(HEX2DEC(F702),8),DEC2HEX(N702-_xlfn.XLOOKUP(P702,Data!A:A,Data!F:F),8)),_xlfn.CONCAT(MID(_xlpm.big,7,2),MID(_xlpm.big,5,2),MID(_xlpm.big,3,2),MID(_xlpm.big,1,2)))</f>
        <v>FEFFFFFF</v>
      </c>
      <c r="L702" s="2">
        <f t="shared" si="41"/>
        <v>0</v>
      </c>
      <c r="M702" s="2">
        <f t="shared" si="42"/>
        <v>0</v>
      </c>
      <c r="N702" s="2">
        <f t="shared" si="43"/>
        <v>0</v>
      </c>
      <c r="O702" s="2" cm="1">
        <f t="array" ref="O702">_xlfn.IFS(M702&lt;Data!$F$3,0,M702&lt;Data!$F$4,1,TRUE,2)</f>
        <v>0</v>
      </c>
      <c r="P702" s="2" cm="1">
        <f t="array" ref="P702">_xlfn.IFS(H702,3,N702&lt;Data!$F$3,0,N702&lt;Data!$F$4,1,TRUE,2)</f>
        <v>0</v>
      </c>
    </row>
    <row r="703" spans="4:16">
      <c r="D703" s="3"/>
      <c r="E703" s="3"/>
      <c r="G703" s="2" t="str" cm="1">
        <f t="array" ref="G703">_xlfn.CONCAT(IFERROR(I703:K703,""))</f>
        <v>02000000FEFFFFFF</v>
      </c>
      <c r="I703" s="2" t="e">
        <f>_xlfn.LET(_xlpm.big,DEC2HEX(_xlfn.BITLSHIFT(M703-_xlfn.XLOOKUP(O703,Data!A:A,Data!F:F),4)+O703,8),_xlfn.CONCAT(MID(_xlpm.big,7,2),MID(_xlpm.big,5,2),MID(_xlpm.big,3,2),MID(_xlpm.big,1,2)))</f>
        <v>#NUM!</v>
      </c>
      <c r="J703" s="2" t="str">
        <f t="shared" si="40"/>
        <v>02000000</v>
      </c>
      <c r="K703" s="2" t="str">
        <f>_xlfn.LET(_xlpm.big,IF(H703,DEC2HEX(HEX2DEC(F703),8),DEC2HEX(N703-_xlfn.XLOOKUP(P703,Data!A:A,Data!F:F),8)),_xlfn.CONCAT(MID(_xlpm.big,7,2),MID(_xlpm.big,5,2),MID(_xlpm.big,3,2),MID(_xlpm.big,1,2)))</f>
        <v>FEFFFFFF</v>
      </c>
      <c r="L703" s="2">
        <f t="shared" si="41"/>
        <v>0</v>
      </c>
      <c r="M703" s="2">
        <f t="shared" si="42"/>
        <v>0</v>
      </c>
      <c r="N703" s="2">
        <f t="shared" si="43"/>
        <v>0</v>
      </c>
      <c r="O703" s="2" cm="1">
        <f t="array" ref="O703">_xlfn.IFS(M703&lt;Data!$F$3,0,M703&lt;Data!$F$4,1,TRUE,2)</f>
        <v>0</v>
      </c>
      <c r="P703" s="2" cm="1">
        <f t="array" ref="P703">_xlfn.IFS(H703,3,N703&lt;Data!$F$3,0,N703&lt;Data!$F$4,1,TRUE,2)</f>
        <v>0</v>
      </c>
    </row>
    <row r="704" spans="4:16">
      <c r="G704" s="2" t="str" cm="1">
        <f t="array" ref="G704">_xlfn.CONCAT(IFERROR(I704:K704,""))</f>
        <v>02000000FEFFFFFF</v>
      </c>
      <c r="I704" s="2" t="e">
        <f>_xlfn.LET(_xlpm.big,DEC2HEX(_xlfn.BITLSHIFT(M704-_xlfn.XLOOKUP(O704,Data!A:A,Data!F:F),4)+O704,8),_xlfn.CONCAT(MID(_xlpm.big,7,2),MID(_xlpm.big,5,2),MID(_xlpm.big,3,2),MID(_xlpm.big,1,2)))</f>
        <v>#NUM!</v>
      </c>
      <c r="J704" s="2" t="str">
        <f t="shared" si="40"/>
        <v>02000000</v>
      </c>
      <c r="K704" s="2" t="str">
        <f>_xlfn.LET(_xlpm.big,IF(H704,DEC2HEX(HEX2DEC(F704),8),DEC2HEX(N704-_xlfn.XLOOKUP(P704,Data!A:A,Data!F:F),8)),_xlfn.CONCAT(MID(_xlpm.big,7,2),MID(_xlpm.big,5,2),MID(_xlpm.big,3,2),MID(_xlpm.big,1,2)))</f>
        <v>FEFFFFFF</v>
      </c>
      <c r="L704" s="2">
        <f t="shared" si="41"/>
        <v>0</v>
      </c>
      <c r="M704" s="2">
        <f t="shared" si="42"/>
        <v>0</v>
      </c>
      <c r="N704" s="2">
        <f t="shared" si="43"/>
        <v>0</v>
      </c>
      <c r="O704" s="2" cm="1">
        <f t="array" ref="O704">_xlfn.IFS(M704&lt;Data!$F$3,0,M704&lt;Data!$F$4,1,TRUE,2)</f>
        <v>0</v>
      </c>
      <c r="P704" s="2" cm="1">
        <f t="array" ref="P704">_xlfn.IFS(H704,3,N704&lt;Data!$F$3,0,N704&lt;Data!$F$4,1,TRUE,2)</f>
        <v>0</v>
      </c>
    </row>
    <row r="705" spans="4:16">
      <c r="E705" s="16"/>
      <c r="G705" s="2" t="str" cm="1">
        <f t="array" ref="G705">_xlfn.CONCAT(IFERROR(I705:K705,""))</f>
        <v>02000000FEFFFFFF</v>
      </c>
      <c r="I705" s="2" t="e">
        <f>_xlfn.LET(_xlpm.big,DEC2HEX(_xlfn.BITLSHIFT(M705-_xlfn.XLOOKUP(O705,Data!A:A,Data!F:F),4)+O705,8),_xlfn.CONCAT(MID(_xlpm.big,7,2),MID(_xlpm.big,5,2),MID(_xlpm.big,3,2),MID(_xlpm.big,1,2)))</f>
        <v>#NUM!</v>
      </c>
      <c r="J705" s="2" t="str">
        <f t="shared" si="40"/>
        <v>02000000</v>
      </c>
      <c r="K705" s="2" t="str">
        <f>_xlfn.LET(_xlpm.big,IF(H705,DEC2HEX(HEX2DEC(F705),8),DEC2HEX(N705-_xlfn.XLOOKUP(P705,Data!A:A,Data!F:F),8)),_xlfn.CONCAT(MID(_xlpm.big,7,2),MID(_xlpm.big,5,2),MID(_xlpm.big,3,2),MID(_xlpm.big,1,2)))</f>
        <v>FEFFFFFF</v>
      </c>
      <c r="L705" s="2">
        <f t="shared" si="41"/>
        <v>0</v>
      </c>
      <c r="M705" s="2">
        <f t="shared" si="42"/>
        <v>0</v>
      </c>
      <c r="N705" s="2">
        <f t="shared" si="43"/>
        <v>0</v>
      </c>
      <c r="O705" s="2" cm="1">
        <f t="array" ref="O705">_xlfn.IFS(M705&lt;Data!$F$3,0,M705&lt;Data!$F$4,1,TRUE,2)</f>
        <v>0</v>
      </c>
      <c r="P705" s="2" cm="1">
        <f t="array" ref="P705">_xlfn.IFS(H705,3,N705&lt;Data!$F$3,0,N705&lt;Data!$F$4,1,TRUE,2)</f>
        <v>0</v>
      </c>
    </row>
    <row r="706" spans="4:16">
      <c r="D706" s="3"/>
      <c r="E706" s="3"/>
      <c r="G706" s="2" t="str" cm="1">
        <f t="array" ref="G706">_xlfn.CONCAT(IFERROR(I706:K706,""))</f>
        <v>02000000FEFFFFFF</v>
      </c>
      <c r="I706" s="2" t="e">
        <f>_xlfn.LET(_xlpm.big,DEC2HEX(_xlfn.BITLSHIFT(M706-_xlfn.XLOOKUP(O706,Data!A:A,Data!F:F),4)+O706,8),_xlfn.CONCAT(MID(_xlpm.big,7,2),MID(_xlpm.big,5,2),MID(_xlpm.big,3,2),MID(_xlpm.big,1,2)))</f>
        <v>#NUM!</v>
      </c>
      <c r="J706" s="2" t="str">
        <f t="shared" ref="J706:J769" si="44">_xlfn.CONCAT("02",DEC2HEX(P706,2),"0000")</f>
        <v>02000000</v>
      </c>
      <c r="K706" s="2" t="str">
        <f>_xlfn.LET(_xlpm.big,IF(H706,DEC2HEX(HEX2DEC(F706),8),DEC2HEX(N706-_xlfn.XLOOKUP(P706,Data!A:A,Data!F:F),8)),_xlfn.CONCAT(MID(_xlpm.big,7,2),MID(_xlpm.big,5,2),MID(_xlpm.big,3,2),MID(_xlpm.big,1,2)))</f>
        <v>FEFFFFFF</v>
      </c>
      <c r="L706" s="2">
        <f t="shared" ref="L706:L769" si="45">HEX2DEC(D706)</f>
        <v>0</v>
      </c>
      <c r="M706" s="2">
        <f t="shared" ref="M706:M769" si="46">HEX2DEC(E706)</f>
        <v>0</v>
      </c>
      <c r="N706" s="2">
        <f t="shared" ref="N706:N769" si="47">HEX2DEC(F706)</f>
        <v>0</v>
      </c>
      <c r="O706" s="2" cm="1">
        <f t="array" ref="O706">_xlfn.IFS(M706&lt;Data!$F$3,0,M706&lt;Data!$F$4,1,TRUE,2)</f>
        <v>0</v>
      </c>
      <c r="P706" s="2" cm="1">
        <f t="array" ref="P706">_xlfn.IFS(H706,3,N706&lt;Data!$F$3,0,N706&lt;Data!$F$4,1,TRUE,2)</f>
        <v>0</v>
      </c>
    </row>
    <row r="707" spans="4:16">
      <c r="G707" s="2" t="str" cm="1">
        <f t="array" ref="G707">_xlfn.CONCAT(IFERROR(I707:K707,""))</f>
        <v>02000000FEFFFFFF</v>
      </c>
      <c r="I707" s="2" t="e">
        <f>_xlfn.LET(_xlpm.big,DEC2HEX(_xlfn.BITLSHIFT(M707-_xlfn.XLOOKUP(O707,Data!A:A,Data!F:F),4)+O707,8),_xlfn.CONCAT(MID(_xlpm.big,7,2),MID(_xlpm.big,5,2),MID(_xlpm.big,3,2),MID(_xlpm.big,1,2)))</f>
        <v>#NUM!</v>
      </c>
      <c r="J707" s="2" t="str">
        <f t="shared" si="44"/>
        <v>02000000</v>
      </c>
      <c r="K707" s="2" t="str">
        <f>_xlfn.LET(_xlpm.big,IF(H707,DEC2HEX(HEX2DEC(F707),8),DEC2HEX(N707-_xlfn.XLOOKUP(P707,Data!A:A,Data!F:F),8)),_xlfn.CONCAT(MID(_xlpm.big,7,2),MID(_xlpm.big,5,2),MID(_xlpm.big,3,2),MID(_xlpm.big,1,2)))</f>
        <v>FEFFFFFF</v>
      </c>
      <c r="L707" s="2">
        <f t="shared" si="45"/>
        <v>0</v>
      </c>
      <c r="M707" s="2">
        <f t="shared" si="46"/>
        <v>0</v>
      </c>
      <c r="N707" s="2">
        <f t="shared" si="47"/>
        <v>0</v>
      </c>
      <c r="O707" s="2" cm="1">
        <f t="array" ref="O707">_xlfn.IFS(M707&lt;Data!$F$3,0,M707&lt;Data!$F$4,1,TRUE,2)</f>
        <v>0</v>
      </c>
      <c r="P707" s="2" cm="1">
        <f t="array" ref="P707">_xlfn.IFS(H707,3,N707&lt;Data!$F$3,0,N707&lt;Data!$F$4,1,TRUE,2)</f>
        <v>0</v>
      </c>
    </row>
    <row r="708" spans="4:16">
      <c r="E708" s="16"/>
      <c r="G708" s="2" t="str" cm="1">
        <f t="array" ref="G708">_xlfn.CONCAT(IFERROR(I708:K708,""))</f>
        <v>02000000FEFFFFFF</v>
      </c>
      <c r="I708" s="2" t="e">
        <f>_xlfn.LET(_xlpm.big,DEC2HEX(_xlfn.BITLSHIFT(M708-_xlfn.XLOOKUP(O708,Data!A:A,Data!F:F),4)+O708,8),_xlfn.CONCAT(MID(_xlpm.big,7,2),MID(_xlpm.big,5,2),MID(_xlpm.big,3,2),MID(_xlpm.big,1,2)))</f>
        <v>#NUM!</v>
      </c>
      <c r="J708" s="2" t="str">
        <f t="shared" si="44"/>
        <v>02000000</v>
      </c>
      <c r="K708" s="2" t="str">
        <f>_xlfn.LET(_xlpm.big,IF(H708,DEC2HEX(HEX2DEC(F708),8),DEC2HEX(N708-_xlfn.XLOOKUP(P708,Data!A:A,Data!F:F),8)),_xlfn.CONCAT(MID(_xlpm.big,7,2),MID(_xlpm.big,5,2),MID(_xlpm.big,3,2),MID(_xlpm.big,1,2)))</f>
        <v>FEFFFFFF</v>
      </c>
      <c r="L708" s="2">
        <f t="shared" si="45"/>
        <v>0</v>
      </c>
      <c r="M708" s="2">
        <f t="shared" si="46"/>
        <v>0</v>
      </c>
      <c r="N708" s="2">
        <f t="shared" si="47"/>
        <v>0</v>
      </c>
      <c r="O708" s="2" cm="1">
        <f t="array" ref="O708">_xlfn.IFS(M708&lt;Data!$F$3,0,M708&lt;Data!$F$4,1,TRUE,2)</f>
        <v>0</v>
      </c>
      <c r="P708" s="2" cm="1">
        <f t="array" ref="P708">_xlfn.IFS(H708,3,N708&lt;Data!$F$3,0,N708&lt;Data!$F$4,1,TRUE,2)</f>
        <v>0</v>
      </c>
    </row>
    <row r="709" spans="4:16">
      <c r="E709" s="16"/>
      <c r="G709" s="2" t="str" cm="1">
        <f t="array" ref="G709">_xlfn.CONCAT(IFERROR(I709:K709,""))</f>
        <v>02000000FEFFFFFF</v>
      </c>
      <c r="I709" s="2" t="e">
        <f>_xlfn.LET(_xlpm.big,DEC2HEX(_xlfn.BITLSHIFT(M709-_xlfn.XLOOKUP(O709,Data!A:A,Data!F:F),4)+O709,8),_xlfn.CONCAT(MID(_xlpm.big,7,2),MID(_xlpm.big,5,2),MID(_xlpm.big,3,2),MID(_xlpm.big,1,2)))</f>
        <v>#NUM!</v>
      </c>
      <c r="J709" s="2" t="str">
        <f t="shared" si="44"/>
        <v>02000000</v>
      </c>
      <c r="K709" s="2" t="str">
        <f>_xlfn.LET(_xlpm.big,IF(H709,DEC2HEX(HEX2DEC(F709),8),DEC2HEX(N709-_xlfn.XLOOKUP(P709,Data!A:A,Data!F:F),8)),_xlfn.CONCAT(MID(_xlpm.big,7,2),MID(_xlpm.big,5,2),MID(_xlpm.big,3,2),MID(_xlpm.big,1,2)))</f>
        <v>FEFFFFFF</v>
      </c>
      <c r="L709" s="2">
        <f t="shared" si="45"/>
        <v>0</v>
      </c>
      <c r="M709" s="2">
        <f t="shared" si="46"/>
        <v>0</v>
      </c>
      <c r="N709" s="2">
        <f t="shared" si="47"/>
        <v>0</v>
      </c>
      <c r="O709" s="2" cm="1">
        <f t="array" ref="O709">_xlfn.IFS(M709&lt;Data!$F$3,0,M709&lt;Data!$F$4,1,TRUE,2)</f>
        <v>0</v>
      </c>
      <c r="P709" s="2" cm="1">
        <f t="array" ref="P709">_xlfn.IFS(H709,3,N709&lt;Data!$F$3,0,N709&lt;Data!$F$4,1,TRUE,2)</f>
        <v>0</v>
      </c>
    </row>
    <row r="710" spans="4:16">
      <c r="D710" s="3"/>
      <c r="E710" s="3"/>
      <c r="G710" s="2" t="str" cm="1">
        <f t="array" ref="G710">_xlfn.CONCAT(IFERROR(I710:K710,""))</f>
        <v>02000000FEFFFFFF</v>
      </c>
      <c r="I710" s="2" t="e">
        <f>_xlfn.LET(_xlpm.big,DEC2HEX(_xlfn.BITLSHIFT(M710-_xlfn.XLOOKUP(O710,Data!A:A,Data!F:F),4)+O710,8),_xlfn.CONCAT(MID(_xlpm.big,7,2),MID(_xlpm.big,5,2),MID(_xlpm.big,3,2),MID(_xlpm.big,1,2)))</f>
        <v>#NUM!</v>
      </c>
      <c r="J710" s="2" t="str">
        <f t="shared" si="44"/>
        <v>02000000</v>
      </c>
      <c r="K710" s="2" t="str">
        <f>_xlfn.LET(_xlpm.big,IF(H710,DEC2HEX(HEX2DEC(F710),8),DEC2HEX(N710-_xlfn.XLOOKUP(P710,Data!A:A,Data!F:F),8)),_xlfn.CONCAT(MID(_xlpm.big,7,2),MID(_xlpm.big,5,2),MID(_xlpm.big,3,2),MID(_xlpm.big,1,2)))</f>
        <v>FEFFFFFF</v>
      </c>
      <c r="L710" s="2">
        <f t="shared" si="45"/>
        <v>0</v>
      </c>
      <c r="M710" s="2">
        <f t="shared" si="46"/>
        <v>0</v>
      </c>
      <c r="N710" s="2">
        <f t="shared" si="47"/>
        <v>0</v>
      </c>
      <c r="O710" s="2" cm="1">
        <f t="array" ref="O710">_xlfn.IFS(M710&lt;Data!$F$3,0,M710&lt;Data!$F$4,1,TRUE,2)</f>
        <v>0</v>
      </c>
      <c r="P710" s="2" cm="1">
        <f t="array" ref="P710">_xlfn.IFS(H710,3,N710&lt;Data!$F$3,0,N710&lt;Data!$F$4,1,TRUE,2)</f>
        <v>0</v>
      </c>
    </row>
    <row r="711" spans="4:16">
      <c r="E711" s="16"/>
      <c r="G711" s="2" t="str" cm="1">
        <f t="array" ref="G711">_xlfn.CONCAT(IFERROR(I711:K711,""))</f>
        <v>02000000FEFFFFFF</v>
      </c>
      <c r="I711" s="2" t="e">
        <f>_xlfn.LET(_xlpm.big,DEC2HEX(_xlfn.BITLSHIFT(M711-_xlfn.XLOOKUP(O711,Data!A:A,Data!F:F),4)+O711,8),_xlfn.CONCAT(MID(_xlpm.big,7,2),MID(_xlpm.big,5,2),MID(_xlpm.big,3,2),MID(_xlpm.big,1,2)))</f>
        <v>#NUM!</v>
      </c>
      <c r="J711" s="2" t="str">
        <f t="shared" si="44"/>
        <v>02000000</v>
      </c>
      <c r="K711" s="2" t="str">
        <f>_xlfn.LET(_xlpm.big,IF(H711,DEC2HEX(HEX2DEC(F711),8),DEC2HEX(N711-_xlfn.XLOOKUP(P711,Data!A:A,Data!F:F),8)),_xlfn.CONCAT(MID(_xlpm.big,7,2),MID(_xlpm.big,5,2),MID(_xlpm.big,3,2),MID(_xlpm.big,1,2)))</f>
        <v>FEFFFFFF</v>
      </c>
      <c r="L711" s="2">
        <f t="shared" si="45"/>
        <v>0</v>
      </c>
      <c r="M711" s="2">
        <f t="shared" si="46"/>
        <v>0</v>
      </c>
      <c r="N711" s="2">
        <f t="shared" si="47"/>
        <v>0</v>
      </c>
      <c r="O711" s="2" cm="1">
        <f t="array" ref="O711">_xlfn.IFS(M711&lt;Data!$F$3,0,M711&lt;Data!$F$4,1,TRUE,2)</f>
        <v>0</v>
      </c>
      <c r="P711" s="2" cm="1">
        <f t="array" ref="P711">_xlfn.IFS(H711,3,N711&lt;Data!$F$3,0,N711&lt;Data!$F$4,1,TRUE,2)</f>
        <v>0</v>
      </c>
    </row>
    <row r="712" spans="4:16">
      <c r="G712" s="2" t="str" cm="1">
        <f t="array" ref="G712">_xlfn.CONCAT(IFERROR(I712:K712,""))</f>
        <v>02000000FEFFFFFF</v>
      </c>
      <c r="I712" s="2" t="e">
        <f>_xlfn.LET(_xlpm.big,DEC2HEX(_xlfn.BITLSHIFT(M712-_xlfn.XLOOKUP(O712,Data!A:A,Data!F:F),4)+O712,8),_xlfn.CONCAT(MID(_xlpm.big,7,2),MID(_xlpm.big,5,2),MID(_xlpm.big,3,2),MID(_xlpm.big,1,2)))</f>
        <v>#NUM!</v>
      </c>
      <c r="J712" s="2" t="str">
        <f t="shared" si="44"/>
        <v>02000000</v>
      </c>
      <c r="K712" s="2" t="str">
        <f>_xlfn.LET(_xlpm.big,IF(H712,DEC2HEX(HEX2DEC(F712),8),DEC2HEX(N712-_xlfn.XLOOKUP(P712,Data!A:A,Data!F:F),8)),_xlfn.CONCAT(MID(_xlpm.big,7,2),MID(_xlpm.big,5,2),MID(_xlpm.big,3,2),MID(_xlpm.big,1,2)))</f>
        <v>FEFFFFFF</v>
      </c>
      <c r="L712" s="2">
        <f t="shared" si="45"/>
        <v>0</v>
      </c>
      <c r="M712" s="2">
        <f t="shared" si="46"/>
        <v>0</v>
      </c>
      <c r="N712" s="2">
        <f t="shared" si="47"/>
        <v>0</v>
      </c>
      <c r="O712" s="2" cm="1">
        <f t="array" ref="O712">_xlfn.IFS(M712&lt;Data!$F$3,0,M712&lt;Data!$F$4,1,TRUE,2)</f>
        <v>0</v>
      </c>
      <c r="P712" s="2" cm="1">
        <f t="array" ref="P712">_xlfn.IFS(H712,3,N712&lt;Data!$F$3,0,N712&lt;Data!$F$4,1,TRUE,2)</f>
        <v>0</v>
      </c>
    </row>
    <row r="713" spans="4:16">
      <c r="G713" s="2" t="str" cm="1">
        <f t="array" ref="G713">_xlfn.CONCAT(IFERROR(I713:K713,""))</f>
        <v>02000000FEFFFFFF</v>
      </c>
      <c r="I713" s="2" t="e">
        <f>_xlfn.LET(_xlpm.big,DEC2HEX(_xlfn.BITLSHIFT(M713-_xlfn.XLOOKUP(O713,Data!A:A,Data!F:F),4)+O713,8),_xlfn.CONCAT(MID(_xlpm.big,7,2),MID(_xlpm.big,5,2),MID(_xlpm.big,3,2),MID(_xlpm.big,1,2)))</f>
        <v>#NUM!</v>
      </c>
      <c r="J713" s="2" t="str">
        <f t="shared" si="44"/>
        <v>02000000</v>
      </c>
      <c r="K713" s="2" t="str">
        <f>_xlfn.LET(_xlpm.big,IF(H713,DEC2HEX(HEX2DEC(F713),8),DEC2HEX(N713-_xlfn.XLOOKUP(P713,Data!A:A,Data!F:F),8)),_xlfn.CONCAT(MID(_xlpm.big,7,2),MID(_xlpm.big,5,2),MID(_xlpm.big,3,2),MID(_xlpm.big,1,2)))</f>
        <v>FEFFFFFF</v>
      </c>
      <c r="L713" s="2">
        <f t="shared" si="45"/>
        <v>0</v>
      </c>
      <c r="M713" s="2">
        <f t="shared" si="46"/>
        <v>0</v>
      </c>
      <c r="N713" s="2">
        <f t="shared" si="47"/>
        <v>0</v>
      </c>
      <c r="O713" s="2" cm="1">
        <f t="array" ref="O713">_xlfn.IFS(M713&lt;Data!$F$3,0,M713&lt;Data!$F$4,1,TRUE,2)</f>
        <v>0</v>
      </c>
      <c r="P713" s="2" cm="1">
        <f t="array" ref="P713">_xlfn.IFS(H713,3,N713&lt;Data!$F$3,0,N713&lt;Data!$F$4,1,TRUE,2)</f>
        <v>0</v>
      </c>
    </row>
    <row r="714" spans="4:16">
      <c r="G714" s="2" t="str" cm="1">
        <f t="array" ref="G714">_xlfn.CONCAT(IFERROR(I714:K714,""))</f>
        <v>02000000FEFFFFFF</v>
      </c>
      <c r="I714" s="2" t="e">
        <f>_xlfn.LET(_xlpm.big,DEC2HEX(_xlfn.BITLSHIFT(M714-_xlfn.XLOOKUP(O714,Data!A:A,Data!F:F),4)+O714,8),_xlfn.CONCAT(MID(_xlpm.big,7,2),MID(_xlpm.big,5,2),MID(_xlpm.big,3,2),MID(_xlpm.big,1,2)))</f>
        <v>#NUM!</v>
      </c>
      <c r="J714" s="2" t="str">
        <f t="shared" si="44"/>
        <v>02000000</v>
      </c>
      <c r="K714" s="2" t="str">
        <f>_xlfn.LET(_xlpm.big,IF(H714,DEC2HEX(HEX2DEC(F714),8),DEC2HEX(N714-_xlfn.XLOOKUP(P714,Data!A:A,Data!F:F),8)),_xlfn.CONCAT(MID(_xlpm.big,7,2),MID(_xlpm.big,5,2),MID(_xlpm.big,3,2),MID(_xlpm.big,1,2)))</f>
        <v>FEFFFFFF</v>
      </c>
      <c r="L714" s="2">
        <f t="shared" si="45"/>
        <v>0</v>
      </c>
      <c r="M714" s="2">
        <f t="shared" si="46"/>
        <v>0</v>
      </c>
      <c r="N714" s="2">
        <f t="shared" si="47"/>
        <v>0</v>
      </c>
      <c r="O714" s="2" cm="1">
        <f t="array" ref="O714">_xlfn.IFS(M714&lt;Data!$F$3,0,M714&lt;Data!$F$4,1,TRUE,2)</f>
        <v>0</v>
      </c>
      <c r="P714" s="2" cm="1">
        <f t="array" ref="P714">_xlfn.IFS(H714,3,N714&lt;Data!$F$3,0,N714&lt;Data!$F$4,1,TRUE,2)</f>
        <v>0</v>
      </c>
    </row>
    <row r="715" spans="4:16">
      <c r="G715" s="2" t="str" cm="1">
        <f t="array" ref="G715">_xlfn.CONCAT(IFERROR(I715:K715,""))</f>
        <v>02000000FEFFFFFF</v>
      </c>
      <c r="I715" s="2" t="e">
        <f>_xlfn.LET(_xlpm.big,DEC2HEX(_xlfn.BITLSHIFT(M715-_xlfn.XLOOKUP(O715,Data!A:A,Data!F:F),4)+O715,8),_xlfn.CONCAT(MID(_xlpm.big,7,2),MID(_xlpm.big,5,2),MID(_xlpm.big,3,2),MID(_xlpm.big,1,2)))</f>
        <v>#NUM!</v>
      </c>
      <c r="J715" s="2" t="str">
        <f t="shared" si="44"/>
        <v>02000000</v>
      </c>
      <c r="K715" s="2" t="str">
        <f>_xlfn.LET(_xlpm.big,IF(H715,DEC2HEX(HEX2DEC(F715),8),DEC2HEX(N715-_xlfn.XLOOKUP(P715,Data!A:A,Data!F:F),8)),_xlfn.CONCAT(MID(_xlpm.big,7,2),MID(_xlpm.big,5,2),MID(_xlpm.big,3,2),MID(_xlpm.big,1,2)))</f>
        <v>FEFFFFFF</v>
      </c>
      <c r="L715" s="2">
        <f t="shared" si="45"/>
        <v>0</v>
      </c>
      <c r="M715" s="2">
        <f t="shared" si="46"/>
        <v>0</v>
      </c>
      <c r="N715" s="2">
        <f t="shared" si="47"/>
        <v>0</v>
      </c>
      <c r="O715" s="2" cm="1">
        <f t="array" ref="O715">_xlfn.IFS(M715&lt;Data!$F$3,0,M715&lt;Data!$F$4,1,TRUE,2)</f>
        <v>0</v>
      </c>
      <c r="P715" s="2" cm="1">
        <f t="array" ref="P715">_xlfn.IFS(H715,3,N715&lt;Data!$F$3,0,N715&lt;Data!$F$4,1,TRUE,2)</f>
        <v>0</v>
      </c>
    </row>
    <row r="716" spans="4:16">
      <c r="E716" s="16"/>
      <c r="G716" s="2" t="str" cm="1">
        <f t="array" ref="G716">_xlfn.CONCAT(IFERROR(I716:K716,""))</f>
        <v>02000000FEFFFFFF</v>
      </c>
      <c r="I716" s="2" t="e">
        <f>_xlfn.LET(_xlpm.big,DEC2HEX(_xlfn.BITLSHIFT(M716-_xlfn.XLOOKUP(O716,Data!A:A,Data!F:F),4)+O716,8),_xlfn.CONCAT(MID(_xlpm.big,7,2),MID(_xlpm.big,5,2),MID(_xlpm.big,3,2),MID(_xlpm.big,1,2)))</f>
        <v>#NUM!</v>
      </c>
      <c r="J716" s="2" t="str">
        <f t="shared" si="44"/>
        <v>02000000</v>
      </c>
      <c r="K716" s="2" t="str">
        <f>_xlfn.LET(_xlpm.big,IF(H716,DEC2HEX(HEX2DEC(F716),8),DEC2HEX(N716-_xlfn.XLOOKUP(P716,Data!A:A,Data!F:F),8)),_xlfn.CONCAT(MID(_xlpm.big,7,2),MID(_xlpm.big,5,2),MID(_xlpm.big,3,2),MID(_xlpm.big,1,2)))</f>
        <v>FEFFFFFF</v>
      </c>
      <c r="L716" s="2">
        <f t="shared" si="45"/>
        <v>0</v>
      </c>
      <c r="M716" s="2">
        <f t="shared" si="46"/>
        <v>0</v>
      </c>
      <c r="N716" s="2">
        <f t="shared" si="47"/>
        <v>0</v>
      </c>
      <c r="O716" s="2" cm="1">
        <f t="array" ref="O716">_xlfn.IFS(M716&lt;Data!$F$3,0,M716&lt;Data!$F$4,1,TRUE,2)</f>
        <v>0</v>
      </c>
      <c r="P716" s="2" cm="1">
        <f t="array" ref="P716">_xlfn.IFS(H716,3,N716&lt;Data!$F$3,0,N716&lt;Data!$F$4,1,TRUE,2)</f>
        <v>0</v>
      </c>
    </row>
    <row r="717" spans="4:16">
      <c r="G717" s="2" t="str" cm="1">
        <f t="array" ref="G717">_xlfn.CONCAT(IFERROR(I717:K717,""))</f>
        <v>02000000FEFFFFFF</v>
      </c>
      <c r="I717" s="2" t="e">
        <f>_xlfn.LET(_xlpm.big,DEC2HEX(_xlfn.BITLSHIFT(M717-_xlfn.XLOOKUP(O717,Data!A:A,Data!F:F),4)+O717,8),_xlfn.CONCAT(MID(_xlpm.big,7,2),MID(_xlpm.big,5,2),MID(_xlpm.big,3,2),MID(_xlpm.big,1,2)))</f>
        <v>#NUM!</v>
      </c>
      <c r="J717" s="2" t="str">
        <f t="shared" si="44"/>
        <v>02000000</v>
      </c>
      <c r="K717" s="2" t="str">
        <f>_xlfn.LET(_xlpm.big,IF(H717,DEC2HEX(HEX2DEC(F717),8),DEC2HEX(N717-_xlfn.XLOOKUP(P717,Data!A:A,Data!F:F),8)),_xlfn.CONCAT(MID(_xlpm.big,7,2),MID(_xlpm.big,5,2),MID(_xlpm.big,3,2),MID(_xlpm.big,1,2)))</f>
        <v>FEFFFFFF</v>
      </c>
      <c r="L717" s="2">
        <f t="shared" si="45"/>
        <v>0</v>
      </c>
      <c r="M717" s="2">
        <f t="shared" si="46"/>
        <v>0</v>
      </c>
      <c r="N717" s="2">
        <f t="shared" si="47"/>
        <v>0</v>
      </c>
      <c r="O717" s="2" cm="1">
        <f t="array" ref="O717">_xlfn.IFS(M717&lt;Data!$F$3,0,M717&lt;Data!$F$4,1,TRUE,2)</f>
        <v>0</v>
      </c>
      <c r="P717" s="2" cm="1">
        <f t="array" ref="P717">_xlfn.IFS(H717,3,N717&lt;Data!$F$3,0,N717&lt;Data!$F$4,1,TRUE,2)</f>
        <v>0</v>
      </c>
    </row>
    <row r="718" spans="4:16">
      <c r="G718" s="2" t="str" cm="1">
        <f t="array" ref="G718">_xlfn.CONCAT(IFERROR(I718:K718,""))</f>
        <v>02000000FEFFFFFF</v>
      </c>
      <c r="I718" s="2" t="e">
        <f>_xlfn.LET(_xlpm.big,DEC2HEX(_xlfn.BITLSHIFT(M718-_xlfn.XLOOKUP(O718,Data!A:A,Data!F:F),4)+O718,8),_xlfn.CONCAT(MID(_xlpm.big,7,2),MID(_xlpm.big,5,2),MID(_xlpm.big,3,2),MID(_xlpm.big,1,2)))</f>
        <v>#NUM!</v>
      </c>
      <c r="J718" s="2" t="str">
        <f t="shared" si="44"/>
        <v>02000000</v>
      </c>
      <c r="K718" s="2" t="str">
        <f>_xlfn.LET(_xlpm.big,IF(H718,DEC2HEX(HEX2DEC(F718),8),DEC2HEX(N718-_xlfn.XLOOKUP(P718,Data!A:A,Data!F:F),8)),_xlfn.CONCAT(MID(_xlpm.big,7,2),MID(_xlpm.big,5,2),MID(_xlpm.big,3,2),MID(_xlpm.big,1,2)))</f>
        <v>FEFFFFFF</v>
      </c>
      <c r="L718" s="2">
        <f t="shared" si="45"/>
        <v>0</v>
      </c>
      <c r="M718" s="2">
        <f t="shared" si="46"/>
        <v>0</v>
      </c>
      <c r="N718" s="2">
        <f t="shared" si="47"/>
        <v>0</v>
      </c>
      <c r="O718" s="2" cm="1">
        <f t="array" ref="O718">_xlfn.IFS(M718&lt;Data!$F$3,0,M718&lt;Data!$F$4,1,TRUE,2)</f>
        <v>0</v>
      </c>
      <c r="P718" s="2" cm="1">
        <f t="array" ref="P718">_xlfn.IFS(H718,3,N718&lt;Data!$F$3,0,N718&lt;Data!$F$4,1,TRUE,2)</f>
        <v>0</v>
      </c>
    </row>
    <row r="719" spans="4:16">
      <c r="E719" s="16"/>
      <c r="G719" s="2" t="str" cm="1">
        <f t="array" ref="G719">_xlfn.CONCAT(IFERROR(I719:K719,""))</f>
        <v>02000000FEFFFFFF</v>
      </c>
      <c r="I719" s="2" t="e">
        <f>_xlfn.LET(_xlpm.big,DEC2HEX(_xlfn.BITLSHIFT(M719-_xlfn.XLOOKUP(O719,Data!A:A,Data!F:F),4)+O719,8),_xlfn.CONCAT(MID(_xlpm.big,7,2),MID(_xlpm.big,5,2),MID(_xlpm.big,3,2),MID(_xlpm.big,1,2)))</f>
        <v>#NUM!</v>
      </c>
      <c r="J719" s="2" t="str">
        <f t="shared" si="44"/>
        <v>02000000</v>
      </c>
      <c r="K719" s="2" t="str">
        <f>_xlfn.LET(_xlpm.big,IF(H719,DEC2HEX(HEX2DEC(F719),8),DEC2HEX(N719-_xlfn.XLOOKUP(P719,Data!A:A,Data!F:F),8)),_xlfn.CONCAT(MID(_xlpm.big,7,2),MID(_xlpm.big,5,2),MID(_xlpm.big,3,2),MID(_xlpm.big,1,2)))</f>
        <v>FEFFFFFF</v>
      </c>
      <c r="L719" s="2">
        <f t="shared" si="45"/>
        <v>0</v>
      </c>
      <c r="M719" s="2">
        <f t="shared" si="46"/>
        <v>0</v>
      </c>
      <c r="N719" s="2">
        <f t="shared" si="47"/>
        <v>0</v>
      </c>
      <c r="O719" s="2" cm="1">
        <f t="array" ref="O719">_xlfn.IFS(M719&lt;Data!$F$3,0,M719&lt;Data!$F$4,1,TRUE,2)</f>
        <v>0</v>
      </c>
      <c r="P719" s="2" cm="1">
        <f t="array" ref="P719">_xlfn.IFS(H719,3,N719&lt;Data!$F$3,0,N719&lt;Data!$F$4,1,TRUE,2)</f>
        <v>0</v>
      </c>
    </row>
    <row r="720" spans="4:16">
      <c r="E720" s="16"/>
      <c r="G720" s="2" t="str" cm="1">
        <f t="array" ref="G720">_xlfn.CONCAT(IFERROR(I720:K720,""))</f>
        <v>02000000FEFFFFFF</v>
      </c>
      <c r="I720" s="2" t="e">
        <f>_xlfn.LET(_xlpm.big,DEC2HEX(_xlfn.BITLSHIFT(M720-_xlfn.XLOOKUP(O720,Data!A:A,Data!F:F),4)+O720,8),_xlfn.CONCAT(MID(_xlpm.big,7,2),MID(_xlpm.big,5,2),MID(_xlpm.big,3,2),MID(_xlpm.big,1,2)))</f>
        <v>#NUM!</v>
      </c>
      <c r="J720" s="2" t="str">
        <f t="shared" si="44"/>
        <v>02000000</v>
      </c>
      <c r="K720" s="2" t="str">
        <f>_xlfn.LET(_xlpm.big,IF(H720,DEC2HEX(HEX2DEC(F720),8),DEC2HEX(N720-_xlfn.XLOOKUP(P720,Data!A:A,Data!F:F),8)),_xlfn.CONCAT(MID(_xlpm.big,7,2),MID(_xlpm.big,5,2),MID(_xlpm.big,3,2),MID(_xlpm.big,1,2)))</f>
        <v>FEFFFFFF</v>
      </c>
      <c r="L720" s="2">
        <f t="shared" si="45"/>
        <v>0</v>
      </c>
      <c r="M720" s="2">
        <f t="shared" si="46"/>
        <v>0</v>
      </c>
      <c r="N720" s="2">
        <f t="shared" si="47"/>
        <v>0</v>
      </c>
      <c r="O720" s="2" cm="1">
        <f t="array" ref="O720">_xlfn.IFS(M720&lt;Data!$F$3,0,M720&lt;Data!$F$4,1,TRUE,2)</f>
        <v>0</v>
      </c>
      <c r="P720" s="2" cm="1">
        <f t="array" ref="P720">_xlfn.IFS(H720,3,N720&lt;Data!$F$3,0,N720&lt;Data!$F$4,1,TRUE,2)</f>
        <v>0</v>
      </c>
    </row>
    <row r="721" spans="4:16">
      <c r="D721" s="3"/>
      <c r="E721" s="3"/>
      <c r="G721" s="2" t="str" cm="1">
        <f t="array" ref="G721">_xlfn.CONCAT(IFERROR(I721:K721,""))</f>
        <v>02000000FEFFFFFF</v>
      </c>
      <c r="I721" s="2" t="e">
        <f>_xlfn.LET(_xlpm.big,DEC2HEX(_xlfn.BITLSHIFT(M721-_xlfn.XLOOKUP(O721,Data!A:A,Data!F:F),4)+O721,8),_xlfn.CONCAT(MID(_xlpm.big,7,2),MID(_xlpm.big,5,2),MID(_xlpm.big,3,2),MID(_xlpm.big,1,2)))</f>
        <v>#NUM!</v>
      </c>
      <c r="J721" s="2" t="str">
        <f t="shared" si="44"/>
        <v>02000000</v>
      </c>
      <c r="K721" s="2" t="str">
        <f>_xlfn.LET(_xlpm.big,IF(H721,DEC2HEX(HEX2DEC(F721),8),DEC2HEX(N721-_xlfn.XLOOKUP(P721,Data!A:A,Data!F:F),8)),_xlfn.CONCAT(MID(_xlpm.big,7,2),MID(_xlpm.big,5,2),MID(_xlpm.big,3,2),MID(_xlpm.big,1,2)))</f>
        <v>FEFFFFFF</v>
      </c>
      <c r="L721" s="2">
        <f t="shared" si="45"/>
        <v>0</v>
      </c>
      <c r="M721" s="2">
        <f t="shared" si="46"/>
        <v>0</v>
      </c>
      <c r="N721" s="2">
        <f t="shared" si="47"/>
        <v>0</v>
      </c>
      <c r="O721" s="2" cm="1">
        <f t="array" ref="O721">_xlfn.IFS(M721&lt;Data!$F$3,0,M721&lt;Data!$F$4,1,TRUE,2)</f>
        <v>0</v>
      </c>
      <c r="P721" s="2" cm="1">
        <f t="array" ref="P721">_xlfn.IFS(H721,3,N721&lt;Data!$F$3,0,N721&lt;Data!$F$4,1,TRUE,2)</f>
        <v>0</v>
      </c>
    </row>
    <row r="722" spans="4:16">
      <c r="D722" s="3"/>
      <c r="E722" s="3"/>
      <c r="G722" s="2" t="str" cm="1">
        <f t="array" ref="G722">_xlfn.CONCAT(IFERROR(I722:K722,""))</f>
        <v>02000000FEFFFFFF</v>
      </c>
      <c r="I722" s="2" t="e">
        <f>_xlfn.LET(_xlpm.big,DEC2HEX(_xlfn.BITLSHIFT(M722-_xlfn.XLOOKUP(O722,Data!A:A,Data!F:F),4)+O722,8),_xlfn.CONCAT(MID(_xlpm.big,7,2),MID(_xlpm.big,5,2),MID(_xlpm.big,3,2),MID(_xlpm.big,1,2)))</f>
        <v>#NUM!</v>
      </c>
      <c r="J722" s="2" t="str">
        <f t="shared" si="44"/>
        <v>02000000</v>
      </c>
      <c r="K722" s="2" t="str">
        <f>_xlfn.LET(_xlpm.big,IF(H722,DEC2HEX(HEX2DEC(F722),8),DEC2HEX(N722-_xlfn.XLOOKUP(P722,Data!A:A,Data!F:F),8)),_xlfn.CONCAT(MID(_xlpm.big,7,2),MID(_xlpm.big,5,2),MID(_xlpm.big,3,2),MID(_xlpm.big,1,2)))</f>
        <v>FEFFFFFF</v>
      </c>
      <c r="L722" s="2">
        <f t="shared" si="45"/>
        <v>0</v>
      </c>
      <c r="M722" s="2">
        <f t="shared" si="46"/>
        <v>0</v>
      </c>
      <c r="N722" s="2">
        <f t="shared" si="47"/>
        <v>0</v>
      </c>
      <c r="O722" s="2" cm="1">
        <f t="array" ref="O722">_xlfn.IFS(M722&lt;Data!$F$3,0,M722&lt;Data!$F$4,1,TRUE,2)</f>
        <v>0</v>
      </c>
      <c r="P722" s="2" cm="1">
        <f t="array" ref="P722">_xlfn.IFS(H722,3,N722&lt;Data!$F$3,0,N722&lt;Data!$F$4,1,TRUE,2)</f>
        <v>0</v>
      </c>
    </row>
    <row r="723" spans="4:16">
      <c r="G723" s="2" t="str" cm="1">
        <f t="array" ref="G723">_xlfn.CONCAT(IFERROR(I723:K723,""))</f>
        <v>02000000FEFFFFFF</v>
      </c>
      <c r="I723" s="2" t="e">
        <f>_xlfn.LET(_xlpm.big,DEC2HEX(_xlfn.BITLSHIFT(M723-_xlfn.XLOOKUP(O723,Data!A:A,Data!F:F),4)+O723,8),_xlfn.CONCAT(MID(_xlpm.big,7,2),MID(_xlpm.big,5,2),MID(_xlpm.big,3,2),MID(_xlpm.big,1,2)))</f>
        <v>#NUM!</v>
      </c>
      <c r="J723" s="2" t="str">
        <f t="shared" si="44"/>
        <v>02000000</v>
      </c>
      <c r="K723" s="2" t="str">
        <f>_xlfn.LET(_xlpm.big,IF(H723,DEC2HEX(HEX2DEC(F723),8),DEC2HEX(N723-_xlfn.XLOOKUP(P723,Data!A:A,Data!F:F),8)),_xlfn.CONCAT(MID(_xlpm.big,7,2),MID(_xlpm.big,5,2),MID(_xlpm.big,3,2),MID(_xlpm.big,1,2)))</f>
        <v>FEFFFFFF</v>
      </c>
      <c r="L723" s="2">
        <f t="shared" si="45"/>
        <v>0</v>
      </c>
      <c r="M723" s="2">
        <f t="shared" si="46"/>
        <v>0</v>
      </c>
      <c r="N723" s="2">
        <f t="shared" si="47"/>
        <v>0</v>
      </c>
      <c r="O723" s="2" cm="1">
        <f t="array" ref="O723">_xlfn.IFS(M723&lt;Data!$F$3,0,M723&lt;Data!$F$4,1,TRUE,2)</f>
        <v>0</v>
      </c>
      <c r="P723" s="2" cm="1">
        <f t="array" ref="P723">_xlfn.IFS(H723,3,N723&lt;Data!$F$3,0,N723&lt;Data!$F$4,1,TRUE,2)</f>
        <v>0</v>
      </c>
    </row>
    <row r="724" spans="4:16">
      <c r="E724" s="16"/>
      <c r="G724" s="2" t="str" cm="1">
        <f t="array" ref="G724">_xlfn.CONCAT(IFERROR(I724:K724,""))</f>
        <v>02000000FEFFFFFF</v>
      </c>
      <c r="I724" s="2" t="e">
        <f>_xlfn.LET(_xlpm.big,DEC2HEX(_xlfn.BITLSHIFT(M724-_xlfn.XLOOKUP(O724,Data!A:A,Data!F:F),4)+O724,8),_xlfn.CONCAT(MID(_xlpm.big,7,2),MID(_xlpm.big,5,2),MID(_xlpm.big,3,2),MID(_xlpm.big,1,2)))</f>
        <v>#NUM!</v>
      </c>
      <c r="J724" s="2" t="str">
        <f t="shared" si="44"/>
        <v>02000000</v>
      </c>
      <c r="K724" s="2" t="str">
        <f>_xlfn.LET(_xlpm.big,IF(H724,DEC2HEX(HEX2DEC(F724),8),DEC2HEX(N724-_xlfn.XLOOKUP(P724,Data!A:A,Data!F:F),8)),_xlfn.CONCAT(MID(_xlpm.big,7,2),MID(_xlpm.big,5,2),MID(_xlpm.big,3,2),MID(_xlpm.big,1,2)))</f>
        <v>FEFFFFFF</v>
      </c>
      <c r="L724" s="2">
        <f t="shared" si="45"/>
        <v>0</v>
      </c>
      <c r="M724" s="2">
        <f t="shared" si="46"/>
        <v>0</v>
      </c>
      <c r="N724" s="2">
        <f t="shared" si="47"/>
        <v>0</v>
      </c>
      <c r="O724" s="2" cm="1">
        <f t="array" ref="O724">_xlfn.IFS(M724&lt;Data!$F$3,0,M724&lt;Data!$F$4,1,TRUE,2)</f>
        <v>0</v>
      </c>
      <c r="P724" s="2" cm="1">
        <f t="array" ref="P724">_xlfn.IFS(H724,3,N724&lt;Data!$F$3,0,N724&lt;Data!$F$4,1,TRUE,2)</f>
        <v>0</v>
      </c>
    </row>
    <row r="725" spans="4:16">
      <c r="G725" s="2" t="str" cm="1">
        <f t="array" ref="G725">_xlfn.CONCAT(IFERROR(I725:K725,""))</f>
        <v>02000000FEFFFFFF</v>
      </c>
      <c r="I725" s="2" t="e">
        <f>_xlfn.LET(_xlpm.big,DEC2HEX(_xlfn.BITLSHIFT(M725-_xlfn.XLOOKUP(O725,Data!A:A,Data!F:F),4)+O725,8),_xlfn.CONCAT(MID(_xlpm.big,7,2),MID(_xlpm.big,5,2),MID(_xlpm.big,3,2),MID(_xlpm.big,1,2)))</f>
        <v>#NUM!</v>
      </c>
      <c r="J725" s="2" t="str">
        <f t="shared" si="44"/>
        <v>02000000</v>
      </c>
      <c r="K725" s="2" t="str">
        <f>_xlfn.LET(_xlpm.big,IF(H725,DEC2HEX(HEX2DEC(F725),8),DEC2HEX(N725-_xlfn.XLOOKUP(P725,Data!A:A,Data!F:F),8)),_xlfn.CONCAT(MID(_xlpm.big,7,2),MID(_xlpm.big,5,2),MID(_xlpm.big,3,2),MID(_xlpm.big,1,2)))</f>
        <v>FEFFFFFF</v>
      </c>
      <c r="L725" s="2">
        <f t="shared" si="45"/>
        <v>0</v>
      </c>
      <c r="M725" s="2">
        <f t="shared" si="46"/>
        <v>0</v>
      </c>
      <c r="N725" s="2">
        <f t="shared" si="47"/>
        <v>0</v>
      </c>
      <c r="O725" s="2" cm="1">
        <f t="array" ref="O725">_xlfn.IFS(M725&lt;Data!$F$3,0,M725&lt;Data!$F$4,1,TRUE,2)</f>
        <v>0</v>
      </c>
      <c r="P725" s="2" cm="1">
        <f t="array" ref="P725">_xlfn.IFS(H725,3,N725&lt;Data!$F$3,0,N725&lt;Data!$F$4,1,TRUE,2)</f>
        <v>0</v>
      </c>
    </row>
    <row r="726" spans="4:16">
      <c r="E726" s="16"/>
      <c r="G726" s="2" t="str" cm="1">
        <f t="array" ref="G726">_xlfn.CONCAT(IFERROR(I726:K726,""))</f>
        <v>02000000FEFFFFFF</v>
      </c>
      <c r="I726" s="2" t="e">
        <f>_xlfn.LET(_xlpm.big,DEC2HEX(_xlfn.BITLSHIFT(M726-_xlfn.XLOOKUP(O726,Data!A:A,Data!F:F),4)+O726,8),_xlfn.CONCAT(MID(_xlpm.big,7,2),MID(_xlpm.big,5,2),MID(_xlpm.big,3,2),MID(_xlpm.big,1,2)))</f>
        <v>#NUM!</v>
      </c>
      <c r="J726" s="2" t="str">
        <f t="shared" si="44"/>
        <v>02000000</v>
      </c>
      <c r="K726" s="2" t="str">
        <f>_xlfn.LET(_xlpm.big,IF(H726,DEC2HEX(HEX2DEC(F726),8),DEC2HEX(N726-_xlfn.XLOOKUP(P726,Data!A:A,Data!F:F),8)),_xlfn.CONCAT(MID(_xlpm.big,7,2),MID(_xlpm.big,5,2),MID(_xlpm.big,3,2),MID(_xlpm.big,1,2)))</f>
        <v>FEFFFFFF</v>
      </c>
      <c r="L726" s="2">
        <f t="shared" si="45"/>
        <v>0</v>
      </c>
      <c r="M726" s="2">
        <f t="shared" si="46"/>
        <v>0</v>
      </c>
      <c r="N726" s="2">
        <f t="shared" si="47"/>
        <v>0</v>
      </c>
      <c r="O726" s="2" cm="1">
        <f t="array" ref="O726">_xlfn.IFS(M726&lt;Data!$F$3,0,M726&lt;Data!$F$4,1,TRUE,2)</f>
        <v>0</v>
      </c>
      <c r="P726" s="2" cm="1">
        <f t="array" ref="P726">_xlfn.IFS(H726,3,N726&lt;Data!$F$3,0,N726&lt;Data!$F$4,1,TRUE,2)</f>
        <v>0</v>
      </c>
    </row>
    <row r="727" spans="4:16">
      <c r="D727" s="3"/>
      <c r="E727" s="3"/>
      <c r="G727" s="2" t="str" cm="1">
        <f t="array" ref="G727">_xlfn.CONCAT(IFERROR(I727:K727,""))</f>
        <v>02000000FEFFFFFF</v>
      </c>
      <c r="I727" s="2" t="e">
        <f>_xlfn.LET(_xlpm.big,DEC2HEX(_xlfn.BITLSHIFT(M727-_xlfn.XLOOKUP(O727,Data!A:A,Data!F:F),4)+O727,8),_xlfn.CONCAT(MID(_xlpm.big,7,2),MID(_xlpm.big,5,2),MID(_xlpm.big,3,2),MID(_xlpm.big,1,2)))</f>
        <v>#NUM!</v>
      </c>
      <c r="J727" s="2" t="str">
        <f t="shared" si="44"/>
        <v>02000000</v>
      </c>
      <c r="K727" s="2" t="str">
        <f>_xlfn.LET(_xlpm.big,IF(H727,DEC2HEX(HEX2DEC(F727),8),DEC2HEX(N727-_xlfn.XLOOKUP(P727,Data!A:A,Data!F:F),8)),_xlfn.CONCAT(MID(_xlpm.big,7,2),MID(_xlpm.big,5,2),MID(_xlpm.big,3,2),MID(_xlpm.big,1,2)))</f>
        <v>FEFFFFFF</v>
      </c>
      <c r="L727" s="2">
        <f t="shared" si="45"/>
        <v>0</v>
      </c>
      <c r="M727" s="2">
        <f t="shared" si="46"/>
        <v>0</v>
      </c>
      <c r="N727" s="2">
        <f t="shared" si="47"/>
        <v>0</v>
      </c>
      <c r="O727" s="2" cm="1">
        <f t="array" ref="O727">_xlfn.IFS(M727&lt;Data!$F$3,0,M727&lt;Data!$F$4,1,TRUE,2)</f>
        <v>0</v>
      </c>
      <c r="P727" s="2" cm="1">
        <f t="array" ref="P727">_xlfn.IFS(H727,3,N727&lt;Data!$F$3,0,N727&lt;Data!$F$4,1,TRUE,2)</f>
        <v>0</v>
      </c>
    </row>
    <row r="728" spans="4:16">
      <c r="G728" s="2" t="str" cm="1">
        <f t="array" ref="G728">_xlfn.CONCAT(IFERROR(I728:K728,""))</f>
        <v>02000000FEFFFFFF</v>
      </c>
      <c r="I728" s="2" t="e">
        <f>_xlfn.LET(_xlpm.big,DEC2HEX(_xlfn.BITLSHIFT(M728-_xlfn.XLOOKUP(O728,Data!A:A,Data!F:F),4)+O728,8),_xlfn.CONCAT(MID(_xlpm.big,7,2),MID(_xlpm.big,5,2),MID(_xlpm.big,3,2),MID(_xlpm.big,1,2)))</f>
        <v>#NUM!</v>
      </c>
      <c r="J728" s="2" t="str">
        <f t="shared" si="44"/>
        <v>02000000</v>
      </c>
      <c r="K728" s="2" t="str">
        <f>_xlfn.LET(_xlpm.big,IF(H728,DEC2HEX(HEX2DEC(F728),8),DEC2HEX(N728-_xlfn.XLOOKUP(P728,Data!A:A,Data!F:F),8)),_xlfn.CONCAT(MID(_xlpm.big,7,2),MID(_xlpm.big,5,2),MID(_xlpm.big,3,2),MID(_xlpm.big,1,2)))</f>
        <v>FEFFFFFF</v>
      </c>
      <c r="L728" s="2">
        <f t="shared" si="45"/>
        <v>0</v>
      </c>
      <c r="M728" s="2">
        <f t="shared" si="46"/>
        <v>0</v>
      </c>
      <c r="N728" s="2">
        <f t="shared" si="47"/>
        <v>0</v>
      </c>
      <c r="O728" s="2" cm="1">
        <f t="array" ref="O728">_xlfn.IFS(M728&lt;Data!$F$3,0,M728&lt;Data!$F$4,1,TRUE,2)</f>
        <v>0</v>
      </c>
      <c r="P728" s="2" cm="1">
        <f t="array" ref="P728">_xlfn.IFS(H728,3,N728&lt;Data!$F$3,0,N728&lt;Data!$F$4,1,TRUE,2)</f>
        <v>0</v>
      </c>
    </row>
    <row r="729" spans="4:16">
      <c r="G729" s="2" t="str" cm="1">
        <f t="array" ref="G729">_xlfn.CONCAT(IFERROR(I729:K729,""))</f>
        <v>02000000FEFFFFFF</v>
      </c>
      <c r="I729" s="2" t="e">
        <f>_xlfn.LET(_xlpm.big,DEC2HEX(_xlfn.BITLSHIFT(M729-_xlfn.XLOOKUP(O729,Data!A:A,Data!F:F),4)+O729,8),_xlfn.CONCAT(MID(_xlpm.big,7,2),MID(_xlpm.big,5,2),MID(_xlpm.big,3,2),MID(_xlpm.big,1,2)))</f>
        <v>#NUM!</v>
      </c>
      <c r="J729" s="2" t="str">
        <f t="shared" si="44"/>
        <v>02000000</v>
      </c>
      <c r="K729" s="2" t="str">
        <f>_xlfn.LET(_xlpm.big,IF(H729,DEC2HEX(HEX2DEC(F729),8),DEC2HEX(N729-_xlfn.XLOOKUP(P729,Data!A:A,Data!F:F),8)),_xlfn.CONCAT(MID(_xlpm.big,7,2),MID(_xlpm.big,5,2),MID(_xlpm.big,3,2),MID(_xlpm.big,1,2)))</f>
        <v>FEFFFFFF</v>
      </c>
      <c r="L729" s="2">
        <f t="shared" si="45"/>
        <v>0</v>
      </c>
      <c r="M729" s="2">
        <f t="shared" si="46"/>
        <v>0</v>
      </c>
      <c r="N729" s="2">
        <f t="shared" si="47"/>
        <v>0</v>
      </c>
      <c r="O729" s="2" cm="1">
        <f t="array" ref="O729">_xlfn.IFS(M729&lt;Data!$F$3,0,M729&lt;Data!$F$4,1,TRUE,2)</f>
        <v>0</v>
      </c>
      <c r="P729" s="2" cm="1">
        <f t="array" ref="P729">_xlfn.IFS(H729,3,N729&lt;Data!$F$3,0,N729&lt;Data!$F$4,1,TRUE,2)</f>
        <v>0</v>
      </c>
    </row>
    <row r="730" spans="4:16">
      <c r="G730" s="2" t="str" cm="1">
        <f t="array" ref="G730">_xlfn.CONCAT(IFERROR(I730:K730,""))</f>
        <v>02000000FEFFFFFF</v>
      </c>
      <c r="I730" s="2" t="e">
        <f>_xlfn.LET(_xlpm.big,DEC2HEX(_xlfn.BITLSHIFT(M730-_xlfn.XLOOKUP(O730,Data!A:A,Data!F:F),4)+O730,8),_xlfn.CONCAT(MID(_xlpm.big,7,2),MID(_xlpm.big,5,2),MID(_xlpm.big,3,2),MID(_xlpm.big,1,2)))</f>
        <v>#NUM!</v>
      </c>
      <c r="J730" s="2" t="str">
        <f t="shared" si="44"/>
        <v>02000000</v>
      </c>
      <c r="K730" s="2" t="str">
        <f>_xlfn.LET(_xlpm.big,IF(H730,DEC2HEX(HEX2DEC(F730),8),DEC2HEX(N730-_xlfn.XLOOKUP(P730,Data!A:A,Data!F:F),8)),_xlfn.CONCAT(MID(_xlpm.big,7,2),MID(_xlpm.big,5,2),MID(_xlpm.big,3,2),MID(_xlpm.big,1,2)))</f>
        <v>FEFFFFFF</v>
      </c>
      <c r="L730" s="2">
        <f t="shared" si="45"/>
        <v>0</v>
      </c>
      <c r="M730" s="2">
        <f t="shared" si="46"/>
        <v>0</v>
      </c>
      <c r="N730" s="2">
        <f t="shared" si="47"/>
        <v>0</v>
      </c>
      <c r="O730" s="2" cm="1">
        <f t="array" ref="O730">_xlfn.IFS(M730&lt;Data!$F$3,0,M730&lt;Data!$F$4,1,TRUE,2)</f>
        <v>0</v>
      </c>
      <c r="P730" s="2" cm="1">
        <f t="array" ref="P730">_xlfn.IFS(H730,3,N730&lt;Data!$F$3,0,N730&lt;Data!$F$4,1,TRUE,2)</f>
        <v>0</v>
      </c>
    </row>
    <row r="731" spans="4:16">
      <c r="G731" s="2" t="str" cm="1">
        <f t="array" ref="G731">_xlfn.CONCAT(IFERROR(I731:K731,""))</f>
        <v>02000000FEFFFFFF</v>
      </c>
      <c r="I731" s="2" t="e">
        <f>_xlfn.LET(_xlpm.big,DEC2HEX(_xlfn.BITLSHIFT(M731-_xlfn.XLOOKUP(O731,Data!A:A,Data!F:F),4)+O731,8),_xlfn.CONCAT(MID(_xlpm.big,7,2),MID(_xlpm.big,5,2),MID(_xlpm.big,3,2),MID(_xlpm.big,1,2)))</f>
        <v>#NUM!</v>
      </c>
      <c r="J731" s="2" t="str">
        <f t="shared" si="44"/>
        <v>02000000</v>
      </c>
      <c r="K731" s="2" t="str">
        <f>_xlfn.LET(_xlpm.big,IF(H731,DEC2HEX(HEX2DEC(F731),8),DEC2HEX(N731-_xlfn.XLOOKUP(P731,Data!A:A,Data!F:F),8)),_xlfn.CONCAT(MID(_xlpm.big,7,2),MID(_xlpm.big,5,2),MID(_xlpm.big,3,2),MID(_xlpm.big,1,2)))</f>
        <v>FEFFFFFF</v>
      </c>
      <c r="L731" s="2">
        <f t="shared" si="45"/>
        <v>0</v>
      </c>
      <c r="M731" s="2">
        <f t="shared" si="46"/>
        <v>0</v>
      </c>
      <c r="N731" s="2">
        <f t="shared" si="47"/>
        <v>0</v>
      </c>
      <c r="O731" s="2" cm="1">
        <f t="array" ref="O731">_xlfn.IFS(M731&lt;Data!$F$3,0,M731&lt;Data!$F$4,1,TRUE,2)</f>
        <v>0</v>
      </c>
      <c r="P731" s="2" cm="1">
        <f t="array" ref="P731">_xlfn.IFS(H731,3,N731&lt;Data!$F$3,0,N731&lt;Data!$F$4,1,TRUE,2)</f>
        <v>0</v>
      </c>
    </row>
    <row r="732" spans="4:16">
      <c r="G732" s="2" t="str" cm="1">
        <f t="array" ref="G732">_xlfn.CONCAT(IFERROR(I732:K732,""))</f>
        <v>02000000FEFFFFFF</v>
      </c>
      <c r="I732" s="2" t="e">
        <f>_xlfn.LET(_xlpm.big,DEC2HEX(_xlfn.BITLSHIFT(M732-_xlfn.XLOOKUP(O732,Data!A:A,Data!F:F),4)+O732,8),_xlfn.CONCAT(MID(_xlpm.big,7,2),MID(_xlpm.big,5,2),MID(_xlpm.big,3,2),MID(_xlpm.big,1,2)))</f>
        <v>#NUM!</v>
      </c>
      <c r="J732" s="2" t="str">
        <f t="shared" si="44"/>
        <v>02000000</v>
      </c>
      <c r="K732" s="2" t="str">
        <f>_xlfn.LET(_xlpm.big,IF(H732,DEC2HEX(HEX2DEC(F732),8),DEC2HEX(N732-_xlfn.XLOOKUP(P732,Data!A:A,Data!F:F),8)),_xlfn.CONCAT(MID(_xlpm.big,7,2),MID(_xlpm.big,5,2),MID(_xlpm.big,3,2),MID(_xlpm.big,1,2)))</f>
        <v>FEFFFFFF</v>
      </c>
      <c r="L732" s="2">
        <f t="shared" si="45"/>
        <v>0</v>
      </c>
      <c r="M732" s="2">
        <f t="shared" si="46"/>
        <v>0</v>
      </c>
      <c r="N732" s="2">
        <f t="shared" si="47"/>
        <v>0</v>
      </c>
      <c r="O732" s="2" cm="1">
        <f t="array" ref="O732">_xlfn.IFS(M732&lt;Data!$F$3,0,M732&lt;Data!$F$4,1,TRUE,2)</f>
        <v>0</v>
      </c>
      <c r="P732" s="2" cm="1">
        <f t="array" ref="P732">_xlfn.IFS(H732,3,N732&lt;Data!$F$3,0,N732&lt;Data!$F$4,1,TRUE,2)</f>
        <v>0</v>
      </c>
    </row>
    <row r="733" spans="4:16">
      <c r="E733" s="16"/>
      <c r="G733" s="2" t="str" cm="1">
        <f t="array" ref="G733">_xlfn.CONCAT(IFERROR(I733:K733,""))</f>
        <v>02000000FEFFFFFF</v>
      </c>
      <c r="I733" s="2" t="e">
        <f>_xlfn.LET(_xlpm.big,DEC2HEX(_xlfn.BITLSHIFT(M733-_xlfn.XLOOKUP(O733,Data!A:A,Data!F:F),4)+O733,8),_xlfn.CONCAT(MID(_xlpm.big,7,2),MID(_xlpm.big,5,2),MID(_xlpm.big,3,2),MID(_xlpm.big,1,2)))</f>
        <v>#NUM!</v>
      </c>
      <c r="J733" s="2" t="str">
        <f t="shared" si="44"/>
        <v>02000000</v>
      </c>
      <c r="K733" s="2" t="str">
        <f>_xlfn.LET(_xlpm.big,IF(H733,DEC2HEX(HEX2DEC(F733),8),DEC2HEX(N733-_xlfn.XLOOKUP(P733,Data!A:A,Data!F:F),8)),_xlfn.CONCAT(MID(_xlpm.big,7,2),MID(_xlpm.big,5,2),MID(_xlpm.big,3,2),MID(_xlpm.big,1,2)))</f>
        <v>FEFFFFFF</v>
      </c>
      <c r="L733" s="2">
        <f t="shared" si="45"/>
        <v>0</v>
      </c>
      <c r="M733" s="2">
        <f t="shared" si="46"/>
        <v>0</v>
      </c>
      <c r="N733" s="2">
        <f t="shared" si="47"/>
        <v>0</v>
      </c>
      <c r="O733" s="2" cm="1">
        <f t="array" ref="O733">_xlfn.IFS(M733&lt;Data!$F$3,0,M733&lt;Data!$F$4,1,TRUE,2)</f>
        <v>0</v>
      </c>
      <c r="P733" s="2" cm="1">
        <f t="array" ref="P733">_xlfn.IFS(H733,3,N733&lt;Data!$F$3,0,N733&lt;Data!$F$4,1,TRUE,2)</f>
        <v>0</v>
      </c>
    </row>
    <row r="734" spans="4:16">
      <c r="E734" s="16"/>
      <c r="G734" s="2" t="str" cm="1">
        <f t="array" ref="G734">_xlfn.CONCAT(IFERROR(I734:K734,""))</f>
        <v>02000000FEFFFFFF</v>
      </c>
      <c r="I734" s="2" t="e">
        <f>_xlfn.LET(_xlpm.big,DEC2HEX(_xlfn.BITLSHIFT(M734-_xlfn.XLOOKUP(O734,Data!A:A,Data!F:F),4)+O734,8),_xlfn.CONCAT(MID(_xlpm.big,7,2),MID(_xlpm.big,5,2),MID(_xlpm.big,3,2),MID(_xlpm.big,1,2)))</f>
        <v>#NUM!</v>
      </c>
      <c r="J734" s="2" t="str">
        <f t="shared" si="44"/>
        <v>02000000</v>
      </c>
      <c r="K734" s="2" t="str">
        <f>_xlfn.LET(_xlpm.big,IF(H734,DEC2HEX(HEX2DEC(F734),8),DEC2HEX(N734-_xlfn.XLOOKUP(P734,Data!A:A,Data!F:F),8)),_xlfn.CONCAT(MID(_xlpm.big,7,2),MID(_xlpm.big,5,2),MID(_xlpm.big,3,2),MID(_xlpm.big,1,2)))</f>
        <v>FEFFFFFF</v>
      </c>
      <c r="L734" s="2">
        <f t="shared" si="45"/>
        <v>0</v>
      </c>
      <c r="M734" s="2">
        <f t="shared" si="46"/>
        <v>0</v>
      </c>
      <c r="N734" s="2">
        <f t="shared" si="47"/>
        <v>0</v>
      </c>
      <c r="O734" s="2" cm="1">
        <f t="array" ref="O734">_xlfn.IFS(M734&lt;Data!$F$3,0,M734&lt;Data!$F$4,1,TRUE,2)</f>
        <v>0</v>
      </c>
      <c r="P734" s="2" cm="1">
        <f t="array" ref="P734">_xlfn.IFS(H734,3,N734&lt;Data!$F$3,0,N734&lt;Data!$F$4,1,TRUE,2)</f>
        <v>0</v>
      </c>
    </row>
    <row r="735" spans="4:16">
      <c r="E735" s="16"/>
      <c r="G735" s="2" t="str" cm="1">
        <f t="array" ref="G735">_xlfn.CONCAT(IFERROR(I735:K735,""))</f>
        <v>02000000FEFFFFFF</v>
      </c>
      <c r="I735" s="2" t="e">
        <f>_xlfn.LET(_xlpm.big,DEC2HEX(_xlfn.BITLSHIFT(M735-_xlfn.XLOOKUP(O735,Data!A:A,Data!F:F),4)+O735,8),_xlfn.CONCAT(MID(_xlpm.big,7,2),MID(_xlpm.big,5,2),MID(_xlpm.big,3,2),MID(_xlpm.big,1,2)))</f>
        <v>#NUM!</v>
      </c>
      <c r="J735" s="2" t="str">
        <f t="shared" si="44"/>
        <v>02000000</v>
      </c>
      <c r="K735" s="2" t="str">
        <f>_xlfn.LET(_xlpm.big,IF(H735,DEC2HEX(HEX2DEC(F735),8),DEC2HEX(N735-_xlfn.XLOOKUP(P735,Data!A:A,Data!F:F),8)),_xlfn.CONCAT(MID(_xlpm.big,7,2),MID(_xlpm.big,5,2),MID(_xlpm.big,3,2),MID(_xlpm.big,1,2)))</f>
        <v>FEFFFFFF</v>
      </c>
      <c r="L735" s="2">
        <f t="shared" si="45"/>
        <v>0</v>
      </c>
      <c r="M735" s="2">
        <f t="shared" si="46"/>
        <v>0</v>
      </c>
      <c r="N735" s="2">
        <f t="shared" si="47"/>
        <v>0</v>
      </c>
      <c r="O735" s="2" cm="1">
        <f t="array" ref="O735">_xlfn.IFS(M735&lt;Data!$F$3,0,M735&lt;Data!$F$4,1,TRUE,2)</f>
        <v>0</v>
      </c>
      <c r="P735" s="2" cm="1">
        <f t="array" ref="P735">_xlfn.IFS(H735,3,N735&lt;Data!$F$3,0,N735&lt;Data!$F$4,1,TRUE,2)</f>
        <v>0</v>
      </c>
    </row>
    <row r="736" spans="4:16">
      <c r="E736" s="16"/>
      <c r="G736" s="2" t="str" cm="1">
        <f t="array" ref="G736">_xlfn.CONCAT(IFERROR(I736:K736,""))</f>
        <v>02000000FEFFFFFF</v>
      </c>
      <c r="I736" s="2" t="e">
        <f>_xlfn.LET(_xlpm.big,DEC2HEX(_xlfn.BITLSHIFT(M736-_xlfn.XLOOKUP(O736,Data!A:A,Data!F:F),4)+O736,8),_xlfn.CONCAT(MID(_xlpm.big,7,2),MID(_xlpm.big,5,2),MID(_xlpm.big,3,2),MID(_xlpm.big,1,2)))</f>
        <v>#NUM!</v>
      </c>
      <c r="J736" s="2" t="str">
        <f t="shared" si="44"/>
        <v>02000000</v>
      </c>
      <c r="K736" s="2" t="str">
        <f>_xlfn.LET(_xlpm.big,IF(H736,DEC2HEX(HEX2DEC(F736),8),DEC2HEX(N736-_xlfn.XLOOKUP(P736,Data!A:A,Data!F:F),8)),_xlfn.CONCAT(MID(_xlpm.big,7,2),MID(_xlpm.big,5,2),MID(_xlpm.big,3,2),MID(_xlpm.big,1,2)))</f>
        <v>FEFFFFFF</v>
      </c>
      <c r="L736" s="2">
        <f t="shared" si="45"/>
        <v>0</v>
      </c>
      <c r="M736" s="2">
        <f t="shared" si="46"/>
        <v>0</v>
      </c>
      <c r="N736" s="2">
        <f t="shared" si="47"/>
        <v>0</v>
      </c>
      <c r="O736" s="2" cm="1">
        <f t="array" ref="O736">_xlfn.IFS(M736&lt;Data!$F$3,0,M736&lt;Data!$F$4,1,TRUE,2)</f>
        <v>0</v>
      </c>
      <c r="P736" s="2" cm="1">
        <f t="array" ref="P736">_xlfn.IFS(H736,3,N736&lt;Data!$F$3,0,N736&lt;Data!$F$4,1,TRUE,2)</f>
        <v>0</v>
      </c>
    </row>
    <row r="737" spans="4:16">
      <c r="E737" s="16"/>
      <c r="G737" s="2" t="str" cm="1">
        <f t="array" ref="G737">_xlfn.CONCAT(IFERROR(I737:K737,""))</f>
        <v>02000000FEFFFFFF</v>
      </c>
      <c r="I737" s="2" t="e">
        <f>_xlfn.LET(_xlpm.big,DEC2HEX(_xlfn.BITLSHIFT(M737-_xlfn.XLOOKUP(O737,Data!A:A,Data!F:F),4)+O737,8),_xlfn.CONCAT(MID(_xlpm.big,7,2),MID(_xlpm.big,5,2),MID(_xlpm.big,3,2),MID(_xlpm.big,1,2)))</f>
        <v>#NUM!</v>
      </c>
      <c r="J737" s="2" t="str">
        <f t="shared" si="44"/>
        <v>02000000</v>
      </c>
      <c r="K737" s="2" t="str">
        <f>_xlfn.LET(_xlpm.big,IF(H737,DEC2HEX(HEX2DEC(F737),8),DEC2HEX(N737-_xlfn.XLOOKUP(P737,Data!A:A,Data!F:F),8)),_xlfn.CONCAT(MID(_xlpm.big,7,2),MID(_xlpm.big,5,2),MID(_xlpm.big,3,2),MID(_xlpm.big,1,2)))</f>
        <v>FEFFFFFF</v>
      </c>
      <c r="L737" s="2">
        <f t="shared" si="45"/>
        <v>0</v>
      </c>
      <c r="M737" s="2">
        <f t="shared" si="46"/>
        <v>0</v>
      </c>
      <c r="N737" s="2">
        <f t="shared" si="47"/>
        <v>0</v>
      </c>
      <c r="O737" s="2" cm="1">
        <f t="array" ref="O737">_xlfn.IFS(M737&lt;Data!$F$3,0,M737&lt;Data!$F$4,1,TRUE,2)</f>
        <v>0</v>
      </c>
      <c r="P737" s="2" cm="1">
        <f t="array" ref="P737">_xlfn.IFS(H737,3,N737&lt;Data!$F$3,0,N737&lt;Data!$F$4,1,TRUE,2)</f>
        <v>0</v>
      </c>
    </row>
    <row r="738" spans="4:16">
      <c r="E738" s="16"/>
      <c r="G738" s="2" t="str" cm="1">
        <f t="array" ref="G738">_xlfn.CONCAT(IFERROR(I738:K738,""))</f>
        <v>02000000FEFFFFFF</v>
      </c>
      <c r="I738" s="2" t="e">
        <f>_xlfn.LET(_xlpm.big,DEC2HEX(_xlfn.BITLSHIFT(M738-_xlfn.XLOOKUP(O738,Data!A:A,Data!F:F),4)+O738,8),_xlfn.CONCAT(MID(_xlpm.big,7,2),MID(_xlpm.big,5,2),MID(_xlpm.big,3,2),MID(_xlpm.big,1,2)))</f>
        <v>#NUM!</v>
      </c>
      <c r="J738" s="2" t="str">
        <f t="shared" si="44"/>
        <v>02000000</v>
      </c>
      <c r="K738" s="2" t="str">
        <f>_xlfn.LET(_xlpm.big,IF(H738,DEC2HEX(HEX2DEC(F738),8),DEC2HEX(N738-_xlfn.XLOOKUP(P738,Data!A:A,Data!F:F),8)),_xlfn.CONCAT(MID(_xlpm.big,7,2),MID(_xlpm.big,5,2),MID(_xlpm.big,3,2),MID(_xlpm.big,1,2)))</f>
        <v>FEFFFFFF</v>
      </c>
      <c r="L738" s="2">
        <f t="shared" si="45"/>
        <v>0</v>
      </c>
      <c r="M738" s="2">
        <f t="shared" si="46"/>
        <v>0</v>
      </c>
      <c r="N738" s="2">
        <f t="shared" si="47"/>
        <v>0</v>
      </c>
      <c r="O738" s="2" cm="1">
        <f t="array" ref="O738">_xlfn.IFS(M738&lt;Data!$F$3,0,M738&lt;Data!$F$4,1,TRUE,2)</f>
        <v>0</v>
      </c>
      <c r="P738" s="2" cm="1">
        <f t="array" ref="P738">_xlfn.IFS(H738,3,N738&lt;Data!$F$3,0,N738&lt;Data!$F$4,1,TRUE,2)</f>
        <v>0</v>
      </c>
    </row>
    <row r="739" spans="4:16">
      <c r="G739" s="2" t="str" cm="1">
        <f t="array" ref="G739">_xlfn.CONCAT(IFERROR(I739:K739,""))</f>
        <v>02000000FEFFFFFF</v>
      </c>
      <c r="I739" s="2" t="e">
        <f>_xlfn.LET(_xlpm.big,DEC2HEX(_xlfn.BITLSHIFT(M739-_xlfn.XLOOKUP(O739,Data!A:A,Data!F:F),4)+O739,8),_xlfn.CONCAT(MID(_xlpm.big,7,2),MID(_xlpm.big,5,2),MID(_xlpm.big,3,2),MID(_xlpm.big,1,2)))</f>
        <v>#NUM!</v>
      </c>
      <c r="J739" s="2" t="str">
        <f t="shared" si="44"/>
        <v>02000000</v>
      </c>
      <c r="K739" s="2" t="str">
        <f>_xlfn.LET(_xlpm.big,IF(H739,DEC2HEX(HEX2DEC(F739),8),DEC2HEX(N739-_xlfn.XLOOKUP(P739,Data!A:A,Data!F:F),8)),_xlfn.CONCAT(MID(_xlpm.big,7,2),MID(_xlpm.big,5,2),MID(_xlpm.big,3,2),MID(_xlpm.big,1,2)))</f>
        <v>FEFFFFFF</v>
      </c>
      <c r="L739" s="2">
        <f t="shared" si="45"/>
        <v>0</v>
      </c>
      <c r="M739" s="2">
        <f t="shared" si="46"/>
        <v>0</v>
      </c>
      <c r="N739" s="2">
        <f t="shared" si="47"/>
        <v>0</v>
      </c>
      <c r="O739" s="2" cm="1">
        <f t="array" ref="O739">_xlfn.IFS(M739&lt;Data!$F$3,0,M739&lt;Data!$F$4,1,TRUE,2)</f>
        <v>0</v>
      </c>
      <c r="P739" s="2" cm="1">
        <f t="array" ref="P739">_xlfn.IFS(H739,3,N739&lt;Data!$F$3,0,N739&lt;Data!$F$4,1,TRUE,2)</f>
        <v>0</v>
      </c>
    </row>
    <row r="740" spans="4:16">
      <c r="G740" s="2" t="str" cm="1">
        <f t="array" ref="G740">_xlfn.CONCAT(IFERROR(I740:K740,""))</f>
        <v>02000000FEFFFFFF</v>
      </c>
      <c r="I740" s="2" t="e">
        <f>_xlfn.LET(_xlpm.big,DEC2HEX(_xlfn.BITLSHIFT(M740-_xlfn.XLOOKUP(O740,Data!A:A,Data!F:F),4)+O740,8),_xlfn.CONCAT(MID(_xlpm.big,7,2),MID(_xlpm.big,5,2),MID(_xlpm.big,3,2),MID(_xlpm.big,1,2)))</f>
        <v>#NUM!</v>
      </c>
      <c r="J740" s="2" t="str">
        <f t="shared" si="44"/>
        <v>02000000</v>
      </c>
      <c r="K740" s="2" t="str">
        <f>_xlfn.LET(_xlpm.big,IF(H740,DEC2HEX(HEX2DEC(F740),8),DEC2HEX(N740-_xlfn.XLOOKUP(P740,Data!A:A,Data!F:F),8)),_xlfn.CONCAT(MID(_xlpm.big,7,2),MID(_xlpm.big,5,2),MID(_xlpm.big,3,2),MID(_xlpm.big,1,2)))</f>
        <v>FEFFFFFF</v>
      </c>
      <c r="L740" s="2">
        <f t="shared" si="45"/>
        <v>0</v>
      </c>
      <c r="M740" s="2">
        <f t="shared" si="46"/>
        <v>0</v>
      </c>
      <c r="N740" s="2">
        <f t="shared" si="47"/>
        <v>0</v>
      </c>
      <c r="O740" s="2" cm="1">
        <f t="array" ref="O740">_xlfn.IFS(M740&lt;Data!$F$3,0,M740&lt;Data!$F$4,1,TRUE,2)</f>
        <v>0</v>
      </c>
      <c r="P740" s="2" cm="1">
        <f t="array" ref="P740">_xlfn.IFS(H740,3,N740&lt;Data!$F$3,0,N740&lt;Data!$F$4,1,TRUE,2)</f>
        <v>0</v>
      </c>
    </row>
    <row r="741" spans="4:16">
      <c r="G741" s="2" t="str" cm="1">
        <f t="array" ref="G741">_xlfn.CONCAT(IFERROR(I741:K741,""))</f>
        <v>02000000FEFFFFFF</v>
      </c>
      <c r="I741" s="2" t="e">
        <f>_xlfn.LET(_xlpm.big,DEC2HEX(_xlfn.BITLSHIFT(M741-_xlfn.XLOOKUP(O741,Data!A:A,Data!F:F),4)+O741,8),_xlfn.CONCAT(MID(_xlpm.big,7,2),MID(_xlpm.big,5,2),MID(_xlpm.big,3,2),MID(_xlpm.big,1,2)))</f>
        <v>#NUM!</v>
      </c>
      <c r="J741" s="2" t="str">
        <f t="shared" si="44"/>
        <v>02000000</v>
      </c>
      <c r="K741" s="2" t="str">
        <f>_xlfn.LET(_xlpm.big,IF(H741,DEC2HEX(HEX2DEC(F741),8),DEC2HEX(N741-_xlfn.XLOOKUP(P741,Data!A:A,Data!F:F),8)),_xlfn.CONCAT(MID(_xlpm.big,7,2),MID(_xlpm.big,5,2),MID(_xlpm.big,3,2),MID(_xlpm.big,1,2)))</f>
        <v>FEFFFFFF</v>
      </c>
      <c r="L741" s="2">
        <f t="shared" si="45"/>
        <v>0</v>
      </c>
      <c r="M741" s="2">
        <f t="shared" si="46"/>
        <v>0</v>
      </c>
      <c r="N741" s="2">
        <f t="shared" si="47"/>
        <v>0</v>
      </c>
      <c r="O741" s="2" cm="1">
        <f t="array" ref="O741">_xlfn.IFS(M741&lt;Data!$F$3,0,M741&lt;Data!$F$4,1,TRUE,2)</f>
        <v>0</v>
      </c>
      <c r="P741" s="2" cm="1">
        <f t="array" ref="P741">_xlfn.IFS(H741,3,N741&lt;Data!$F$3,0,N741&lt;Data!$F$4,1,TRUE,2)</f>
        <v>0</v>
      </c>
    </row>
    <row r="742" spans="4:16">
      <c r="G742" s="2" t="str" cm="1">
        <f t="array" ref="G742">_xlfn.CONCAT(IFERROR(I742:K742,""))</f>
        <v>02000000FEFFFFFF</v>
      </c>
      <c r="I742" s="2" t="e">
        <f>_xlfn.LET(_xlpm.big,DEC2HEX(_xlfn.BITLSHIFT(M742-_xlfn.XLOOKUP(O742,Data!A:A,Data!F:F),4)+O742,8),_xlfn.CONCAT(MID(_xlpm.big,7,2),MID(_xlpm.big,5,2),MID(_xlpm.big,3,2),MID(_xlpm.big,1,2)))</f>
        <v>#NUM!</v>
      </c>
      <c r="J742" s="2" t="str">
        <f t="shared" si="44"/>
        <v>02000000</v>
      </c>
      <c r="K742" s="2" t="str">
        <f>_xlfn.LET(_xlpm.big,IF(H742,DEC2HEX(HEX2DEC(F742),8),DEC2HEX(N742-_xlfn.XLOOKUP(P742,Data!A:A,Data!F:F),8)),_xlfn.CONCAT(MID(_xlpm.big,7,2),MID(_xlpm.big,5,2),MID(_xlpm.big,3,2),MID(_xlpm.big,1,2)))</f>
        <v>FEFFFFFF</v>
      </c>
      <c r="L742" s="2">
        <f t="shared" si="45"/>
        <v>0</v>
      </c>
      <c r="M742" s="2">
        <f t="shared" si="46"/>
        <v>0</v>
      </c>
      <c r="N742" s="2">
        <f t="shared" si="47"/>
        <v>0</v>
      </c>
      <c r="O742" s="2" cm="1">
        <f t="array" ref="O742">_xlfn.IFS(M742&lt;Data!$F$3,0,M742&lt;Data!$F$4,1,TRUE,2)</f>
        <v>0</v>
      </c>
      <c r="P742" s="2" cm="1">
        <f t="array" ref="P742">_xlfn.IFS(H742,3,N742&lt;Data!$F$3,0,N742&lt;Data!$F$4,1,TRUE,2)</f>
        <v>0</v>
      </c>
    </row>
    <row r="743" spans="4:16">
      <c r="G743" s="2" t="str" cm="1">
        <f t="array" ref="G743">_xlfn.CONCAT(IFERROR(I743:K743,""))</f>
        <v>02000000FEFFFFFF</v>
      </c>
      <c r="I743" s="2" t="e">
        <f>_xlfn.LET(_xlpm.big,DEC2HEX(_xlfn.BITLSHIFT(M743-_xlfn.XLOOKUP(O743,Data!A:A,Data!F:F),4)+O743,8),_xlfn.CONCAT(MID(_xlpm.big,7,2),MID(_xlpm.big,5,2),MID(_xlpm.big,3,2),MID(_xlpm.big,1,2)))</f>
        <v>#NUM!</v>
      </c>
      <c r="J743" s="2" t="str">
        <f t="shared" si="44"/>
        <v>02000000</v>
      </c>
      <c r="K743" s="2" t="str">
        <f>_xlfn.LET(_xlpm.big,IF(H743,DEC2HEX(HEX2DEC(F743),8),DEC2HEX(N743-_xlfn.XLOOKUP(P743,Data!A:A,Data!F:F),8)),_xlfn.CONCAT(MID(_xlpm.big,7,2),MID(_xlpm.big,5,2),MID(_xlpm.big,3,2),MID(_xlpm.big,1,2)))</f>
        <v>FEFFFFFF</v>
      </c>
      <c r="L743" s="2">
        <f t="shared" si="45"/>
        <v>0</v>
      </c>
      <c r="M743" s="2">
        <f t="shared" si="46"/>
        <v>0</v>
      </c>
      <c r="N743" s="2">
        <f t="shared" si="47"/>
        <v>0</v>
      </c>
      <c r="O743" s="2" cm="1">
        <f t="array" ref="O743">_xlfn.IFS(M743&lt;Data!$F$3,0,M743&lt;Data!$F$4,1,TRUE,2)</f>
        <v>0</v>
      </c>
      <c r="P743" s="2" cm="1">
        <f t="array" ref="P743">_xlfn.IFS(H743,3,N743&lt;Data!$F$3,0,N743&lt;Data!$F$4,1,TRUE,2)</f>
        <v>0</v>
      </c>
    </row>
    <row r="744" spans="4:16">
      <c r="D744" s="3"/>
      <c r="E744" s="3"/>
      <c r="G744" s="2" t="str" cm="1">
        <f t="array" ref="G744">_xlfn.CONCAT(IFERROR(I744:K744,""))</f>
        <v>02000000FEFFFFFF</v>
      </c>
      <c r="I744" s="2" t="e">
        <f>_xlfn.LET(_xlpm.big,DEC2HEX(_xlfn.BITLSHIFT(M744-_xlfn.XLOOKUP(O744,Data!A:A,Data!F:F),4)+O744,8),_xlfn.CONCAT(MID(_xlpm.big,7,2),MID(_xlpm.big,5,2),MID(_xlpm.big,3,2),MID(_xlpm.big,1,2)))</f>
        <v>#NUM!</v>
      </c>
      <c r="J744" s="2" t="str">
        <f t="shared" si="44"/>
        <v>02000000</v>
      </c>
      <c r="K744" s="2" t="str">
        <f>_xlfn.LET(_xlpm.big,IF(H744,DEC2HEX(HEX2DEC(F744),8),DEC2HEX(N744-_xlfn.XLOOKUP(P744,Data!A:A,Data!F:F),8)),_xlfn.CONCAT(MID(_xlpm.big,7,2),MID(_xlpm.big,5,2),MID(_xlpm.big,3,2),MID(_xlpm.big,1,2)))</f>
        <v>FEFFFFFF</v>
      </c>
      <c r="L744" s="2">
        <f t="shared" si="45"/>
        <v>0</v>
      </c>
      <c r="M744" s="2">
        <f t="shared" si="46"/>
        <v>0</v>
      </c>
      <c r="N744" s="2">
        <f t="shared" si="47"/>
        <v>0</v>
      </c>
      <c r="O744" s="2" cm="1">
        <f t="array" ref="O744">_xlfn.IFS(M744&lt;Data!$F$3,0,M744&lt;Data!$F$4,1,TRUE,2)</f>
        <v>0</v>
      </c>
      <c r="P744" s="2" cm="1">
        <f t="array" ref="P744">_xlfn.IFS(H744,3,N744&lt;Data!$F$3,0,N744&lt;Data!$F$4,1,TRUE,2)</f>
        <v>0</v>
      </c>
    </row>
    <row r="745" spans="4:16">
      <c r="D745" s="3"/>
      <c r="E745" s="3"/>
      <c r="G745" s="2" t="str" cm="1">
        <f t="array" ref="G745">_xlfn.CONCAT(IFERROR(I745:K745,""))</f>
        <v>02000000FEFFFFFF</v>
      </c>
      <c r="I745" s="2" t="e">
        <f>_xlfn.LET(_xlpm.big,DEC2HEX(_xlfn.BITLSHIFT(M745-_xlfn.XLOOKUP(O745,Data!A:A,Data!F:F),4)+O745,8),_xlfn.CONCAT(MID(_xlpm.big,7,2),MID(_xlpm.big,5,2),MID(_xlpm.big,3,2),MID(_xlpm.big,1,2)))</f>
        <v>#NUM!</v>
      </c>
      <c r="J745" s="2" t="str">
        <f t="shared" si="44"/>
        <v>02000000</v>
      </c>
      <c r="K745" s="2" t="str">
        <f>_xlfn.LET(_xlpm.big,IF(H745,DEC2HEX(HEX2DEC(F745),8),DEC2HEX(N745-_xlfn.XLOOKUP(P745,Data!A:A,Data!F:F),8)),_xlfn.CONCAT(MID(_xlpm.big,7,2),MID(_xlpm.big,5,2),MID(_xlpm.big,3,2),MID(_xlpm.big,1,2)))</f>
        <v>FEFFFFFF</v>
      </c>
      <c r="L745" s="2">
        <f t="shared" si="45"/>
        <v>0</v>
      </c>
      <c r="M745" s="2">
        <f t="shared" si="46"/>
        <v>0</v>
      </c>
      <c r="N745" s="2">
        <f t="shared" si="47"/>
        <v>0</v>
      </c>
      <c r="O745" s="2" cm="1">
        <f t="array" ref="O745">_xlfn.IFS(M745&lt;Data!$F$3,0,M745&lt;Data!$F$4,1,TRUE,2)</f>
        <v>0</v>
      </c>
      <c r="P745" s="2" cm="1">
        <f t="array" ref="P745">_xlfn.IFS(H745,3,N745&lt;Data!$F$3,0,N745&lt;Data!$F$4,1,TRUE,2)</f>
        <v>0</v>
      </c>
    </row>
    <row r="746" spans="4:16">
      <c r="D746" s="3"/>
      <c r="E746" s="3"/>
      <c r="G746" s="2" t="str" cm="1">
        <f t="array" ref="G746">_xlfn.CONCAT(IFERROR(I746:K746,""))</f>
        <v>02000000FEFFFFFF</v>
      </c>
      <c r="I746" s="2" t="e">
        <f>_xlfn.LET(_xlpm.big,DEC2HEX(_xlfn.BITLSHIFT(M746-_xlfn.XLOOKUP(O746,Data!A:A,Data!F:F),4)+O746,8),_xlfn.CONCAT(MID(_xlpm.big,7,2),MID(_xlpm.big,5,2),MID(_xlpm.big,3,2),MID(_xlpm.big,1,2)))</f>
        <v>#NUM!</v>
      </c>
      <c r="J746" s="2" t="str">
        <f t="shared" si="44"/>
        <v>02000000</v>
      </c>
      <c r="K746" s="2" t="str">
        <f>_xlfn.LET(_xlpm.big,IF(H746,DEC2HEX(HEX2DEC(F746),8),DEC2HEX(N746-_xlfn.XLOOKUP(P746,Data!A:A,Data!F:F),8)),_xlfn.CONCAT(MID(_xlpm.big,7,2),MID(_xlpm.big,5,2),MID(_xlpm.big,3,2),MID(_xlpm.big,1,2)))</f>
        <v>FEFFFFFF</v>
      </c>
      <c r="L746" s="2">
        <f t="shared" si="45"/>
        <v>0</v>
      </c>
      <c r="M746" s="2">
        <f t="shared" si="46"/>
        <v>0</v>
      </c>
      <c r="N746" s="2">
        <f t="shared" si="47"/>
        <v>0</v>
      </c>
      <c r="O746" s="2" cm="1">
        <f t="array" ref="O746">_xlfn.IFS(M746&lt;Data!$F$3,0,M746&lt;Data!$F$4,1,TRUE,2)</f>
        <v>0</v>
      </c>
      <c r="P746" s="2" cm="1">
        <f t="array" ref="P746">_xlfn.IFS(H746,3,N746&lt;Data!$F$3,0,N746&lt;Data!$F$4,1,TRUE,2)</f>
        <v>0</v>
      </c>
    </row>
    <row r="747" spans="4:16">
      <c r="G747" s="2" t="str" cm="1">
        <f t="array" ref="G747">_xlfn.CONCAT(IFERROR(I747:K747,""))</f>
        <v>02000000FEFFFFFF</v>
      </c>
      <c r="I747" s="2" t="e">
        <f>_xlfn.LET(_xlpm.big,DEC2HEX(_xlfn.BITLSHIFT(M747-_xlfn.XLOOKUP(O747,Data!A:A,Data!F:F),4)+O747,8),_xlfn.CONCAT(MID(_xlpm.big,7,2),MID(_xlpm.big,5,2),MID(_xlpm.big,3,2),MID(_xlpm.big,1,2)))</f>
        <v>#NUM!</v>
      </c>
      <c r="J747" s="2" t="str">
        <f t="shared" si="44"/>
        <v>02000000</v>
      </c>
      <c r="K747" s="2" t="str">
        <f>_xlfn.LET(_xlpm.big,IF(H747,DEC2HEX(HEX2DEC(F747),8),DEC2HEX(N747-_xlfn.XLOOKUP(P747,Data!A:A,Data!F:F),8)),_xlfn.CONCAT(MID(_xlpm.big,7,2),MID(_xlpm.big,5,2),MID(_xlpm.big,3,2),MID(_xlpm.big,1,2)))</f>
        <v>FEFFFFFF</v>
      </c>
      <c r="L747" s="2">
        <f t="shared" si="45"/>
        <v>0</v>
      </c>
      <c r="M747" s="2">
        <f t="shared" si="46"/>
        <v>0</v>
      </c>
      <c r="N747" s="2">
        <f t="shared" si="47"/>
        <v>0</v>
      </c>
      <c r="O747" s="2" cm="1">
        <f t="array" ref="O747">_xlfn.IFS(M747&lt;Data!$F$3,0,M747&lt;Data!$F$4,1,TRUE,2)</f>
        <v>0</v>
      </c>
      <c r="P747" s="2" cm="1">
        <f t="array" ref="P747">_xlfn.IFS(H747,3,N747&lt;Data!$F$3,0,N747&lt;Data!$F$4,1,TRUE,2)</f>
        <v>0</v>
      </c>
    </row>
    <row r="748" spans="4:16">
      <c r="G748" s="2" t="str" cm="1">
        <f t="array" ref="G748">_xlfn.CONCAT(IFERROR(I748:K748,""))</f>
        <v>02000000FEFFFFFF</v>
      </c>
      <c r="I748" s="2" t="e">
        <f>_xlfn.LET(_xlpm.big,DEC2HEX(_xlfn.BITLSHIFT(M748-_xlfn.XLOOKUP(O748,Data!A:A,Data!F:F),4)+O748,8),_xlfn.CONCAT(MID(_xlpm.big,7,2),MID(_xlpm.big,5,2),MID(_xlpm.big,3,2),MID(_xlpm.big,1,2)))</f>
        <v>#NUM!</v>
      </c>
      <c r="J748" s="2" t="str">
        <f t="shared" si="44"/>
        <v>02000000</v>
      </c>
      <c r="K748" s="2" t="str">
        <f>_xlfn.LET(_xlpm.big,IF(H748,DEC2HEX(HEX2DEC(F748),8),DEC2HEX(N748-_xlfn.XLOOKUP(P748,Data!A:A,Data!F:F),8)),_xlfn.CONCAT(MID(_xlpm.big,7,2),MID(_xlpm.big,5,2),MID(_xlpm.big,3,2),MID(_xlpm.big,1,2)))</f>
        <v>FEFFFFFF</v>
      </c>
      <c r="L748" s="2">
        <f t="shared" si="45"/>
        <v>0</v>
      </c>
      <c r="M748" s="2">
        <f t="shared" si="46"/>
        <v>0</v>
      </c>
      <c r="N748" s="2">
        <f t="shared" si="47"/>
        <v>0</v>
      </c>
      <c r="O748" s="2" cm="1">
        <f t="array" ref="O748">_xlfn.IFS(M748&lt;Data!$F$3,0,M748&lt;Data!$F$4,1,TRUE,2)</f>
        <v>0</v>
      </c>
      <c r="P748" s="2" cm="1">
        <f t="array" ref="P748">_xlfn.IFS(H748,3,N748&lt;Data!$F$3,0,N748&lt;Data!$F$4,1,TRUE,2)</f>
        <v>0</v>
      </c>
    </row>
    <row r="749" spans="4:16">
      <c r="G749" s="2" t="str" cm="1">
        <f t="array" ref="G749">_xlfn.CONCAT(IFERROR(I749:K749,""))</f>
        <v>02000000FEFFFFFF</v>
      </c>
      <c r="I749" s="2" t="e">
        <f>_xlfn.LET(_xlpm.big,DEC2HEX(_xlfn.BITLSHIFT(M749-_xlfn.XLOOKUP(O749,Data!A:A,Data!F:F),4)+O749,8),_xlfn.CONCAT(MID(_xlpm.big,7,2),MID(_xlpm.big,5,2),MID(_xlpm.big,3,2),MID(_xlpm.big,1,2)))</f>
        <v>#NUM!</v>
      </c>
      <c r="J749" s="2" t="str">
        <f t="shared" si="44"/>
        <v>02000000</v>
      </c>
      <c r="K749" s="2" t="str">
        <f>_xlfn.LET(_xlpm.big,IF(H749,DEC2HEX(HEX2DEC(F749),8),DEC2HEX(N749-_xlfn.XLOOKUP(P749,Data!A:A,Data!F:F),8)),_xlfn.CONCAT(MID(_xlpm.big,7,2),MID(_xlpm.big,5,2),MID(_xlpm.big,3,2),MID(_xlpm.big,1,2)))</f>
        <v>FEFFFFFF</v>
      </c>
      <c r="L749" s="2">
        <f t="shared" si="45"/>
        <v>0</v>
      </c>
      <c r="M749" s="2">
        <f t="shared" si="46"/>
        <v>0</v>
      </c>
      <c r="N749" s="2">
        <f t="shared" si="47"/>
        <v>0</v>
      </c>
      <c r="O749" s="2" cm="1">
        <f t="array" ref="O749">_xlfn.IFS(M749&lt;Data!$F$3,0,M749&lt;Data!$F$4,1,TRUE,2)</f>
        <v>0</v>
      </c>
      <c r="P749" s="2" cm="1">
        <f t="array" ref="P749">_xlfn.IFS(H749,3,N749&lt;Data!$F$3,0,N749&lt;Data!$F$4,1,TRUE,2)</f>
        <v>0</v>
      </c>
    </row>
    <row r="750" spans="4:16">
      <c r="G750" s="2" t="str" cm="1">
        <f t="array" ref="G750">_xlfn.CONCAT(IFERROR(I750:K750,""))</f>
        <v>02000000FEFFFFFF</v>
      </c>
      <c r="I750" s="2" t="e">
        <f>_xlfn.LET(_xlpm.big,DEC2HEX(_xlfn.BITLSHIFT(M750-_xlfn.XLOOKUP(O750,Data!A:A,Data!F:F),4)+O750,8),_xlfn.CONCAT(MID(_xlpm.big,7,2),MID(_xlpm.big,5,2),MID(_xlpm.big,3,2),MID(_xlpm.big,1,2)))</f>
        <v>#NUM!</v>
      </c>
      <c r="J750" s="2" t="str">
        <f t="shared" si="44"/>
        <v>02000000</v>
      </c>
      <c r="K750" s="2" t="str">
        <f>_xlfn.LET(_xlpm.big,IF(H750,DEC2HEX(HEX2DEC(F750),8),DEC2HEX(N750-_xlfn.XLOOKUP(P750,Data!A:A,Data!F:F),8)),_xlfn.CONCAT(MID(_xlpm.big,7,2),MID(_xlpm.big,5,2),MID(_xlpm.big,3,2),MID(_xlpm.big,1,2)))</f>
        <v>FEFFFFFF</v>
      </c>
      <c r="L750" s="2">
        <f t="shared" si="45"/>
        <v>0</v>
      </c>
      <c r="M750" s="2">
        <f t="shared" si="46"/>
        <v>0</v>
      </c>
      <c r="N750" s="2">
        <f t="shared" si="47"/>
        <v>0</v>
      </c>
      <c r="O750" s="2" cm="1">
        <f t="array" ref="O750">_xlfn.IFS(M750&lt;Data!$F$3,0,M750&lt;Data!$F$4,1,TRUE,2)</f>
        <v>0</v>
      </c>
      <c r="P750" s="2" cm="1">
        <f t="array" ref="P750">_xlfn.IFS(H750,3,N750&lt;Data!$F$3,0,N750&lt;Data!$F$4,1,TRUE,2)</f>
        <v>0</v>
      </c>
    </row>
    <row r="751" spans="4:16">
      <c r="G751" s="2" t="str" cm="1">
        <f t="array" ref="G751">_xlfn.CONCAT(IFERROR(I751:K751,""))</f>
        <v>02000000FEFFFFFF</v>
      </c>
      <c r="I751" s="2" t="e">
        <f>_xlfn.LET(_xlpm.big,DEC2HEX(_xlfn.BITLSHIFT(M751-_xlfn.XLOOKUP(O751,Data!A:A,Data!F:F),4)+O751,8),_xlfn.CONCAT(MID(_xlpm.big,7,2),MID(_xlpm.big,5,2),MID(_xlpm.big,3,2),MID(_xlpm.big,1,2)))</f>
        <v>#NUM!</v>
      </c>
      <c r="J751" s="2" t="str">
        <f t="shared" si="44"/>
        <v>02000000</v>
      </c>
      <c r="K751" s="2" t="str">
        <f>_xlfn.LET(_xlpm.big,IF(H751,DEC2HEX(HEX2DEC(F751),8),DEC2HEX(N751-_xlfn.XLOOKUP(P751,Data!A:A,Data!F:F),8)),_xlfn.CONCAT(MID(_xlpm.big,7,2),MID(_xlpm.big,5,2),MID(_xlpm.big,3,2),MID(_xlpm.big,1,2)))</f>
        <v>FEFFFFFF</v>
      </c>
      <c r="L751" s="2">
        <f t="shared" si="45"/>
        <v>0</v>
      </c>
      <c r="M751" s="2">
        <f t="shared" si="46"/>
        <v>0</v>
      </c>
      <c r="N751" s="2">
        <f t="shared" si="47"/>
        <v>0</v>
      </c>
      <c r="O751" s="2" cm="1">
        <f t="array" ref="O751">_xlfn.IFS(M751&lt;Data!$F$3,0,M751&lt;Data!$F$4,1,TRUE,2)</f>
        <v>0</v>
      </c>
      <c r="P751" s="2" cm="1">
        <f t="array" ref="P751">_xlfn.IFS(H751,3,N751&lt;Data!$F$3,0,N751&lt;Data!$F$4,1,TRUE,2)</f>
        <v>0</v>
      </c>
    </row>
    <row r="752" spans="4:16">
      <c r="E752" s="16"/>
      <c r="G752" s="2" t="str" cm="1">
        <f t="array" ref="G752">_xlfn.CONCAT(IFERROR(I752:K752,""))</f>
        <v>02000000FEFFFFFF</v>
      </c>
      <c r="I752" s="2" t="e">
        <f>_xlfn.LET(_xlpm.big,DEC2HEX(_xlfn.BITLSHIFT(M752-_xlfn.XLOOKUP(O752,Data!A:A,Data!F:F),4)+O752,8),_xlfn.CONCAT(MID(_xlpm.big,7,2),MID(_xlpm.big,5,2),MID(_xlpm.big,3,2),MID(_xlpm.big,1,2)))</f>
        <v>#NUM!</v>
      </c>
      <c r="J752" s="2" t="str">
        <f t="shared" si="44"/>
        <v>02000000</v>
      </c>
      <c r="K752" s="2" t="str">
        <f>_xlfn.LET(_xlpm.big,IF(H752,DEC2HEX(HEX2DEC(F752),8),DEC2HEX(N752-_xlfn.XLOOKUP(P752,Data!A:A,Data!F:F),8)),_xlfn.CONCAT(MID(_xlpm.big,7,2),MID(_xlpm.big,5,2),MID(_xlpm.big,3,2),MID(_xlpm.big,1,2)))</f>
        <v>FEFFFFFF</v>
      </c>
      <c r="L752" s="2">
        <f t="shared" si="45"/>
        <v>0</v>
      </c>
      <c r="M752" s="2">
        <f t="shared" si="46"/>
        <v>0</v>
      </c>
      <c r="N752" s="2">
        <f t="shared" si="47"/>
        <v>0</v>
      </c>
      <c r="O752" s="2" cm="1">
        <f t="array" ref="O752">_xlfn.IFS(M752&lt;Data!$F$3,0,M752&lt;Data!$F$4,1,TRUE,2)</f>
        <v>0</v>
      </c>
      <c r="P752" s="2" cm="1">
        <f t="array" ref="P752">_xlfn.IFS(H752,3,N752&lt;Data!$F$3,0,N752&lt;Data!$F$4,1,TRUE,2)</f>
        <v>0</v>
      </c>
    </row>
    <row r="753" spans="4:16">
      <c r="E753" s="16"/>
      <c r="G753" s="2" t="str" cm="1">
        <f t="array" ref="G753">_xlfn.CONCAT(IFERROR(I753:K753,""))</f>
        <v>02000000FEFFFFFF</v>
      </c>
      <c r="I753" s="2" t="e">
        <f>_xlfn.LET(_xlpm.big,DEC2HEX(_xlfn.BITLSHIFT(M753-_xlfn.XLOOKUP(O753,Data!A:A,Data!F:F),4)+O753,8),_xlfn.CONCAT(MID(_xlpm.big,7,2),MID(_xlpm.big,5,2),MID(_xlpm.big,3,2),MID(_xlpm.big,1,2)))</f>
        <v>#NUM!</v>
      </c>
      <c r="J753" s="2" t="str">
        <f t="shared" si="44"/>
        <v>02000000</v>
      </c>
      <c r="K753" s="2" t="str">
        <f>_xlfn.LET(_xlpm.big,IF(H753,DEC2HEX(HEX2DEC(F753),8),DEC2HEX(N753-_xlfn.XLOOKUP(P753,Data!A:A,Data!F:F),8)),_xlfn.CONCAT(MID(_xlpm.big,7,2),MID(_xlpm.big,5,2),MID(_xlpm.big,3,2),MID(_xlpm.big,1,2)))</f>
        <v>FEFFFFFF</v>
      </c>
      <c r="L753" s="2">
        <f t="shared" si="45"/>
        <v>0</v>
      </c>
      <c r="M753" s="2">
        <f t="shared" si="46"/>
        <v>0</v>
      </c>
      <c r="N753" s="2">
        <f t="shared" si="47"/>
        <v>0</v>
      </c>
      <c r="O753" s="2" cm="1">
        <f t="array" ref="O753">_xlfn.IFS(M753&lt;Data!$F$3,0,M753&lt;Data!$F$4,1,TRUE,2)</f>
        <v>0</v>
      </c>
      <c r="P753" s="2" cm="1">
        <f t="array" ref="P753">_xlfn.IFS(H753,3,N753&lt;Data!$F$3,0,N753&lt;Data!$F$4,1,TRUE,2)</f>
        <v>0</v>
      </c>
    </row>
    <row r="754" spans="4:16">
      <c r="E754" s="16"/>
      <c r="G754" s="2" t="str" cm="1">
        <f t="array" ref="G754">_xlfn.CONCAT(IFERROR(I754:K754,""))</f>
        <v>02000000FEFFFFFF</v>
      </c>
      <c r="I754" s="2" t="e">
        <f>_xlfn.LET(_xlpm.big,DEC2HEX(_xlfn.BITLSHIFT(M754-_xlfn.XLOOKUP(O754,Data!A:A,Data!F:F),4)+O754,8),_xlfn.CONCAT(MID(_xlpm.big,7,2),MID(_xlpm.big,5,2),MID(_xlpm.big,3,2),MID(_xlpm.big,1,2)))</f>
        <v>#NUM!</v>
      </c>
      <c r="J754" s="2" t="str">
        <f t="shared" si="44"/>
        <v>02000000</v>
      </c>
      <c r="K754" s="2" t="str">
        <f>_xlfn.LET(_xlpm.big,IF(H754,DEC2HEX(HEX2DEC(F754),8),DEC2HEX(N754-_xlfn.XLOOKUP(P754,Data!A:A,Data!F:F),8)),_xlfn.CONCAT(MID(_xlpm.big,7,2),MID(_xlpm.big,5,2),MID(_xlpm.big,3,2),MID(_xlpm.big,1,2)))</f>
        <v>FEFFFFFF</v>
      </c>
      <c r="L754" s="2">
        <f t="shared" si="45"/>
        <v>0</v>
      </c>
      <c r="M754" s="2">
        <f t="shared" si="46"/>
        <v>0</v>
      </c>
      <c r="N754" s="2">
        <f t="shared" si="47"/>
        <v>0</v>
      </c>
      <c r="O754" s="2" cm="1">
        <f t="array" ref="O754">_xlfn.IFS(M754&lt;Data!$F$3,0,M754&lt;Data!$F$4,1,TRUE,2)</f>
        <v>0</v>
      </c>
      <c r="P754" s="2" cm="1">
        <f t="array" ref="P754">_xlfn.IFS(H754,3,N754&lt;Data!$F$3,0,N754&lt;Data!$F$4,1,TRUE,2)</f>
        <v>0</v>
      </c>
    </row>
    <row r="755" spans="4:16">
      <c r="E755" s="16"/>
      <c r="G755" s="2" t="str" cm="1">
        <f t="array" ref="G755">_xlfn.CONCAT(IFERROR(I755:K755,""))</f>
        <v>02000000FEFFFFFF</v>
      </c>
      <c r="I755" s="2" t="e">
        <f>_xlfn.LET(_xlpm.big,DEC2HEX(_xlfn.BITLSHIFT(M755-_xlfn.XLOOKUP(O755,Data!A:A,Data!F:F),4)+O755,8),_xlfn.CONCAT(MID(_xlpm.big,7,2),MID(_xlpm.big,5,2),MID(_xlpm.big,3,2),MID(_xlpm.big,1,2)))</f>
        <v>#NUM!</v>
      </c>
      <c r="J755" s="2" t="str">
        <f t="shared" si="44"/>
        <v>02000000</v>
      </c>
      <c r="K755" s="2" t="str">
        <f>_xlfn.LET(_xlpm.big,IF(H755,DEC2HEX(HEX2DEC(F755),8),DEC2HEX(N755-_xlfn.XLOOKUP(P755,Data!A:A,Data!F:F),8)),_xlfn.CONCAT(MID(_xlpm.big,7,2),MID(_xlpm.big,5,2),MID(_xlpm.big,3,2),MID(_xlpm.big,1,2)))</f>
        <v>FEFFFFFF</v>
      </c>
      <c r="L755" s="2">
        <f t="shared" si="45"/>
        <v>0</v>
      </c>
      <c r="M755" s="2">
        <f t="shared" si="46"/>
        <v>0</v>
      </c>
      <c r="N755" s="2">
        <f t="shared" si="47"/>
        <v>0</v>
      </c>
      <c r="O755" s="2" cm="1">
        <f t="array" ref="O755">_xlfn.IFS(M755&lt;Data!$F$3,0,M755&lt;Data!$F$4,1,TRUE,2)</f>
        <v>0</v>
      </c>
      <c r="P755" s="2" cm="1">
        <f t="array" ref="P755">_xlfn.IFS(H755,3,N755&lt;Data!$F$3,0,N755&lt;Data!$F$4,1,TRUE,2)</f>
        <v>0</v>
      </c>
    </row>
    <row r="756" spans="4:16">
      <c r="E756" s="16"/>
      <c r="G756" s="2" t="str" cm="1">
        <f t="array" ref="G756">_xlfn.CONCAT(IFERROR(I756:K756,""))</f>
        <v>02000000FEFFFFFF</v>
      </c>
      <c r="I756" s="2" t="e">
        <f>_xlfn.LET(_xlpm.big,DEC2HEX(_xlfn.BITLSHIFT(M756-_xlfn.XLOOKUP(O756,Data!A:A,Data!F:F),4)+O756,8),_xlfn.CONCAT(MID(_xlpm.big,7,2),MID(_xlpm.big,5,2),MID(_xlpm.big,3,2),MID(_xlpm.big,1,2)))</f>
        <v>#NUM!</v>
      </c>
      <c r="J756" s="2" t="str">
        <f t="shared" si="44"/>
        <v>02000000</v>
      </c>
      <c r="K756" s="2" t="str">
        <f>_xlfn.LET(_xlpm.big,IF(H756,DEC2HEX(HEX2DEC(F756),8),DEC2HEX(N756-_xlfn.XLOOKUP(P756,Data!A:A,Data!F:F),8)),_xlfn.CONCAT(MID(_xlpm.big,7,2),MID(_xlpm.big,5,2),MID(_xlpm.big,3,2),MID(_xlpm.big,1,2)))</f>
        <v>FEFFFFFF</v>
      </c>
      <c r="L756" s="2">
        <f t="shared" si="45"/>
        <v>0</v>
      </c>
      <c r="M756" s="2">
        <f t="shared" si="46"/>
        <v>0</v>
      </c>
      <c r="N756" s="2">
        <f t="shared" si="47"/>
        <v>0</v>
      </c>
      <c r="O756" s="2" cm="1">
        <f t="array" ref="O756">_xlfn.IFS(M756&lt;Data!$F$3,0,M756&lt;Data!$F$4,1,TRUE,2)</f>
        <v>0</v>
      </c>
      <c r="P756" s="2" cm="1">
        <f t="array" ref="P756">_xlfn.IFS(H756,3,N756&lt;Data!$F$3,0,N756&lt;Data!$F$4,1,TRUE,2)</f>
        <v>0</v>
      </c>
    </row>
    <row r="757" spans="4:16">
      <c r="E757" s="16"/>
      <c r="G757" s="2" t="str" cm="1">
        <f t="array" ref="G757">_xlfn.CONCAT(IFERROR(I757:K757,""))</f>
        <v>02000000FEFFFFFF</v>
      </c>
      <c r="I757" s="2" t="e">
        <f>_xlfn.LET(_xlpm.big,DEC2HEX(_xlfn.BITLSHIFT(M757-_xlfn.XLOOKUP(O757,Data!A:A,Data!F:F),4)+O757,8),_xlfn.CONCAT(MID(_xlpm.big,7,2),MID(_xlpm.big,5,2),MID(_xlpm.big,3,2),MID(_xlpm.big,1,2)))</f>
        <v>#NUM!</v>
      </c>
      <c r="J757" s="2" t="str">
        <f t="shared" si="44"/>
        <v>02000000</v>
      </c>
      <c r="K757" s="2" t="str">
        <f>_xlfn.LET(_xlpm.big,IF(H757,DEC2HEX(HEX2DEC(F757),8),DEC2HEX(N757-_xlfn.XLOOKUP(P757,Data!A:A,Data!F:F),8)),_xlfn.CONCAT(MID(_xlpm.big,7,2),MID(_xlpm.big,5,2),MID(_xlpm.big,3,2),MID(_xlpm.big,1,2)))</f>
        <v>FEFFFFFF</v>
      </c>
      <c r="L757" s="2">
        <f t="shared" si="45"/>
        <v>0</v>
      </c>
      <c r="M757" s="2">
        <f t="shared" si="46"/>
        <v>0</v>
      </c>
      <c r="N757" s="2">
        <f t="shared" si="47"/>
        <v>0</v>
      </c>
      <c r="O757" s="2" cm="1">
        <f t="array" ref="O757">_xlfn.IFS(M757&lt;Data!$F$3,0,M757&lt;Data!$F$4,1,TRUE,2)</f>
        <v>0</v>
      </c>
      <c r="P757" s="2" cm="1">
        <f t="array" ref="P757">_xlfn.IFS(H757,3,N757&lt;Data!$F$3,0,N757&lt;Data!$F$4,1,TRUE,2)</f>
        <v>0</v>
      </c>
    </row>
    <row r="758" spans="4:16">
      <c r="E758" s="16"/>
      <c r="G758" s="2" t="str" cm="1">
        <f t="array" ref="G758">_xlfn.CONCAT(IFERROR(I758:K758,""))</f>
        <v>02000000FEFFFFFF</v>
      </c>
      <c r="I758" s="2" t="e">
        <f>_xlfn.LET(_xlpm.big,DEC2HEX(_xlfn.BITLSHIFT(M758-_xlfn.XLOOKUP(O758,Data!A:A,Data!F:F),4)+O758,8),_xlfn.CONCAT(MID(_xlpm.big,7,2),MID(_xlpm.big,5,2),MID(_xlpm.big,3,2),MID(_xlpm.big,1,2)))</f>
        <v>#NUM!</v>
      </c>
      <c r="J758" s="2" t="str">
        <f t="shared" si="44"/>
        <v>02000000</v>
      </c>
      <c r="K758" s="2" t="str">
        <f>_xlfn.LET(_xlpm.big,IF(H758,DEC2HEX(HEX2DEC(F758),8),DEC2HEX(N758-_xlfn.XLOOKUP(P758,Data!A:A,Data!F:F),8)),_xlfn.CONCAT(MID(_xlpm.big,7,2),MID(_xlpm.big,5,2),MID(_xlpm.big,3,2),MID(_xlpm.big,1,2)))</f>
        <v>FEFFFFFF</v>
      </c>
      <c r="L758" s="2">
        <f t="shared" si="45"/>
        <v>0</v>
      </c>
      <c r="M758" s="2">
        <f t="shared" si="46"/>
        <v>0</v>
      </c>
      <c r="N758" s="2">
        <f t="shared" si="47"/>
        <v>0</v>
      </c>
      <c r="O758" s="2" cm="1">
        <f t="array" ref="O758">_xlfn.IFS(M758&lt;Data!$F$3,0,M758&lt;Data!$F$4,1,TRUE,2)</f>
        <v>0</v>
      </c>
      <c r="P758" s="2" cm="1">
        <f t="array" ref="P758">_xlfn.IFS(H758,3,N758&lt;Data!$F$3,0,N758&lt;Data!$F$4,1,TRUE,2)</f>
        <v>0</v>
      </c>
    </row>
    <row r="759" spans="4:16">
      <c r="E759" s="16"/>
      <c r="G759" s="2" t="str" cm="1">
        <f t="array" ref="G759">_xlfn.CONCAT(IFERROR(I759:K759,""))</f>
        <v>02000000FEFFFFFF</v>
      </c>
      <c r="I759" s="2" t="e">
        <f>_xlfn.LET(_xlpm.big,DEC2HEX(_xlfn.BITLSHIFT(M759-_xlfn.XLOOKUP(O759,Data!A:A,Data!F:F),4)+O759,8),_xlfn.CONCAT(MID(_xlpm.big,7,2),MID(_xlpm.big,5,2),MID(_xlpm.big,3,2),MID(_xlpm.big,1,2)))</f>
        <v>#NUM!</v>
      </c>
      <c r="J759" s="2" t="str">
        <f t="shared" si="44"/>
        <v>02000000</v>
      </c>
      <c r="K759" s="2" t="str">
        <f>_xlfn.LET(_xlpm.big,IF(H759,DEC2HEX(HEX2DEC(F759),8),DEC2HEX(N759-_xlfn.XLOOKUP(P759,Data!A:A,Data!F:F),8)),_xlfn.CONCAT(MID(_xlpm.big,7,2),MID(_xlpm.big,5,2),MID(_xlpm.big,3,2),MID(_xlpm.big,1,2)))</f>
        <v>FEFFFFFF</v>
      </c>
      <c r="L759" s="2">
        <f t="shared" si="45"/>
        <v>0</v>
      </c>
      <c r="M759" s="2">
        <f t="shared" si="46"/>
        <v>0</v>
      </c>
      <c r="N759" s="2">
        <f t="shared" si="47"/>
        <v>0</v>
      </c>
      <c r="O759" s="2" cm="1">
        <f t="array" ref="O759">_xlfn.IFS(M759&lt;Data!$F$3,0,M759&lt;Data!$F$4,1,TRUE,2)</f>
        <v>0</v>
      </c>
      <c r="P759" s="2" cm="1">
        <f t="array" ref="P759">_xlfn.IFS(H759,3,N759&lt;Data!$F$3,0,N759&lt;Data!$F$4,1,TRUE,2)</f>
        <v>0</v>
      </c>
    </row>
    <row r="760" spans="4:16">
      <c r="E760" s="16"/>
      <c r="G760" s="2" t="str" cm="1">
        <f t="array" ref="G760">_xlfn.CONCAT(IFERROR(I760:K760,""))</f>
        <v>02000000FEFFFFFF</v>
      </c>
      <c r="I760" s="2" t="e">
        <f>_xlfn.LET(_xlpm.big,DEC2HEX(_xlfn.BITLSHIFT(M760-_xlfn.XLOOKUP(O760,Data!A:A,Data!F:F),4)+O760,8),_xlfn.CONCAT(MID(_xlpm.big,7,2),MID(_xlpm.big,5,2),MID(_xlpm.big,3,2),MID(_xlpm.big,1,2)))</f>
        <v>#NUM!</v>
      </c>
      <c r="J760" s="2" t="str">
        <f t="shared" si="44"/>
        <v>02000000</v>
      </c>
      <c r="K760" s="2" t="str">
        <f>_xlfn.LET(_xlpm.big,IF(H760,DEC2HEX(HEX2DEC(F760),8),DEC2HEX(N760-_xlfn.XLOOKUP(P760,Data!A:A,Data!F:F),8)),_xlfn.CONCAT(MID(_xlpm.big,7,2),MID(_xlpm.big,5,2),MID(_xlpm.big,3,2),MID(_xlpm.big,1,2)))</f>
        <v>FEFFFFFF</v>
      </c>
      <c r="L760" s="2">
        <f t="shared" si="45"/>
        <v>0</v>
      </c>
      <c r="M760" s="2">
        <f t="shared" si="46"/>
        <v>0</v>
      </c>
      <c r="N760" s="2">
        <f t="shared" si="47"/>
        <v>0</v>
      </c>
      <c r="O760" s="2" cm="1">
        <f t="array" ref="O760">_xlfn.IFS(M760&lt;Data!$F$3,0,M760&lt;Data!$F$4,1,TRUE,2)</f>
        <v>0</v>
      </c>
      <c r="P760" s="2" cm="1">
        <f t="array" ref="P760">_xlfn.IFS(H760,3,N760&lt;Data!$F$3,0,N760&lt;Data!$F$4,1,TRUE,2)</f>
        <v>0</v>
      </c>
    </row>
    <row r="761" spans="4:16">
      <c r="G761" s="2" t="str" cm="1">
        <f t="array" ref="G761">_xlfn.CONCAT(IFERROR(I761:K761,""))</f>
        <v>0203000000000000</v>
      </c>
      <c r="H761" s="2" t="b">
        <v>1</v>
      </c>
      <c r="I761" s="2" t="e">
        <f>_xlfn.LET(_xlpm.big,DEC2HEX(_xlfn.BITLSHIFT(M761-_xlfn.XLOOKUP(O761,Data!A:A,Data!F:F),4)+O761,8),_xlfn.CONCAT(MID(_xlpm.big,7,2),MID(_xlpm.big,5,2),MID(_xlpm.big,3,2),MID(_xlpm.big,1,2)))</f>
        <v>#NUM!</v>
      </c>
      <c r="J761" s="2" t="str">
        <f t="shared" si="44"/>
        <v>02030000</v>
      </c>
      <c r="K761" s="2" t="str">
        <f>_xlfn.LET(_xlpm.big,IF(H761,DEC2HEX(HEX2DEC(F761),8),DEC2HEX(N761-_xlfn.XLOOKUP(P761,Data!A:A,Data!F:F),8)),_xlfn.CONCAT(MID(_xlpm.big,7,2),MID(_xlpm.big,5,2),MID(_xlpm.big,3,2),MID(_xlpm.big,1,2)))</f>
        <v>00000000</v>
      </c>
      <c r="L761" s="2">
        <f t="shared" si="45"/>
        <v>0</v>
      </c>
      <c r="M761" s="2">
        <f t="shared" si="46"/>
        <v>0</v>
      </c>
      <c r="N761" s="2">
        <f t="shared" si="47"/>
        <v>0</v>
      </c>
      <c r="O761" s="2" cm="1">
        <f t="array" ref="O761">_xlfn.IFS(M761&lt;Data!$F$3,0,M761&lt;Data!$F$4,1,TRUE,2)</f>
        <v>0</v>
      </c>
      <c r="P761" s="2" cm="1">
        <f t="array" ref="P761">_xlfn.IFS(H761,3,N761&lt;Data!$F$3,0,N761&lt;Data!$F$4,1,TRUE,2)</f>
        <v>3</v>
      </c>
    </row>
    <row r="762" spans="4:16">
      <c r="D762" s="3"/>
      <c r="E762" s="3"/>
      <c r="G762" s="2" t="str" cm="1">
        <f t="array" ref="G762">_xlfn.CONCAT(IFERROR(I762:K762,""))</f>
        <v>02000000FEFFFFFF</v>
      </c>
      <c r="I762" s="2" t="e">
        <f>_xlfn.LET(_xlpm.big,DEC2HEX(_xlfn.BITLSHIFT(M762-_xlfn.XLOOKUP(O762,Data!A:A,Data!F:F),4)+O762,8),_xlfn.CONCAT(MID(_xlpm.big,7,2),MID(_xlpm.big,5,2),MID(_xlpm.big,3,2),MID(_xlpm.big,1,2)))</f>
        <v>#NUM!</v>
      </c>
      <c r="J762" s="2" t="str">
        <f t="shared" si="44"/>
        <v>02000000</v>
      </c>
      <c r="K762" s="2" t="str">
        <f>_xlfn.LET(_xlpm.big,IF(H762,DEC2HEX(HEX2DEC(F762),8),DEC2HEX(N762-_xlfn.XLOOKUP(P762,Data!A:A,Data!F:F),8)),_xlfn.CONCAT(MID(_xlpm.big,7,2),MID(_xlpm.big,5,2),MID(_xlpm.big,3,2),MID(_xlpm.big,1,2)))</f>
        <v>FEFFFFFF</v>
      </c>
      <c r="L762" s="2">
        <f t="shared" si="45"/>
        <v>0</v>
      </c>
      <c r="M762" s="2">
        <f t="shared" si="46"/>
        <v>0</v>
      </c>
      <c r="N762" s="2">
        <f t="shared" si="47"/>
        <v>0</v>
      </c>
      <c r="O762" s="2" cm="1">
        <f t="array" ref="O762">_xlfn.IFS(M762&lt;Data!$F$3,0,M762&lt;Data!$F$4,1,TRUE,2)</f>
        <v>0</v>
      </c>
      <c r="P762" s="2" cm="1">
        <f t="array" ref="P762">_xlfn.IFS(H762,3,N762&lt;Data!$F$3,0,N762&lt;Data!$F$4,1,TRUE,2)</f>
        <v>0</v>
      </c>
    </row>
    <row r="763" spans="4:16">
      <c r="E763" s="16"/>
      <c r="G763" s="2" t="str" cm="1">
        <f t="array" ref="G763">_xlfn.CONCAT(IFERROR(I763:K763,""))</f>
        <v>02000000FEFFFFFF</v>
      </c>
      <c r="I763" s="2" t="e">
        <f>_xlfn.LET(_xlpm.big,DEC2HEX(_xlfn.BITLSHIFT(M763-_xlfn.XLOOKUP(O763,Data!A:A,Data!F:F),4)+O763,8),_xlfn.CONCAT(MID(_xlpm.big,7,2),MID(_xlpm.big,5,2),MID(_xlpm.big,3,2),MID(_xlpm.big,1,2)))</f>
        <v>#NUM!</v>
      </c>
      <c r="J763" s="2" t="str">
        <f t="shared" si="44"/>
        <v>02000000</v>
      </c>
      <c r="K763" s="2" t="str">
        <f>_xlfn.LET(_xlpm.big,IF(H763,DEC2HEX(HEX2DEC(F763),8),DEC2HEX(N763-_xlfn.XLOOKUP(P763,Data!A:A,Data!F:F),8)),_xlfn.CONCAT(MID(_xlpm.big,7,2),MID(_xlpm.big,5,2),MID(_xlpm.big,3,2),MID(_xlpm.big,1,2)))</f>
        <v>FEFFFFFF</v>
      </c>
      <c r="L763" s="2">
        <f t="shared" si="45"/>
        <v>0</v>
      </c>
      <c r="M763" s="2">
        <f t="shared" si="46"/>
        <v>0</v>
      </c>
      <c r="N763" s="2">
        <f t="shared" si="47"/>
        <v>0</v>
      </c>
      <c r="O763" s="2" cm="1">
        <f t="array" ref="O763">_xlfn.IFS(M763&lt;Data!$F$3,0,M763&lt;Data!$F$4,1,TRUE,2)</f>
        <v>0</v>
      </c>
      <c r="P763" s="2" cm="1">
        <f t="array" ref="P763">_xlfn.IFS(H763,3,N763&lt;Data!$F$3,0,N763&lt;Data!$F$4,1,TRUE,2)</f>
        <v>0</v>
      </c>
    </row>
    <row r="764" spans="4:16">
      <c r="E764" s="16"/>
      <c r="G764" s="2" t="str" cm="1">
        <f t="array" ref="G764">_xlfn.CONCAT(IFERROR(I764:K764,""))</f>
        <v>02000000FEFFFFFF</v>
      </c>
      <c r="I764" s="2" t="e">
        <f>_xlfn.LET(_xlpm.big,DEC2HEX(_xlfn.BITLSHIFT(M764-_xlfn.XLOOKUP(O764,Data!A:A,Data!F:F),4)+O764,8),_xlfn.CONCAT(MID(_xlpm.big,7,2),MID(_xlpm.big,5,2),MID(_xlpm.big,3,2),MID(_xlpm.big,1,2)))</f>
        <v>#NUM!</v>
      </c>
      <c r="J764" s="2" t="str">
        <f t="shared" si="44"/>
        <v>02000000</v>
      </c>
      <c r="K764" s="2" t="str">
        <f>_xlfn.LET(_xlpm.big,IF(H764,DEC2HEX(HEX2DEC(F764),8),DEC2HEX(N764-_xlfn.XLOOKUP(P764,Data!A:A,Data!F:F),8)),_xlfn.CONCAT(MID(_xlpm.big,7,2),MID(_xlpm.big,5,2),MID(_xlpm.big,3,2),MID(_xlpm.big,1,2)))</f>
        <v>FEFFFFFF</v>
      </c>
      <c r="L764" s="2">
        <f t="shared" si="45"/>
        <v>0</v>
      </c>
      <c r="M764" s="2">
        <f t="shared" si="46"/>
        <v>0</v>
      </c>
      <c r="N764" s="2">
        <f t="shared" si="47"/>
        <v>0</v>
      </c>
      <c r="O764" s="2" cm="1">
        <f t="array" ref="O764">_xlfn.IFS(M764&lt;Data!$F$3,0,M764&lt;Data!$F$4,1,TRUE,2)</f>
        <v>0</v>
      </c>
      <c r="P764" s="2" cm="1">
        <f t="array" ref="P764">_xlfn.IFS(H764,3,N764&lt;Data!$F$3,0,N764&lt;Data!$F$4,1,TRUE,2)</f>
        <v>0</v>
      </c>
    </row>
    <row r="765" spans="4:16">
      <c r="E765" s="16"/>
      <c r="G765" s="2" t="str" cm="1">
        <f t="array" ref="G765">_xlfn.CONCAT(IFERROR(I765:K765,""))</f>
        <v>02000000FEFFFFFF</v>
      </c>
      <c r="I765" s="2" t="e">
        <f>_xlfn.LET(_xlpm.big,DEC2HEX(_xlfn.BITLSHIFT(M765-_xlfn.XLOOKUP(O765,Data!A:A,Data!F:F),4)+O765,8),_xlfn.CONCAT(MID(_xlpm.big,7,2),MID(_xlpm.big,5,2),MID(_xlpm.big,3,2),MID(_xlpm.big,1,2)))</f>
        <v>#NUM!</v>
      </c>
      <c r="J765" s="2" t="str">
        <f t="shared" si="44"/>
        <v>02000000</v>
      </c>
      <c r="K765" s="2" t="str">
        <f>_xlfn.LET(_xlpm.big,IF(H765,DEC2HEX(HEX2DEC(F765),8),DEC2HEX(N765-_xlfn.XLOOKUP(P765,Data!A:A,Data!F:F),8)),_xlfn.CONCAT(MID(_xlpm.big,7,2),MID(_xlpm.big,5,2),MID(_xlpm.big,3,2),MID(_xlpm.big,1,2)))</f>
        <v>FEFFFFFF</v>
      </c>
      <c r="L765" s="2">
        <f t="shared" si="45"/>
        <v>0</v>
      </c>
      <c r="M765" s="2">
        <f t="shared" si="46"/>
        <v>0</v>
      </c>
      <c r="N765" s="2">
        <f t="shared" si="47"/>
        <v>0</v>
      </c>
      <c r="O765" s="2" cm="1">
        <f t="array" ref="O765">_xlfn.IFS(M765&lt;Data!$F$3,0,M765&lt;Data!$F$4,1,TRUE,2)</f>
        <v>0</v>
      </c>
      <c r="P765" s="2" cm="1">
        <f t="array" ref="P765">_xlfn.IFS(H765,3,N765&lt;Data!$F$3,0,N765&lt;Data!$F$4,1,TRUE,2)</f>
        <v>0</v>
      </c>
    </row>
    <row r="766" spans="4:16">
      <c r="E766" s="16"/>
      <c r="G766" s="2" t="str" cm="1">
        <f t="array" ref="G766">_xlfn.CONCAT(IFERROR(I766:K766,""))</f>
        <v>02000000FEFFFFFF</v>
      </c>
      <c r="I766" s="2" t="e">
        <f>_xlfn.LET(_xlpm.big,DEC2HEX(_xlfn.BITLSHIFT(M766-_xlfn.XLOOKUP(O766,Data!A:A,Data!F:F),4)+O766,8),_xlfn.CONCAT(MID(_xlpm.big,7,2),MID(_xlpm.big,5,2),MID(_xlpm.big,3,2),MID(_xlpm.big,1,2)))</f>
        <v>#NUM!</v>
      </c>
      <c r="J766" s="2" t="str">
        <f t="shared" si="44"/>
        <v>02000000</v>
      </c>
      <c r="K766" s="2" t="str">
        <f>_xlfn.LET(_xlpm.big,IF(H766,DEC2HEX(HEX2DEC(F766),8),DEC2HEX(N766-_xlfn.XLOOKUP(P766,Data!A:A,Data!F:F),8)),_xlfn.CONCAT(MID(_xlpm.big,7,2),MID(_xlpm.big,5,2),MID(_xlpm.big,3,2),MID(_xlpm.big,1,2)))</f>
        <v>FEFFFFFF</v>
      </c>
      <c r="L766" s="2">
        <f t="shared" si="45"/>
        <v>0</v>
      </c>
      <c r="M766" s="2">
        <f t="shared" si="46"/>
        <v>0</v>
      </c>
      <c r="N766" s="2">
        <f t="shared" si="47"/>
        <v>0</v>
      </c>
      <c r="O766" s="2" cm="1">
        <f t="array" ref="O766">_xlfn.IFS(M766&lt;Data!$F$3,0,M766&lt;Data!$F$4,1,TRUE,2)</f>
        <v>0</v>
      </c>
      <c r="P766" s="2" cm="1">
        <f t="array" ref="P766">_xlfn.IFS(H766,3,N766&lt;Data!$F$3,0,N766&lt;Data!$F$4,1,TRUE,2)</f>
        <v>0</v>
      </c>
    </row>
    <row r="767" spans="4:16">
      <c r="G767" s="2" t="str" cm="1">
        <f t="array" ref="G767">_xlfn.CONCAT(IFERROR(I767:K767,""))</f>
        <v>02000000FEFFFFFF</v>
      </c>
      <c r="I767" s="2" t="e">
        <f>_xlfn.LET(_xlpm.big,DEC2HEX(_xlfn.BITLSHIFT(M767-_xlfn.XLOOKUP(O767,Data!A:A,Data!F:F),4)+O767,8),_xlfn.CONCAT(MID(_xlpm.big,7,2),MID(_xlpm.big,5,2),MID(_xlpm.big,3,2),MID(_xlpm.big,1,2)))</f>
        <v>#NUM!</v>
      </c>
      <c r="J767" s="2" t="str">
        <f t="shared" si="44"/>
        <v>02000000</v>
      </c>
      <c r="K767" s="2" t="str">
        <f>_xlfn.LET(_xlpm.big,IF(H767,DEC2HEX(HEX2DEC(F767),8),DEC2HEX(N767-_xlfn.XLOOKUP(P767,Data!A:A,Data!F:F),8)),_xlfn.CONCAT(MID(_xlpm.big,7,2),MID(_xlpm.big,5,2),MID(_xlpm.big,3,2),MID(_xlpm.big,1,2)))</f>
        <v>FEFFFFFF</v>
      </c>
      <c r="L767" s="2">
        <f t="shared" si="45"/>
        <v>0</v>
      </c>
      <c r="M767" s="2">
        <f t="shared" si="46"/>
        <v>0</v>
      </c>
      <c r="N767" s="2">
        <f t="shared" si="47"/>
        <v>0</v>
      </c>
      <c r="O767" s="2" cm="1">
        <f t="array" ref="O767">_xlfn.IFS(M767&lt;Data!$F$3,0,M767&lt;Data!$F$4,1,TRUE,2)</f>
        <v>0</v>
      </c>
      <c r="P767" s="2" cm="1">
        <f t="array" ref="P767">_xlfn.IFS(H767,3,N767&lt;Data!$F$3,0,N767&lt;Data!$F$4,1,TRUE,2)</f>
        <v>0</v>
      </c>
    </row>
    <row r="768" spans="4:16">
      <c r="G768" s="2" t="str" cm="1">
        <f t="array" ref="G768">_xlfn.CONCAT(IFERROR(I768:K768,""))</f>
        <v>02000000FEFFFFFF</v>
      </c>
      <c r="I768" s="2" t="e">
        <f>_xlfn.LET(_xlpm.big,DEC2HEX(_xlfn.BITLSHIFT(M768-_xlfn.XLOOKUP(O768,Data!A:A,Data!F:F),4)+O768,8),_xlfn.CONCAT(MID(_xlpm.big,7,2),MID(_xlpm.big,5,2),MID(_xlpm.big,3,2),MID(_xlpm.big,1,2)))</f>
        <v>#NUM!</v>
      </c>
      <c r="J768" s="2" t="str">
        <f t="shared" si="44"/>
        <v>02000000</v>
      </c>
      <c r="K768" s="2" t="str">
        <f>_xlfn.LET(_xlpm.big,IF(H768,DEC2HEX(HEX2DEC(F768),8),DEC2HEX(N768-_xlfn.XLOOKUP(P768,Data!A:A,Data!F:F),8)),_xlfn.CONCAT(MID(_xlpm.big,7,2),MID(_xlpm.big,5,2),MID(_xlpm.big,3,2),MID(_xlpm.big,1,2)))</f>
        <v>FEFFFFFF</v>
      </c>
      <c r="L768" s="2">
        <f t="shared" si="45"/>
        <v>0</v>
      </c>
      <c r="M768" s="2">
        <f t="shared" si="46"/>
        <v>0</v>
      </c>
      <c r="N768" s="2">
        <f t="shared" si="47"/>
        <v>0</v>
      </c>
      <c r="O768" s="2" cm="1">
        <f t="array" ref="O768">_xlfn.IFS(M768&lt;Data!$F$3,0,M768&lt;Data!$F$4,1,TRUE,2)</f>
        <v>0</v>
      </c>
      <c r="P768" s="2" cm="1">
        <f t="array" ref="P768">_xlfn.IFS(H768,3,N768&lt;Data!$F$3,0,N768&lt;Data!$F$4,1,TRUE,2)</f>
        <v>0</v>
      </c>
    </row>
    <row r="769" spans="4:16">
      <c r="G769" s="2" t="str" cm="1">
        <f t="array" ref="G769">_xlfn.CONCAT(IFERROR(I769:K769,""))</f>
        <v>02000000FEFFFFFF</v>
      </c>
      <c r="I769" s="2" t="e">
        <f>_xlfn.LET(_xlpm.big,DEC2HEX(_xlfn.BITLSHIFT(M769-_xlfn.XLOOKUP(O769,Data!A:A,Data!F:F),4)+O769,8),_xlfn.CONCAT(MID(_xlpm.big,7,2),MID(_xlpm.big,5,2),MID(_xlpm.big,3,2),MID(_xlpm.big,1,2)))</f>
        <v>#NUM!</v>
      </c>
      <c r="J769" s="2" t="str">
        <f t="shared" si="44"/>
        <v>02000000</v>
      </c>
      <c r="K769" s="2" t="str">
        <f>_xlfn.LET(_xlpm.big,IF(H769,DEC2HEX(HEX2DEC(F769),8),DEC2HEX(N769-_xlfn.XLOOKUP(P769,Data!A:A,Data!F:F),8)),_xlfn.CONCAT(MID(_xlpm.big,7,2),MID(_xlpm.big,5,2),MID(_xlpm.big,3,2),MID(_xlpm.big,1,2)))</f>
        <v>FEFFFFFF</v>
      </c>
      <c r="L769" s="2">
        <f t="shared" si="45"/>
        <v>0</v>
      </c>
      <c r="M769" s="2">
        <f t="shared" si="46"/>
        <v>0</v>
      </c>
      <c r="N769" s="2">
        <f t="shared" si="47"/>
        <v>0</v>
      </c>
      <c r="O769" s="2" cm="1">
        <f t="array" ref="O769">_xlfn.IFS(M769&lt;Data!$F$3,0,M769&lt;Data!$F$4,1,TRUE,2)</f>
        <v>0</v>
      </c>
      <c r="P769" s="2" cm="1">
        <f t="array" ref="P769">_xlfn.IFS(H769,3,N769&lt;Data!$F$3,0,N769&lt;Data!$F$4,1,TRUE,2)</f>
        <v>0</v>
      </c>
    </row>
    <row r="770" spans="4:16">
      <c r="G770" s="2" t="str" cm="1">
        <f t="array" ref="G770">_xlfn.CONCAT(IFERROR(I770:K770,""))</f>
        <v>02000000FEFFFFFF</v>
      </c>
      <c r="I770" s="2" t="e">
        <f>_xlfn.LET(_xlpm.big,DEC2HEX(_xlfn.BITLSHIFT(M770-_xlfn.XLOOKUP(O770,Data!A:A,Data!F:F),4)+O770,8),_xlfn.CONCAT(MID(_xlpm.big,7,2),MID(_xlpm.big,5,2),MID(_xlpm.big,3,2),MID(_xlpm.big,1,2)))</f>
        <v>#NUM!</v>
      </c>
      <c r="J770" s="2" t="str">
        <f t="shared" ref="J770:J833" si="48">_xlfn.CONCAT("02",DEC2HEX(P770,2),"0000")</f>
        <v>02000000</v>
      </c>
      <c r="K770" s="2" t="str">
        <f>_xlfn.LET(_xlpm.big,IF(H770,DEC2HEX(HEX2DEC(F770),8),DEC2HEX(N770-_xlfn.XLOOKUP(P770,Data!A:A,Data!F:F),8)),_xlfn.CONCAT(MID(_xlpm.big,7,2),MID(_xlpm.big,5,2),MID(_xlpm.big,3,2),MID(_xlpm.big,1,2)))</f>
        <v>FEFFFFFF</v>
      </c>
      <c r="L770" s="2">
        <f t="shared" ref="L770:L833" si="49">HEX2DEC(D770)</f>
        <v>0</v>
      </c>
      <c r="M770" s="2">
        <f t="shared" ref="M770:M833" si="50">HEX2DEC(E770)</f>
        <v>0</v>
      </c>
      <c r="N770" s="2">
        <f t="shared" ref="N770:N833" si="51">HEX2DEC(F770)</f>
        <v>0</v>
      </c>
      <c r="O770" s="2" cm="1">
        <f t="array" ref="O770">_xlfn.IFS(M770&lt;Data!$F$3,0,M770&lt;Data!$F$4,1,TRUE,2)</f>
        <v>0</v>
      </c>
      <c r="P770" s="2" cm="1">
        <f t="array" ref="P770">_xlfn.IFS(H770,3,N770&lt;Data!$F$3,0,N770&lt;Data!$F$4,1,TRUE,2)</f>
        <v>0</v>
      </c>
    </row>
    <row r="771" spans="4:16">
      <c r="G771" s="2" t="str" cm="1">
        <f t="array" ref="G771">_xlfn.CONCAT(IFERROR(I771:K771,""))</f>
        <v>02000000FEFFFFFF</v>
      </c>
      <c r="I771" s="2" t="e">
        <f>_xlfn.LET(_xlpm.big,DEC2HEX(_xlfn.BITLSHIFT(M771-_xlfn.XLOOKUP(O771,Data!A:A,Data!F:F),4)+O771,8),_xlfn.CONCAT(MID(_xlpm.big,7,2),MID(_xlpm.big,5,2),MID(_xlpm.big,3,2),MID(_xlpm.big,1,2)))</f>
        <v>#NUM!</v>
      </c>
      <c r="J771" s="2" t="str">
        <f t="shared" si="48"/>
        <v>02000000</v>
      </c>
      <c r="K771" s="2" t="str">
        <f>_xlfn.LET(_xlpm.big,IF(H771,DEC2HEX(HEX2DEC(F771),8),DEC2HEX(N771-_xlfn.XLOOKUP(P771,Data!A:A,Data!F:F),8)),_xlfn.CONCAT(MID(_xlpm.big,7,2),MID(_xlpm.big,5,2),MID(_xlpm.big,3,2),MID(_xlpm.big,1,2)))</f>
        <v>FEFFFFFF</v>
      </c>
      <c r="L771" s="2">
        <f t="shared" si="49"/>
        <v>0</v>
      </c>
      <c r="M771" s="2">
        <f t="shared" si="50"/>
        <v>0</v>
      </c>
      <c r="N771" s="2">
        <f t="shared" si="51"/>
        <v>0</v>
      </c>
      <c r="O771" s="2" cm="1">
        <f t="array" ref="O771">_xlfn.IFS(M771&lt;Data!$F$3,0,M771&lt;Data!$F$4,1,TRUE,2)</f>
        <v>0</v>
      </c>
      <c r="P771" s="2" cm="1">
        <f t="array" ref="P771">_xlfn.IFS(H771,3,N771&lt;Data!$F$3,0,N771&lt;Data!$F$4,1,TRUE,2)</f>
        <v>0</v>
      </c>
    </row>
    <row r="772" spans="4:16">
      <c r="D772" s="3"/>
      <c r="E772" s="3"/>
      <c r="G772" s="2" t="str" cm="1">
        <f t="array" ref="G772">_xlfn.CONCAT(IFERROR(I772:K772,""))</f>
        <v>02000000FEFFFFFF</v>
      </c>
      <c r="I772" s="2" t="e">
        <f>_xlfn.LET(_xlpm.big,DEC2HEX(_xlfn.BITLSHIFT(M772-_xlfn.XLOOKUP(O772,Data!A:A,Data!F:F),4)+O772,8),_xlfn.CONCAT(MID(_xlpm.big,7,2),MID(_xlpm.big,5,2),MID(_xlpm.big,3,2),MID(_xlpm.big,1,2)))</f>
        <v>#NUM!</v>
      </c>
      <c r="J772" s="2" t="str">
        <f t="shared" si="48"/>
        <v>02000000</v>
      </c>
      <c r="K772" s="2" t="str">
        <f>_xlfn.LET(_xlpm.big,IF(H772,DEC2HEX(HEX2DEC(F772),8),DEC2HEX(N772-_xlfn.XLOOKUP(P772,Data!A:A,Data!F:F),8)),_xlfn.CONCAT(MID(_xlpm.big,7,2),MID(_xlpm.big,5,2),MID(_xlpm.big,3,2),MID(_xlpm.big,1,2)))</f>
        <v>FEFFFFFF</v>
      </c>
      <c r="L772" s="2">
        <f t="shared" si="49"/>
        <v>0</v>
      </c>
      <c r="M772" s="2">
        <f t="shared" si="50"/>
        <v>0</v>
      </c>
      <c r="N772" s="2">
        <f t="shared" si="51"/>
        <v>0</v>
      </c>
      <c r="O772" s="2" cm="1">
        <f t="array" ref="O772">_xlfn.IFS(M772&lt;Data!$F$3,0,M772&lt;Data!$F$4,1,TRUE,2)</f>
        <v>0</v>
      </c>
      <c r="P772" s="2" cm="1">
        <f t="array" ref="P772">_xlfn.IFS(H772,3,N772&lt;Data!$F$3,0,N772&lt;Data!$F$4,1,TRUE,2)</f>
        <v>0</v>
      </c>
    </row>
    <row r="773" spans="4:16">
      <c r="D773" s="3"/>
      <c r="E773" s="3"/>
      <c r="G773" s="2" t="str" cm="1">
        <f t="array" ref="G773">_xlfn.CONCAT(IFERROR(I773:K773,""))</f>
        <v>02000000FEFFFFFF</v>
      </c>
      <c r="I773" s="2" t="e">
        <f>_xlfn.LET(_xlpm.big,DEC2HEX(_xlfn.BITLSHIFT(M773-_xlfn.XLOOKUP(O773,Data!A:A,Data!F:F),4)+O773,8),_xlfn.CONCAT(MID(_xlpm.big,7,2),MID(_xlpm.big,5,2),MID(_xlpm.big,3,2),MID(_xlpm.big,1,2)))</f>
        <v>#NUM!</v>
      </c>
      <c r="J773" s="2" t="str">
        <f t="shared" si="48"/>
        <v>02000000</v>
      </c>
      <c r="K773" s="2" t="str">
        <f>_xlfn.LET(_xlpm.big,IF(H773,DEC2HEX(HEX2DEC(F773),8),DEC2HEX(N773-_xlfn.XLOOKUP(P773,Data!A:A,Data!F:F),8)),_xlfn.CONCAT(MID(_xlpm.big,7,2),MID(_xlpm.big,5,2),MID(_xlpm.big,3,2),MID(_xlpm.big,1,2)))</f>
        <v>FEFFFFFF</v>
      </c>
      <c r="L773" s="2">
        <f t="shared" si="49"/>
        <v>0</v>
      </c>
      <c r="M773" s="2">
        <f t="shared" si="50"/>
        <v>0</v>
      </c>
      <c r="N773" s="2">
        <f t="shared" si="51"/>
        <v>0</v>
      </c>
      <c r="O773" s="2" cm="1">
        <f t="array" ref="O773">_xlfn.IFS(M773&lt;Data!$F$3,0,M773&lt;Data!$F$4,1,TRUE,2)</f>
        <v>0</v>
      </c>
      <c r="P773" s="2" cm="1">
        <f t="array" ref="P773">_xlfn.IFS(H773,3,N773&lt;Data!$F$3,0,N773&lt;Data!$F$4,1,TRUE,2)</f>
        <v>0</v>
      </c>
    </row>
    <row r="774" spans="4:16">
      <c r="G774" s="2" t="str" cm="1">
        <f t="array" ref="G774">_xlfn.CONCAT(IFERROR(I774:K774,""))</f>
        <v>02000000FEFFFFFF</v>
      </c>
      <c r="I774" s="2" t="e">
        <f>_xlfn.LET(_xlpm.big,DEC2HEX(_xlfn.BITLSHIFT(M774-_xlfn.XLOOKUP(O774,Data!A:A,Data!F:F),4)+O774,8),_xlfn.CONCAT(MID(_xlpm.big,7,2),MID(_xlpm.big,5,2),MID(_xlpm.big,3,2),MID(_xlpm.big,1,2)))</f>
        <v>#NUM!</v>
      </c>
      <c r="J774" s="2" t="str">
        <f t="shared" si="48"/>
        <v>02000000</v>
      </c>
      <c r="K774" s="2" t="str">
        <f>_xlfn.LET(_xlpm.big,IF(H774,DEC2HEX(HEX2DEC(F774),8),DEC2HEX(N774-_xlfn.XLOOKUP(P774,Data!A:A,Data!F:F),8)),_xlfn.CONCAT(MID(_xlpm.big,7,2),MID(_xlpm.big,5,2),MID(_xlpm.big,3,2),MID(_xlpm.big,1,2)))</f>
        <v>FEFFFFFF</v>
      </c>
      <c r="L774" s="2">
        <f t="shared" si="49"/>
        <v>0</v>
      </c>
      <c r="M774" s="2">
        <f t="shared" si="50"/>
        <v>0</v>
      </c>
      <c r="N774" s="2">
        <f t="shared" si="51"/>
        <v>0</v>
      </c>
      <c r="O774" s="2" cm="1">
        <f t="array" ref="O774">_xlfn.IFS(M774&lt;Data!$F$3,0,M774&lt;Data!$F$4,1,TRUE,2)</f>
        <v>0</v>
      </c>
      <c r="P774" s="2" cm="1">
        <f t="array" ref="P774">_xlfn.IFS(H774,3,N774&lt;Data!$F$3,0,N774&lt;Data!$F$4,1,TRUE,2)</f>
        <v>0</v>
      </c>
    </row>
    <row r="775" spans="4:16">
      <c r="G775" s="2" t="str" cm="1">
        <f t="array" ref="G775">_xlfn.CONCAT(IFERROR(I775:K775,""))</f>
        <v>02000000FEFFFFFF</v>
      </c>
      <c r="I775" s="2" t="e">
        <f>_xlfn.LET(_xlpm.big,DEC2HEX(_xlfn.BITLSHIFT(M775-_xlfn.XLOOKUP(O775,Data!A:A,Data!F:F),4)+O775,8),_xlfn.CONCAT(MID(_xlpm.big,7,2),MID(_xlpm.big,5,2),MID(_xlpm.big,3,2),MID(_xlpm.big,1,2)))</f>
        <v>#NUM!</v>
      </c>
      <c r="J775" s="2" t="str">
        <f t="shared" si="48"/>
        <v>02000000</v>
      </c>
      <c r="K775" s="2" t="str">
        <f>_xlfn.LET(_xlpm.big,IF(H775,DEC2HEX(HEX2DEC(F775),8),DEC2HEX(N775-_xlfn.XLOOKUP(P775,Data!A:A,Data!F:F),8)),_xlfn.CONCAT(MID(_xlpm.big,7,2),MID(_xlpm.big,5,2),MID(_xlpm.big,3,2),MID(_xlpm.big,1,2)))</f>
        <v>FEFFFFFF</v>
      </c>
      <c r="L775" s="2">
        <f t="shared" si="49"/>
        <v>0</v>
      </c>
      <c r="M775" s="2">
        <f t="shared" si="50"/>
        <v>0</v>
      </c>
      <c r="N775" s="2">
        <f t="shared" si="51"/>
        <v>0</v>
      </c>
      <c r="O775" s="2" cm="1">
        <f t="array" ref="O775">_xlfn.IFS(M775&lt;Data!$F$3,0,M775&lt;Data!$F$4,1,TRUE,2)</f>
        <v>0</v>
      </c>
      <c r="P775" s="2" cm="1">
        <f t="array" ref="P775">_xlfn.IFS(H775,3,N775&lt;Data!$F$3,0,N775&lt;Data!$F$4,1,TRUE,2)</f>
        <v>0</v>
      </c>
    </row>
    <row r="776" spans="4:16">
      <c r="E776" s="16"/>
      <c r="G776" s="2" t="str" cm="1">
        <f t="array" ref="G776">_xlfn.CONCAT(IFERROR(I776:K776,""))</f>
        <v>02000000FEFFFFFF</v>
      </c>
      <c r="I776" s="2" t="e">
        <f>_xlfn.LET(_xlpm.big,DEC2HEX(_xlfn.BITLSHIFT(M776-_xlfn.XLOOKUP(O776,Data!A:A,Data!F:F),4)+O776,8),_xlfn.CONCAT(MID(_xlpm.big,7,2),MID(_xlpm.big,5,2),MID(_xlpm.big,3,2),MID(_xlpm.big,1,2)))</f>
        <v>#NUM!</v>
      </c>
      <c r="J776" s="2" t="str">
        <f t="shared" si="48"/>
        <v>02000000</v>
      </c>
      <c r="K776" s="2" t="str">
        <f>_xlfn.LET(_xlpm.big,IF(H776,DEC2HEX(HEX2DEC(F776),8),DEC2HEX(N776-_xlfn.XLOOKUP(P776,Data!A:A,Data!F:F),8)),_xlfn.CONCAT(MID(_xlpm.big,7,2),MID(_xlpm.big,5,2),MID(_xlpm.big,3,2),MID(_xlpm.big,1,2)))</f>
        <v>FEFFFFFF</v>
      </c>
      <c r="L776" s="2">
        <f t="shared" si="49"/>
        <v>0</v>
      </c>
      <c r="M776" s="2">
        <f t="shared" si="50"/>
        <v>0</v>
      </c>
      <c r="N776" s="2">
        <f t="shared" si="51"/>
        <v>0</v>
      </c>
      <c r="O776" s="2" cm="1">
        <f t="array" ref="O776">_xlfn.IFS(M776&lt;Data!$F$3,0,M776&lt;Data!$F$4,1,TRUE,2)</f>
        <v>0</v>
      </c>
      <c r="P776" s="2" cm="1">
        <f t="array" ref="P776">_xlfn.IFS(H776,3,N776&lt;Data!$F$3,0,N776&lt;Data!$F$4,1,TRUE,2)</f>
        <v>0</v>
      </c>
    </row>
    <row r="777" spans="4:16">
      <c r="E777" s="16"/>
      <c r="G777" s="2" t="str" cm="1">
        <f t="array" ref="G777">_xlfn.CONCAT(IFERROR(I777:K777,""))</f>
        <v>02000000FEFFFFFF</v>
      </c>
      <c r="I777" s="2" t="e">
        <f>_xlfn.LET(_xlpm.big,DEC2HEX(_xlfn.BITLSHIFT(M777-_xlfn.XLOOKUP(O777,Data!A:A,Data!F:F),4)+O777,8),_xlfn.CONCAT(MID(_xlpm.big,7,2),MID(_xlpm.big,5,2),MID(_xlpm.big,3,2),MID(_xlpm.big,1,2)))</f>
        <v>#NUM!</v>
      </c>
      <c r="J777" s="2" t="str">
        <f t="shared" si="48"/>
        <v>02000000</v>
      </c>
      <c r="K777" s="2" t="str">
        <f>_xlfn.LET(_xlpm.big,IF(H777,DEC2HEX(HEX2DEC(F777),8),DEC2HEX(N777-_xlfn.XLOOKUP(P777,Data!A:A,Data!F:F),8)),_xlfn.CONCAT(MID(_xlpm.big,7,2),MID(_xlpm.big,5,2),MID(_xlpm.big,3,2),MID(_xlpm.big,1,2)))</f>
        <v>FEFFFFFF</v>
      </c>
      <c r="L777" s="2">
        <f t="shared" si="49"/>
        <v>0</v>
      </c>
      <c r="M777" s="2">
        <f t="shared" si="50"/>
        <v>0</v>
      </c>
      <c r="N777" s="2">
        <f t="shared" si="51"/>
        <v>0</v>
      </c>
      <c r="O777" s="2" cm="1">
        <f t="array" ref="O777">_xlfn.IFS(M777&lt;Data!$F$3,0,M777&lt;Data!$F$4,1,TRUE,2)</f>
        <v>0</v>
      </c>
      <c r="P777" s="2" cm="1">
        <f t="array" ref="P777">_xlfn.IFS(H777,3,N777&lt;Data!$F$3,0,N777&lt;Data!$F$4,1,TRUE,2)</f>
        <v>0</v>
      </c>
    </row>
    <row r="778" spans="4:16">
      <c r="E778" s="16"/>
      <c r="G778" s="2" t="str" cm="1">
        <f t="array" ref="G778">_xlfn.CONCAT(IFERROR(I778:K778,""))</f>
        <v>02000000FEFFFFFF</v>
      </c>
      <c r="I778" s="2" t="e">
        <f>_xlfn.LET(_xlpm.big,DEC2HEX(_xlfn.BITLSHIFT(M778-_xlfn.XLOOKUP(O778,Data!A:A,Data!F:F),4)+O778,8),_xlfn.CONCAT(MID(_xlpm.big,7,2),MID(_xlpm.big,5,2),MID(_xlpm.big,3,2),MID(_xlpm.big,1,2)))</f>
        <v>#NUM!</v>
      </c>
      <c r="J778" s="2" t="str">
        <f t="shared" si="48"/>
        <v>02000000</v>
      </c>
      <c r="K778" s="2" t="str">
        <f>_xlfn.LET(_xlpm.big,IF(H778,DEC2HEX(HEX2DEC(F778),8),DEC2HEX(N778-_xlfn.XLOOKUP(P778,Data!A:A,Data!F:F),8)),_xlfn.CONCAT(MID(_xlpm.big,7,2),MID(_xlpm.big,5,2),MID(_xlpm.big,3,2),MID(_xlpm.big,1,2)))</f>
        <v>FEFFFFFF</v>
      </c>
      <c r="L778" s="2">
        <f t="shared" si="49"/>
        <v>0</v>
      </c>
      <c r="M778" s="2">
        <f t="shared" si="50"/>
        <v>0</v>
      </c>
      <c r="N778" s="2">
        <f t="shared" si="51"/>
        <v>0</v>
      </c>
      <c r="O778" s="2" cm="1">
        <f t="array" ref="O778">_xlfn.IFS(M778&lt;Data!$F$3,0,M778&lt;Data!$F$4,1,TRUE,2)</f>
        <v>0</v>
      </c>
      <c r="P778" s="2" cm="1">
        <f t="array" ref="P778">_xlfn.IFS(H778,3,N778&lt;Data!$F$3,0,N778&lt;Data!$F$4,1,TRUE,2)</f>
        <v>0</v>
      </c>
    </row>
    <row r="779" spans="4:16">
      <c r="E779" s="16"/>
      <c r="G779" s="2" t="str" cm="1">
        <f t="array" ref="G779">_xlfn.CONCAT(IFERROR(I779:K779,""))</f>
        <v>02000000FEFFFFFF</v>
      </c>
      <c r="I779" s="2" t="e">
        <f>_xlfn.LET(_xlpm.big,DEC2HEX(_xlfn.BITLSHIFT(M779-_xlfn.XLOOKUP(O779,Data!A:A,Data!F:F),4)+O779,8),_xlfn.CONCAT(MID(_xlpm.big,7,2),MID(_xlpm.big,5,2),MID(_xlpm.big,3,2),MID(_xlpm.big,1,2)))</f>
        <v>#NUM!</v>
      </c>
      <c r="J779" s="2" t="str">
        <f t="shared" si="48"/>
        <v>02000000</v>
      </c>
      <c r="K779" s="2" t="str">
        <f>_xlfn.LET(_xlpm.big,IF(H779,DEC2HEX(HEX2DEC(F779),8),DEC2HEX(N779-_xlfn.XLOOKUP(P779,Data!A:A,Data!F:F),8)),_xlfn.CONCAT(MID(_xlpm.big,7,2),MID(_xlpm.big,5,2),MID(_xlpm.big,3,2),MID(_xlpm.big,1,2)))</f>
        <v>FEFFFFFF</v>
      </c>
      <c r="L779" s="2">
        <f t="shared" si="49"/>
        <v>0</v>
      </c>
      <c r="M779" s="2">
        <f t="shared" si="50"/>
        <v>0</v>
      </c>
      <c r="N779" s="2">
        <f t="shared" si="51"/>
        <v>0</v>
      </c>
      <c r="O779" s="2" cm="1">
        <f t="array" ref="O779">_xlfn.IFS(M779&lt;Data!$F$3,0,M779&lt;Data!$F$4,1,TRUE,2)</f>
        <v>0</v>
      </c>
      <c r="P779" s="2" cm="1">
        <f t="array" ref="P779">_xlfn.IFS(H779,3,N779&lt;Data!$F$3,0,N779&lt;Data!$F$4,1,TRUE,2)</f>
        <v>0</v>
      </c>
    </row>
    <row r="780" spans="4:16">
      <c r="G780" s="2" t="str" cm="1">
        <f t="array" ref="G780">_xlfn.CONCAT(IFERROR(I780:K780,""))</f>
        <v>0203000000000000</v>
      </c>
      <c r="H780" s="2" t="b">
        <v>1</v>
      </c>
      <c r="I780" s="2" t="e">
        <f>_xlfn.LET(_xlpm.big,DEC2HEX(_xlfn.BITLSHIFT(M780-_xlfn.XLOOKUP(O780,Data!A:A,Data!F:F),4)+O780,8),_xlfn.CONCAT(MID(_xlpm.big,7,2),MID(_xlpm.big,5,2),MID(_xlpm.big,3,2),MID(_xlpm.big,1,2)))</f>
        <v>#NUM!</v>
      </c>
      <c r="J780" s="2" t="str">
        <f t="shared" si="48"/>
        <v>02030000</v>
      </c>
      <c r="K780" s="2" t="str">
        <f>_xlfn.LET(_xlpm.big,IF(H780,DEC2HEX(HEX2DEC(F780),8),DEC2HEX(N780-_xlfn.XLOOKUP(P780,Data!A:A,Data!F:F),8)),_xlfn.CONCAT(MID(_xlpm.big,7,2),MID(_xlpm.big,5,2),MID(_xlpm.big,3,2),MID(_xlpm.big,1,2)))</f>
        <v>00000000</v>
      </c>
      <c r="L780" s="2">
        <f t="shared" si="49"/>
        <v>0</v>
      </c>
      <c r="M780" s="2">
        <f t="shared" si="50"/>
        <v>0</v>
      </c>
      <c r="N780" s="2">
        <f t="shared" si="51"/>
        <v>0</v>
      </c>
      <c r="O780" s="2" cm="1">
        <f t="array" ref="O780">_xlfn.IFS(M780&lt;Data!$F$3,0,M780&lt;Data!$F$4,1,TRUE,2)</f>
        <v>0</v>
      </c>
      <c r="P780" s="2" cm="1">
        <f t="array" ref="P780">_xlfn.IFS(H780,3,N780&lt;Data!$F$3,0,N780&lt;Data!$F$4,1,TRUE,2)</f>
        <v>3</v>
      </c>
    </row>
    <row r="781" spans="4:16">
      <c r="E781" s="16"/>
      <c r="G781" s="2" t="str" cm="1">
        <f t="array" ref="G781">_xlfn.CONCAT(IFERROR(I781:K781,""))</f>
        <v>02000000FEFFFFFF</v>
      </c>
      <c r="I781" s="2" t="e">
        <f>_xlfn.LET(_xlpm.big,DEC2HEX(_xlfn.BITLSHIFT(M781-_xlfn.XLOOKUP(O781,Data!A:A,Data!F:F),4)+O781,8),_xlfn.CONCAT(MID(_xlpm.big,7,2),MID(_xlpm.big,5,2),MID(_xlpm.big,3,2),MID(_xlpm.big,1,2)))</f>
        <v>#NUM!</v>
      </c>
      <c r="J781" s="2" t="str">
        <f t="shared" si="48"/>
        <v>02000000</v>
      </c>
      <c r="K781" s="2" t="str">
        <f>_xlfn.LET(_xlpm.big,IF(H781,DEC2HEX(HEX2DEC(F781),8),DEC2HEX(N781-_xlfn.XLOOKUP(P781,Data!A:A,Data!F:F),8)),_xlfn.CONCAT(MID(_xlpm.big,7,2),MID(_xlpm.big,5,2),MID(_xlpm.big,3,2),MID(_xlpm.big,1,2)))</f>
        <v>FEFFFFFF</v>
      </c>
      <c r="L781" s="2">
        <f t="shared" si="49"/>
        <v>0</v>
      </c>
      <c r="M781" s="2">
        <f t="shared" si="50"/>
        <v>0</v>
      </c>
      <c r="N781" s="2">
        <f t="shared" si="51"/>
        <v>0</v>
      </c>
      <c r="O781" s="2" cm="1">
        <f t="array" ref="O781">_xlfn.IFS(M781&lt;Data!$F$3,0,M781&lt;Data!$F$4,1,TRUE,2)</f>
        <v>0</v>
      </c>
      <c r="P781" s="2" cm="1">
        <f t="array" ref="P781">_xlfn.IFS(H781,3,N781&lt;Data!$F$3,0,N781&lt;Data!$F$4,1,TRUE,2)</f>
        <v>0</v>
      </c>
    </row>
    <row r="782" spans="4:16">
      <c r="E782" s="16"/>
      <c r="G782" s="2" t="str" cm="1">
        <f t="array" ref="G782">_xlfn.CONCAT(IFERROR(I782:K782,""))</f>
        <v>02000000FEFFFFFF</v>
      </c>
      <c r="I782" s="2" t="e">
        <f>_xlfn.LET(_xlpm.big,DEC2HEX(_xlfn.BITLSHIFT(M782-_xlfn.XLOOKUP(O782,Data!A:A,Data!F:F),4)+O782,8),_xlfn.CONCAT(MID(_xlpm.big,7,2),MID(_xlpm.big,5,2),MID(_xlpm.big,3,2),MID(_xlpm.big,1,2)))</f>
        <v>#NUM!</v>
      </c>
      <c r="J782" s="2" t="str">
        <f t="shared" si="48"/>
        <v>02000000</v>
      </c>
      <c r="K782" s="2" t="str">
        <f>_xlfn.LET(_xlpm.big,IF(H782,DEC2HEX(HEX2DEC(F782),8),DEC2HEX(N782-_xlfn.XLOOKUP(P782,Data!A:A,Data!F:F),8)),_xlfn.CONCAT(MID(_xlpm.big,7,2),MID(_xlpm.big,5,2),MID(_xlpm.big,3,2),MID(_xlpm.big,1,2)))</f>
        <v>FEFFFFFF</v>
      </c>
      <c r="L782" s="2">
        <f t="shared" si="49"/>
        <v>0</v>
      </c>
      <c r="M782" s="2">
        <f t="shared" si="50"/>
        <v>0</v>
      </c>
      <c r="N782" s="2">
        <f t="shared" si="51"/>
        <v>0</v>
      </c>
      <c r="O782" s="2" cm="1">
        <f t="array" ref="O782">_xlfn.IFS(M782&lt;Data!$F$3,0,M782&lt;Data!$F$4,1,TRUE,2)</f>
        <v>0</v>
      </c>
      <c r="P782" s="2" cm="1">
        <f t="array" ref="P782">_xlfn.IFS(H782,3,N782&lt;Data!$F$3,0,N782&lt;Data!$F$4,1,TRUE,2)</f>
        <v>0</v>
      </c>
    </row>
    <row r="783" spans="4:16">
      <c r="D783" s="3"/>
      <c r="E783" s="3"/>
      <c r="G783" s="2" t="str" cm="1">
        <f t="array" ref="G783">_xlfn.CONCAT(IFERROR(I783:K783,""))</f>
        <v>02000000FEFFFFFF</v>
      </c>
      <c r="I783" s="2" t="e">
        <f>_xlfn.LET(_xlpm.big,DEC2HEX(_xlfn.BITLSHIFT(M783-_xlfn.XLOOKUP(O783,Data!A:A,Data!F:F),4)+O783,8),_xlfn.CONCAT(MID(_xlpm.big,7,2),MID(_xlpm.big,5,2),MID(_xlpm.big,3,2),MID(_xlpm.big,1,2)))</f>
        <v>#NUM!</v>
      </c>
      <c r="J783" s="2" t="str">
        <f t="shared" si="48"/>
        <v>02000000</v>
      </c>
      <c r="K783" s="2" t="str">
        <f>_xlfn.LET(_xlpm.big,IF(H783,DEC2HEX(HEX2DEC(F783),8),DEC2HEX(N783-_xlfn.XLOOKUP(P783,Data!A:A,Data!F:F),8)),_xlfn.CONCAT(MID(_xlpm.big,7,2),MID(_xlpm.big,5,2),MID(_xlpm.big,3,2),MID(_xlpm.big,1,2)))</f>
        <v>FEFFFFFF</v>
      </c>
      <c r="L783" s="2">
        <f t="shared" si="49"/>
        <v>0</v>
      </c>
      <c r="M783" s="2">
        <f t="shared" si="50"/>
        <v>0</v>
      </c>
      <c r="N783" s="2">
        <f t="shared" si="51"/>
        <v>0</v>
      </c>
      <c r="O783" s="2" cm="1">
        <f t="array" ref="O783">_xlfn.IFS(M783&lt;Data!$F$3,0,M783&lt;Data!$F$4,1,TRUE,2)</f>
        <v>0</v>
      </c>
      <c r="P783" s="2" cm="1">
        <f t="array" ref="P783">_xlfn.IFS(H783,3,N783&lt;Data!$F$3,0,N783&lt;Data!$F$4,1,TRUE,2)</f>
        <v>0</v>
      </c>
    </row>
    <row r="784" spans="4:16">
      <c r="G784" s="2" t="str" cm="1">
        <f t="array" ref="G784">_xlfn.CONCAT(IFERROR(I784:K784,""))</f>
        <v>02000000FEFFFFFF</v>
      </c>
      <c r="I784" s="2" t="e">
        <f>_xlfn.LET(_xlpm.big,DEC2HEX(_xlfn.BITLSHIFT(M784-_xlfn.XLOOKUP(O784,Data!A:A,Data!F:F),4)+O784,8),_xlfn.CONCAT(MID(_xlpm.big,7,2),MID(_xlpm.big,5,2),MID(_xlpm.big,3,2),MID(_xlpm.big,1,2)))</f>
        <v>#NUM!</v>
      </c>
      <c r="J784" s="2" t="str">
        <f t="shared" si="48"/>
        <v>02000000</v>
      </c>
      <c r="K784" s="2" t="str">
        <f>_xlfn.LET(_xlpm.big,IF(H784,DEC2HEX(HEX2DEC(F784),8),DEC2HEX(N784-_xlfn.XLOOKUP(P784,Data!A:A,Data!F:F),8)),_xlfn.CONCAT(MID(_xlpm.big,7,2),MID(_xlpm.big,5,2),MID(_xlpm.big,3,2),MID(_xlpm.big,1,2)))</f>
        <v>FEFFFFFF</v>
      </c>
      <c r="L784" s="2">
        <f t="shared" si="49"/>
        <v>0</v>
      </c>
      <c r="M784" s="2">
        <f t="shared" si="50"/>
        <v>0</v>
      </c>
      <c r="N784" s="2">
        <f t="shared" si="51"/>
        <v>0</v>
      </c>
      <c r="O784" s="2" cm="1">
        <f t="array" ref="O784">_xlfn.IFS(M784&lt;Data!$F$3,0,M784&lt;Data!$F$4,1,TRUE,2)</f>
        <v>0</v>
      </c>
      <c r="P784" s="2" cm="1">
        <f t="array" ref="P784">_xlfn.IFS(H784,3,N784&lt;Data!$F$3,0,N784&lt;Data!$F$4,1,TRUE,2)</f>
        <v>0</v>
      </c>
    </row>
    <row r="785" spans="4:16">
      <c r="G785" s="2" t="str" cm="1">
        <f t="array" ref="G785">_xlfn.CONCAT(IFERROR(I785:K785,""))</f>
        <v>02000000FEFFFFFF</v>
      </c>
      <c r="I785" s="2" t="e">
        <f>_xlfn.LET(_xlpm.big,DEC2HEX(_xlfn.BITLSHIFT(M785-_xlfn.XLOOKUP(O785,Data!A:A,Data!F:F),4)+O785,8),_xlfn.CONCAT(MID(_xlpm.big,7,2),MID(_xlpm.big,5,2),MID(_xlpm.big,3,2),MID(_xlpm.big,1,2)))</f>
        <v>#NUM!</v>
      </c>
      <c r="J785" s="2" t="str">
        <f t="shared" si="48"/>
        <v>02000000</v>
      </c>
      <c r="K785" s="2" t="str">
        <f>_xlfn.LET(_xlpm.big,IF(H785,DEC2HEX(HEX2DEC(F785),8),DEC2HEX(N785-_xlfn.XLOOKUP(P785,Data!A:A,Data!F:F),8)),_xlfn.CONCAT(MID(_xlpm.big,7,2),MID(_xlpm.big,5,2),MID(_xlpm.big,3,2),MID(_xlpm.big,1,2)))</f>
        <v>FEFFFFFF</v>
      </c>
      <c r="L785" s="2">
        <f t="shared" si="49"/>
        <v>0</v>
      </c>
      <c r="M785" s="2">
        <f t="shared" si="50"/>
        <v>0</v>
      </c>
      <c r="N785" s="2">
        <f t="shared" si="51"/>
        <v>0</v>
      </c>
      <c r="O785" s="2" cm="1">
        <f t="array" ref="O785">_xlfn.IFS(M785&lt;Data!$F$3,0,M785&lt;Data!$F$4,1,TRUE,2)</f>
        <v>0</v>
      </c>
      <c r="P785" s="2" cm="1">
        <f t="array" ref="P785">_xlfn.IFS(H785,3,N785&lt;Data!$F$3,0,N785&lt;Data!$F$4,1,TRUE,2)</f>
        <v>0</v>
      </c>
    </row>
    <row r="786" spans="4:16">
      <c r="E786" s="16"/>
      <c r="G786" s="2" t="str" cm="1">
        <f t="array" ref="G786">_xlfn.CONCAT(IFERROR(I786:K786,""))</f>
        <v>02000000FEFFFFFF</v>
      </c>
      <c r="I786" s="2" t="e">
        <f>_xlfn.LET(_xlpm.big,DEC2HEX(_xlfn.BITLSHIFT(M786-_xlfn.XLOOKUP(O786,Data!A:A,Data!F:F),4)+O786,8),_xlfn.CONCAT(MID(_xlpm.big,7,2),MID(_xlpm.big,5,2),MID(_xlpm.big,3,2),MID(_xlpm.big,1,2)))</f>
        <v>#NUM!</v>
      </c>
      <c r="J786" s="2" t="str">
        <f t="shared" si="48"/>
        <v>02000000</v>
      </c>
      <c r="K786" s="2" t="str">
        <f>_xlfn.LET(_xlpm.big,IF(H786,DEC2HEX(HEX2DEC(F786),8),DEC2HEX(N786-_xlfn.XLOOKUP(P786,Data!A:A,Data!F:F),8)),_xlfn.CONCAT(MID(_xlpm.big,7,2),MID(_xlpm.big,5,2),MID(_xlpm.big,3,2),MID(_xlpm.big,1,2)))</f>
        <v>FEFFFFFF</v>
      </c>
      <c r="L786" s="2">
        <f t="shared" si="49"/>
        <v>0</v>
      </c>
      <c r="M786" s="2">
        <f t="shared" si="50"/>
        <v>0</v>
      </c>
      <c r="N786" s="2">
        <f t="shared" si="51"/>
        <v>0</v>
      </c>
      <c r="O786" s="2" cm="1">
        <f t="array" ref="O786">_xlfn.IFS(M786&lt;Data!$F$3,0,M786&lt;Data!$F$4,1,TRUE,2)</f>
        <v>0</v>
      </c>
      <c r="P786" s="2" cm="1">
        <f t="array" ref="P786">_xlfn.IFS(H786,3,N786&lt;Data!$F$3,0,N786&lt;Data!$F$4,1,TRUE,2)</f>
        <v>0</v>
      </c>
    </row>
    <row r="787" spans="4:16">
      <c r="E787" s="16"/>
      <c r="G787" s="2" t="str" cm="1">
        <f t="array" ref="G787">_xlfn.CONCAT(IFERROR(I787:K787,""))</f>
        <v>02000000FEFFFFFF</v>
      </c>
      <c r="I787" s="2" t="e">
        <f>_xlfn.LET(_xlpm.big,DEC2HEX(_xlfn.BITLSHIFT(M787-_xlfn.XLOOKUP(O787,Data!A:A,Data!F:F),4)+O787,8),_xlfn.CONCAT(MID(_xlpm.big,7,2),MID(_xlpm.big,5,2),MID(_xlpm.big,3,2),MID(_xlpm.big,1,2)))</f>
        <v>#NUM!</v>
      </c>
      <c r="J787" s="2" t="str">
        <f t="shared" si="48"/>
        <v>02000000</v>
      </c>
      <c r="K787" s="2" t="str">
        <f>_xlfn.LET(_xlpm.big,IF(H787,DEC2HEX(HEX2DEC(F787),8),DEC2HEX(N787-_xlfn.XLOOKUP(P787,Data!A:A,Data!F:F),8)),_xlfn.CONCAT(MID(_xlpm.big,7,2),MID(_xlpm.big,5,2),MID(_xlpm.big,3,2),MID(_xlpm.big,1,2)))</f>
        <v>FEFFFFFF</v>
      </c>
      <c r="L787" s="2">
        <f t="shared" si="49"/>
        <v>0</v>
      </c>
      <c r="M787" s="2">
        <f t="shared" si="50"/>
        <v>0</v>
      </c>
      <c r="N787" s="2">
        <f t="shared" si="51"/>
        <v>0</v>
      </c>
      <c r="O787" s="2" cm="1">
        <f t="array" ref="O787">_xlfn.IFS(M787&lt;Data!$F$3,0,M787&lt;Data!$F$4,1,TRUE,2)</f>
        <v>0</v>
      </c>
      <c r="P787" s="2" cm="1">
        <f t="array" ref="P787">_xlfn.IFS(H787,3,N787&lt;Data!$F$3,0,N787&lt;Data!$F$4,1,TRUE,2)</f>
        <v>0</v>
      </c>
    </row>
    <row r="788" spans="4:16">
      <c r="E788" s="16"/>
      <c r="G788" s="2" t="str" cm="1">
        <f t="array" ref="G788">_xlfn.CONCAT(IFERROR(I788:K788,""))</f>
        <v>02000000FEFFFFFF</v>
      </c>
      <c r="I788" s="2" t="e">
        <f>_xlfn.LET(_xlpm.big,DEC2HEX(_xlfn.BITLSHIFT(M788-_xlfn.XLOOKUP(O788,Data!A:A,Data!F:F),4)+O788,8),_xlfn.CONCAT(MID(_xlpm.big,7,2),MID(_xlpm.big,5,2),MID(_xlpm.big,3,2),MID(_xlpm.big,1,2)))</f>
        <v>#NUM!</v>
      </c>
      <c r="J788" s="2" t="str">
        <f t="shared" si="48"/>
        <v>02000000</v>
      </c>
      <c r="K788" s="2" t="str">
        <f>_xlfn.LET(_xlpm.big,IF(H788,DEC2HEX(HEX2DEC(F788),8),DEC2HEX(N788-_xlfn.XLOOKUP(P788,Data!A:A,Data!F:F),8)),_xlfn.CONCAT(MID(_xlpm.big,7,2),MID(_xlpm.big,5,2),MID(_xlpm.big,3,2),MID(_xlpm.big,1,2)))</f>
        <v>FEFFFFFF</v>
      </c>
      <c r="L788" s="2">
        <f t="shared" si="49"/>
        <v>0</v>
      </c>
      <c r="M788" s="2">
        <f t="shared" si="50"/>
        <v>0</v>
      </c>
      <c r="N788" s="2">
        <f t="shared" si="51"/>
        <v>0</v>
      </c>
      <c r="O788" s="2" cm="1">
        <f t="array" ref="O788">_xlfn.IFS(M788&lt;Data!$F$3,0,M788&lt;Data!$F$4,1,TRUE,2)</f>
        <v>0</v>
      </c>
      <c r="P788" s="2" cm="1">
        <f t="array" ref="P788">_xlfn.IFS(H788,3,N788&lt;Data!$F$3,0,N788&lt;Data!$F$4,1,TRUE,2)</f>
        <v>0</v>
      </c>
    </row>
    <row r="789" spans="4:16">
      <c r="E789" s="16"/>
      <c r="G789" s="2" t="str" cm="1">
        <f t="array" ref="G789">_xlfn.CONCAT(IFERROR(I789:K789,""))</f>
        <v>02000000FEFFFFFF</v>
      </c>
      <c r="I789" s="2" t="e">
        <f>_xlfn.LET(_xlpm.big,DEC2HEX(_xlfn.BITLSHIFT(M789-_xlfn.XLOOKUP(O789,Data!A:A,Data!F:F),4)+O789,8),_xlfn.CONCAT(MID(_xlpm.big,7,2),MID(_xlpm.big,5,2),MID(_xlpm.big,3,2),MID(_xlpm.big,1,2)))</f>
        <v>#NUM!</v>
      </c>
      <c r="J789" s="2" t="str">
        <f t="shared" si="48"/>
        <v>02000000</v>
      </c>
      <c r="K789" s="2" t="str">
        <f>_xlfn.LET(_xlpm.big,IF(H789,DEC2HEX(HEX2DEC(F789),8),DEC2HEX(N789-_xlfn.XLOOKUP(P789,Data!A:A,Data!F:F),8)),_xlfn.CONCAT(MID(_xlpm.big,7,2),MID(_xlpm.big,5,2),MID(_xlpm.big,3,2),MID(_xlpm.big,1,2)))</f>
        <v>FEFFFFFF</v>
      </c>
      <c r="L789" s="2">
        <f t="shared" si="49"/>
        <v>0</v>
      </c>
      <c r="M789" s="2">
        <f t="shared" si="50"/>
        <v>0</v>
      </c>
      <c r="N789" s="2">
        <f t="shared" si="51"/>
        <v>0</v>
      </c>
      <c r="O789" s="2" cm="1">
        <f t="array" ref="O789">_xlfn.IFS(M789&lt;Data!$F$3,0,M789&lt;Data!$F$4,1,TRUE,2)</f>
        <v>0</v>
      </c>
      <c r="P789" s="2" cm="1">
        <f t="array" ref="P789">_xlfn.IFS(H789,3,N789&lt;Data!$F$3,0,N789&lt;Data!$F$4,1,TRUE,2)</f>
        <v>0</v>
      </c>
    </row>
    <row r="790" spans="4:16">
      <c r="G790" s="2" t="str" cm="1">
        <f t="array" ref="G790">_xlfn.CONCAT(IFERROR(I790:K790,""))</f>
        <v>02000000FEFFFFFF</v>
      </c>
      <c r="I790" s="2" t="e">
        <f>_xlfn.LET(_xlpm.big,DEC2HEX(_xlfn.BITLSHIFT(M790-_xlfn.XLOOKUP(O790,Data!A:A,Data!F:F),4)+O790,8),_xlfn.CONCAT(MID(_xlpm.big,7,2),MID(_xlpm.big,5,2),MID(_xlpm.big,3,2),MID(_xlpm.big,1,2)))</f>
        <v>#NUM!</v>
      </c>
      <c r="J790" s="2" t="str">
        <f t="shared" si="48"/>
        <v>02000000</v>
      </c>
      <c r="K790" s="2" t="str">
        <f>_xlfn.LET(_xlpm.big,IF(H790,DEC2HEX(HEX2DEC(F790),8),DEC2HEX(N790-_xlfn.XLOOKUP(P790,Data!A:A,Data!F:F),8)),_xlfn.CONCAT(MID(_xlpm.big,7,2),MID(_xlpm.big,5,2),MID(_xlpm.big,3,2),MID(_xlpm.big,1,2)))</f>
        <v>FEFFFFFF</v>
      </c>
      <c r="L790" s="2">
        <f t="shared" si="49"/>
        <v>0</v>
      </c>
      <c r="M790" s="2">
        <f t="shared" si="50"/>
        <v>0</v>
      </c>
      <c r="N790" s="2">
        <f t="shared" si="51"/>
        <v>0</v>
      </c>
      <c r="O790" s="2" cm="1">
        <f t="array" ref="O790">_xlfn.IFS(M790&lt;Data!$F$3,0,M790&lt;Data!$F$4,1,TRUE,2)</f>
        <v>0</v>
      </c>
      <c r="P790" s="2" cm="1">
        <f t="array" ref="P790">_xlfn.IFS(H790,3,N790&lt;Data!$F$3,0,N790&lt;Data!$F$4,1,TRUE,2)</f>
        <v>0</v>
      </c>
    </row>
    <row r="791" spans="4:16">
      <c r="G791" s="2" t="str" cm="1">
        <f t="array" ref="G791">_xlfn.CONCAT(IFERROR(I791:K791,""))</f>
        <v>02000000FEFFFFFF</v>
      </c>
      <c r="I791" s="2" t="e">
        <f>_xlfn.LET(_xlpm.big,DEC2HEX(_xlfn.BITLSHIFT(M791-_xlfn.XLOOKUP(O791,Data!A:A,Data!F:F),4)+O791,8),_xlfn.CONCAT(MID(_xlpm.big,7,2),MID(_xlpm.big,5,2),MID(_xlpm.big,3,2),MID(_xlpm.big,1,2)))</f>
        <v>#NUM!</v>
      </c>
      <c r="J791" s="2" t="str">
        <f t="shared" si="48"/>
        <v>02000000</v>
      </c>
      <c r="K791" s="2" t="str">
        <f>_xlfn.LET(_xlpm.big,IF(H791,DEC2HEX(HEX2DEC(F791),8),DEC2HEX(N791-_xlfn.XLOOKUP(P791,Data!A:A,Data!F:F),8)),_xlfn.CONCAT(MID(_xlpm.big,7,2),MID(_xlpm.big,5,2),MID(_xlpm.big,3,2),MID(_xlpm.big,1,2)))</f>
        <v>FEFFFFFF</v>
      </c>
      <c r="L791" s="2">
        <f t="shared" si="49"/>
        <v>0</v>
      </c>
      <c r="M791" s="2">
        <f t="shared" si="50"/>
        <v>0</v>
      </c>
      <c r="N791" s="2">
        <f t="shared" si="51"/>
        <v>0</v>
      </c>
      <c r="O791" s="2" cm="1">
        <f t="array" ref="O791">_xlfn.IFS(M791&lt;Data!$F$3,0,M791&lt;Data!$F$4,1,TRUE,2)</f>
        <v>0</v>
      </c>
      <c r="P791" s="2" cm="1">
        <f t="array" ref="P791">_xlfn.IFS(H791,3,N791&lt;Data!$F$3,0,N791&lt;Data!$F$4,1,TRUE,2)</f>
        <v>0</v>
      </c>
    </row>
    <row r="792" spans="4:16">
      <c r="E792" s="16"/>
      <c r="G792" s="2" t="str" cm="1">
        <f t="array" ref="G792">_xlfn.CONCAT(IFERROR(I792:K792,""))</f>
        <v>02000000FEFFFFFF</v>
      </c>
      <c r="I792" s="2" t="e">
        <f>_xlfn.LET(_xlpm.big,DEC2HEX(_xlfn.BITLSHIFT(M792-_xlfn.XLOOKUP(O792,Data!A:A,Data!F:F),4)+O792,8),_xlfn.CONCAT(MID(_xlpm.big,7,2),MID(_xlpm.big,5,2),MID(_xlpm.big,3,2),MID(_xlpm.big,1,2)))</f>
        <v>#NUM!</v>
      </c>
      <c r="J792" s="2" t="str">
        <f t="shared" si="48"/>
        <v>02000000</v>
      </c>
      <c r="K792" s="2" t="str">
        <f>_xlfn.LET(_xlpm.big,IF(H792,DEC2HEX(HEX2DEC(F792),8),DEC2HEX(N792-_xlfn.XLOOKUP(P792,Data!A:A,Data!F:F),8)),_xlfn.CONCAT(MID(_xlpm.big,7,2),MID(_xlpm.big,5,2),MID(_xlpm.big,3,2),MID(_xlpm.big,1,2)))</f>
        <v>FEFFFFFF</v>
      </c>
      <c r="L792" s="2">
        <f t="shared" si="49"/>
        <v>0</v>
      </c>
      <c r="M792" s="2">
        <f t="shared" si="50"/>
        <v>0</v>
      </c>
      <c r="N792" s="2">
        <f t="shared" si="51"/>
        <v>0</v>
      </c>
      <c r="O792" s="2" cm="1">
        <f t="array" ref="O792">_xlfn.IFS(M792&lt;Data!$F$3,0,M792&lt;Data!$F$4,1,TRUE,2)</f>
        <v>0</v>
      </c>
      <c r="P792" s="2" cm="1">
        <f t="array" ref="P792">_xlfn.IFS(H792,3,N792&lt;Data!$F$3,0,N792&lt;Data!$F$4,1,TRUE,2)</f>
        <v>0</v>
      </c>
    </row>
    <row r="793" spans="4:16">
      <c r="E793" s="16"/>
      <c r="G793" s="2" t="str" cm="1">
        <f t="array" ref="G793">_xlfn.CONCAT(IFERROR(I793:K793,""))</f>
        <v>02000000FEFFFFFF</v>
      </c>
      <c r="I793" s="2" t="e">
        <f>_xlfn.LET(_xlpm.big,DEC2HEX(_xlfn.BITLSHIFT(M793-_xlfn.XLOOKUP(O793,Data!A:A,Data!F:F),4)+O793,8),_xlfn.CONCAT(MID(_xlpm.big,7,2),MID(_xlpm.big,5,2),MID(_xlpm.big,3,2),MID(_xlpm.big,1,2)))</f>
        <v>#NUM!</v>
      </c>
      <c r="J793" s="2" t="str">
        <f t="shared" si="48"/>
        <v>02000000</v>
      </c>
      <c r="K793" s="2" t="str">
        <f>_xlfn.LET(_xlpm.big,IF(H793,DEC2HEX(HEX2DEC(F793),8),DEC2HEX(N793-_xlfn.XLOOKUP(P793,Data!A:A,Data!F:F),8)),_xlfn.CONCAT(MID(_xlpm.big,7,2),MID(_xlpm.big,5,2),MID(_xlpm.big,3,2),MID(_xlpm.big,1,2)))</f>
        <v>FEFFFFFF</v>
      </c>
      <c r="L793" s="2">
        <f t="shared" si="49"/>
        <v>0</v>
      </c>
      <c r="M793" s="2">
        <f t="shared" si="50"/>
        <v>0</v>
      </c>
      <c r="N793" s="2">
        <f t="shared" si="51"/>
        <v>0</v>
      </c>
      <c r="O793" s="2" cm="1">
        <f t="array" ref="O793">_xlfn.IFS(M793&lt;Data!$F$3,0,M793&lt;Data!$F$4,1,TRUE,2)</f>
        <v>0</v>
      </c>
      <c r="P793" s="2" cm="1">
        <f t="array" ref="P793">_xlfn.IFS(H793,3,N793&lt;Data!$F$3,0,N793&lt;Data!$F$4,1,TRUE,2)</f>
        <v>0</v>
      </c>
    </row>
    <row r="794" spans="4:16">
      <c r="E794" s="16"/>
      <c r="G794" s="2" t="str" cm="1">
        <f t="array" ref="G794">_xlfn.CONCAT(IFERROR(I794:K794,""))</f>
        <v>02000000FEFFFFFF</v>
      </c>
      <c r="I794" s="2" t="e">
        <f>_xlfn.LET(_xlpm.big,DEC2HEX(_xlfn.BITLSHIFT(M794-_xlfn.XLOOKUP(O794,Data!A:A,Data!F:F),4)+O794,8),_xlfn.CONCAT(MID(_xlpm.big,7,2),MID(_xlpm.big,5,2),MID(_xlpm.big,3,2),MID(_xlpm.big,1,2)))</f>
        <v>#NUM!</v>
      </c>
      <c r="J794" s="2" t="str">
        <f t="shared" si="48"/>
        <v>02000000</v>
      </c>
      <c r="K794" s="2" t="str">
        <f>_xlfn.LET(_xlpm.big,IF(H794,DEC2HEX(HEX2DEC(F794),8),DEC2HEX(N794-_xlfn.XLOOKUP(P794,Data!A:A,Data!F:F),8)),_xlfn.CONCAT(MID(_xlpm.big,7,2),MID(_xlpm.big,5,2),MID(_xlpm.big,3,2),MID(_xlpm.big,1,2)))</f>
        <v>FEFFFFFF</v>
      </c>
      <c r="L794" s="2">
        <f t="shared" si="49"/>
        <v>0</v>
      </c>
      <c r="M794" s="2">
        <f t="shared" si="50"/>
        <v>0</v>
      </c>
      <c r="N794" s="2">
        <f t="shared" si="51"/>
        <v>0</v>
      </c>
      <c r="O794" s="2" cm="1">
        <f t="array" ref="O794">_xlfn.IFS(M794&lt;Data!$F$3,0,M794&lt;Data!$F$4,1,TRUE,2)</f>
        <v>0</v>
      </c>
      <c r="P794" s="2" cm="1">
        <f t="array" ref="P794">_xlfn.IFS(H794,3,N794&lt;Data!$F$3,0,N794&lt;Data!$F$4,1,TRUE,2)</f>
        <v>0</v>
      </c>
    </row>
    <row r="795" spans="4:16">
      <c r="G795" s="2" t="str" cm="1">
        <f t="array" ref="G795">_xlfn.CONCAT(IFERROR(I795:K795,""))</f>
        <v>02000000FEFFFFFF</v>
      </c>
      <c r="I795" s="2" t="e">
        <f>_xlfn.LET(_xlpm.big,DEC2HEX(_xlfn.BITLSHIFT(M795-_xlfn.XLOOKUP(O795,Data!A:A,Data!F:F),4)+O795,8),_xlfn.CONCAT(MID(_xlpm.big,7,2),MID(_xlpm.big,5,2),MID(_xlpm.big,3,2),MID(_xlpm.big,1,2)))</f>
        <v>#NUM!</v>
      </c>
      <c r="J795" s="2" t="str">
        <f t="shared" si="48"/>
        <v>02000000</v>
      </c>
      <c r="K795" s="2" t="str">
        <f>_xlfn.LET(_xlpm.big,IF(H795,DEC2HEX(HEX2DEC(F795),8),DEC2HEX(N795-_xlfn.XLOOKUP(P795,Data!A:A,Data!F:F),8)),_xlfn.CONCAT(MID(_xlpm.big,7,2),MID(_xlpm.big,5,2),MID(_xlpm.big,3,2),MID(_xlpm.big,1,2)))</f>
        <v>FEFFFFFF</v>
      </c>
      <c r="L795" s="2">
        <f t="shared" si="49"/>
        <v>0</v>
      </c>
      <c r="M795" s="2">
        <f t="shared" si="50"/>
        <v>0</v>
      </c>
      <c r="N795" s="2">
        <f t="shared" si="51"/>
        <v>0</v>
      </c>
      <c r="O795" s="2" cm="1">
        <f t="array" ref="O795">_xlfn.IFS(M795&lt;Data!$F$3,0,M795&lt;Data!$F$4,1,TRUE,2)</f>
        <v>0</v>
      </c>
      <c r="P795" s="2" cm="1">
        <f t="array" ref="P795">_xlfn.IFS(H795,3,N795&lt;Data!$F$3,0,N795&lt;Data!$F$4,1,TRUE,2)</f>
        <v>0</v>
      </c>
    </row>
    <row r="796" spans="4:16">
      <c r="G796" s="2" t="str" cm="1">
        <f t="array" ref="G796">_xlfn.CONCAT(IFERROR(I796:K796,""))</f>
        <v>02000000FEFFFFFF</v>
      </c>
      <c r="I796" s="2" t="e">
        <f>_xlfn.LET(_xlpm.big,DEC2HEX(_xlfn.BITLSHIFT(M796-_xlfn.XLOOKUP(O796,Data!A:A,Data!F:F),4)+O796,8),_xlfn.CONCAT(MID(_xlpm.big,7,2),MID(_xlpm.big,5,2),MID(_xlpm.big,3,2),MID(_xlpm.big,1,2)))</f>
        <v>#NUM!</v>
      </c>
      <c r="J796" s="2" t="str">
        <f t="shared" si="48"/>
        <v>02000000</v>
      </c>
      <c r="K796" s="2" t="str">
        <f>_xlfn.LET(_xlpm.big,IF(H796,DEC2HEX(HEX2DEC(F796),8),DEC2HEX(N796-_xlfn.XLOOKUP(P796,Data!A:A,Data!F:F),8)),_xlfn.CONCAT(MID(_xlpm.big,7,2),MID(_xlpm.big,5,2),MID(_xlpm.big,3,2),MID(_xlpm.big,1,2)))</f>
        <v>FEFFFFFF</v>
      </c>
      <c r="L796" s="2">
        <f t="shared" si="49"/>
        <v>0</v>
      </c>
      <c r="M796" s="2">
        <f t="shared" si="50"/>
        <v>0</v>
      </c>
      <c r="N796" s="2">
        <f t="shared" si="51"/>
        <v>0</v>
      </c>
      <c r="O796" s="2" cm="1">
        <f t="array" ref="O796">_xlfn.IFS(M796&lt;Data!$F$3,0,M796&lt;Data!$F$4,1,TRUE,2)</f>
        <v>0</v>
      </c>
      <c r="P796" s="2" cm="1">
        <f t="array" ref="P796">_xlfn.IFS(H796,3,N796&lt;Data!$F$3,0,N796&lt;Data!$F$4,1,TRUE,2)</f>
        <v>0</v>
      </c>
    </row>
    <row r="797" spans="4:16">
      <c r="E797" s="16"/>
      <c r="G797" s="2" t="str" cm="1">
        <f t="array" ref="G797">_xlfn.CONCAT(IFERROR(I797:K797,""))</f>
        <v>02000000FEFFFFFF</v>
      </c>
      <c r="I797" s="2" t="e">
        <f>_xlfn.LET(_xlpm.big,DEC2HEX(_xlfn.BITLSHIFT(M797-_xlfn.XLOOKUP(O797,Data!A:A,Data!F:F),4)+O797,8),_xlfn.CONCAT(MID(_xlpm.big,7,2),MID(_xlpm.big,5,2),MID(_xlpm.big,3,2),MID(_xlpm.big,1,2)))</f>
        <v>#NUM!</v>
      </c>
      <c r="J797" s="2" t="str">
        <f t="shared" si="48"/>
        <v>02000000</v>
      </c>
      <c r="K797" s="2" t="str">
        <f>_xlfn.LET(_xlpm.big,IF(H797,DEC2HEX(HEX2DEC(F797),8),DEC2HEX(N797-_xlfn.XLOOKUP(P797,Data!A:A,Data!F:F),8)),_xlfn.CONCAT(MID(_xlpm.big,7,2),MID(_xlpm.big,5,2),MID(_xlpm.big,3,2),MID(_xlpm.big,1,2)))</f>
        <v>FEFFFFFF</v>
      </c>
      <c r="L797" s="2">
        <f t="shared" si="49"/>
        <v>0</v>
      </c>
      <c r="M797" s="2">
        <f t="shared" si="50"/>
        <v>0</v>
      </c>
      <c r="N797" s="2">
        <f t="shared" si="51"/>
        <v>0</v>
      </c>
      <c r="O797" s="2" cm="1">
        <f t="array" ref="O797">_xlfn.IFS(M797&lt;Data!$F$3,0,M797&lt;Data!$F$4,1,TRUE,2)</f>
        <v>0</v>
      </c>
      <c r="P797" s="2" cm="1">
        <f t="array" ref="P797">_xlfn.IFS(H797,3,N797&lt;Data!$F$3,0,N797&lt;Data!$F$4,1,TRUE,2)</f>
        <v>0</v>
      </c>
    </row>
    <row r="798" spans="4:16">
      <c r="E798" s="16"/>
      <c r="G798" s="2" t="str" cm="1">
        <f t="array" ref="G798">_xlfn.CONCAT(IFERROR(I798:K798,""))</f>
        <v>02000000FEFFFFFF</v>
      </c>
      <c r="I798" s="2" t="e">
        <f>_xlfn.LET(_xlpm.big,DEC2HEX(_xlfn.BITLSHIFT(M798-_xlfn.XLOOKUP(O798,Data!A:A,Data!F:F),4)+O798,8),_xlfn.CONCAT(MID(_xlpm.big,7,2),MID(_xlpm.big,5,2),MID(_xlpm.big,3,2),MID(_xlpm.big,1,2)))</f>
        <v>#NUM!</v>
      </c>
      <c r="J798" s="2" t="str">
        <f t="shared" si="48"/>
        <v>02000000</v>
      </c>
      <c r="K798" s="2" t="str">
        <f>_xlfn.LET(_xlpm.big,IF(H798,DEC2HEX(HEX2DEC(F798),8),DEC2HEX(N798-_xlfn.XLOOKUP(P798,Data!A:A,Data!F:F),8)),_xlfn.CONCAT(MID(_xlpm.big,7,2),MID(_xlpm.big,5,2),MID(_xlpm.big,3,2),MID(_xlpm.big,1,2)))</f>
        <v>FEFFFFFF</v>
      </c>
      <c r="L798" s="2">
        <f t="shared" si="49"/>
        <v>0</v>
      </c>
      <c r="M798" s="2">
        <f t="shared" si="50"/>
        <v>0</v>
      </c>
      <c r="N798" s="2">
        <f t="shared" si="51"/>
        <v>0</v>
      </c>
      <c r="O798" s="2" cm="1">
        <f t="array" ref="O798">_xlfn.IFS(M798&lt;Data!$F$3,0,M798&lt;Data!$F$4,1,TRUE,2)</f>
        <v>0</v>
      </c>
      <c r="P798" s="2" cm="1">
        <f t="array" ref="P798">_xlfn.IFS(H798,3,N798&lt;Data!$F$3,0,N798&lt;Data!$F$4,1,TRUE,2)</f>
        <v>0</v>
      </c>
    </row>
    <row r="799" spans="4:16">
      <c r="D799" s="3"/>
      <c r="E799" s="3"/>
      <c r="G799" s="2" t="str" cm="1">
        <f t="array" ref="G799">_xlfn.CONCAT(IFERROR(I799:K799,""))</f>
        <v>02000000FEFFFFFF</v>
      </c>
      <c r="I799" s="2" t="e">
        <f>_xlfn.LET(_xlpm.big,DEC2HEX(_xlfn.BITLSHIFT(M799-_xlfn.XLOOKUP(O799,Data!A:A,Data!F:F),4)+O799,8),_xlfn.CONCAT(MID(_xlpm.big,7,2),MID(_xlpm.big,5,2),MID(_xlpm.big,3,2),MID(_xlpm.big,1,2)))</f>
        <v>#NUM!</v>
      </c>
      <c r="J799" s="2" t="str">
        <f t="shared" si="48"/>
        <v>02000000</v>
      </c>
      <c r="K799" s="2" t="str">
        <f>_xlfn.LET(_xlpm.big,IF(H799,DEC2HEX(HEX2DEC(F799),8),DEC2HEX(N799-_xlfn.XLOOKUP(P799,Data!A:A,Data!F:F),8)),_xlfn.CONCAT(MID(_xlpm.big,7,2),MID(_xlpm.big,5,2),MID(_xlpm.big,3,2),MID(_xlpm.big,1,2)))</f>
        <v>FEFFFFFF</v>
      </c>
      <c r="L799" s="2">
        <f t="shared" si="49"/>
        <v>0</v>
      </c>
      <c r="M799" s="2">
        <f t="shared" si="50"/>
        <v>0</v>
      </c>
      <c r="N799" s="2">
        <f t="shared" si="51"/>
        <v>0</v>
      </c>
      <c r="O799" s="2" cm="1">
        <f t="array" ref="O799">_xlfn.IFS(M799&lt;Data!$F$3,0,M799&lt;Data!$F$4,1,TRUE,2)</f>
        <v>0</v>
      </c>
      <c r="P799" s="2" cm="1">
        <f t="array" ref="P799">_xlfn.IFS(H799,3,N799&lt;Data!$F$3,0,N799&lt;Data!$F$4,1,TRUE,2)</f>
        <v>0</v>
      </c>
    </row>
    <row r="800" spans="4:16">
      <c r="D800" s="3"/>
      <c r="E800" s="3"/>
      <c r="G800" s="2" t="str" cm="1">
        <f t="array" ref="G800">_xlfn.CONCAT(IFERROR(I800:K800,""))</f>
        <v>02000000FEFFFFFF</v>
      </c>
      <c r="I800" s="2" t="e">
        <f>_xlfn.LET(_xlpm.big,DEC2HEX(_xlfn.BITLSHIFT(M800-_xlfn.XLOOKUP(O800,Data!A:A,Data!F:F),4)+O800,8),_xlfn.CONCAT(MID(_xlpm.big,7,2),MID(_xlpm.big,5,2),MID(_xlpm.big,3,2),MID(_xlpm.big,1,2)))</f>
        <v>#NUM!</v>
      </c>
      <c r="J800" s="2" t="str">
        <f t="shared" si="48"/>
        <v>02000000</v>
      </c>
      <c r="K800" s="2" t="str">
        <f>_xlfn.LET(_xlpm.big,IF(H800,DEC2HEX(HEX2DEC(F800),8),DEC2HEX(N800-_xlfn.XLOOKUP(P800,Data!A:A,Data!F:F),8)),_xlfn.CONCAT(MID(_xlpm.big,7,2),MID(_xlpm.big,5,2),MID(_xlpm.big,3,2),MID(_xlpm.big,1,2)))</f>
        <v>FEFFFFFF</v>
      </c>
      <c r="L800" s="2">
        <f t="shared" si="49"/>
        <v>0</v>
      </c>
      <c r="M800" s="2">
        <f t="shared" si="50"/>
        <v>0</v>
      </c>
      <c r="N800" s="2">
        <f t="shared" si="51"/>
        <v>0</v>
      </c>
      <c r="O800" s="2" cm="1">
        <f t="array" ref="O800">_xlfn.IFS(M800&lt;Data!$F$3,0,M800&lt;Data!$F$4,1,TRUE,2)</f>
        <v>0</v>
      </c>
      <c r="P800" s="2" cm="1">
        <f t="array" ref="P800">_xlfn.IFS(H800,3,N800&lt;Data!$F$3,0,N800&lt;Data!$F$4,1,TRUE,2)</f>
        <v>0</v>
      </c>
    </row>
    <row r="801" spans="4:16">
      <c r="D801" s="3"/>
      <c r="E801" s="3"/>
      <c r="G801" s="2" t="str" cm="1">
        <f t="array" ref="G801">_xlfn.CONCAT(IFERROR(I801:K801,""))</f>
        <v>02000000FEFFFFFF</v>
      </c>
      <c r="I801" s="2" t="e">
        <f>_xlfn.LET(_xlpm.big,DEC2HEX(_xlfn.BITLSHIFT(M801-_xlfn.XLOOKUP(O801,Data!A:A,Data!F:F),4)+O801,8),_xlfn.CONCAT(MID(_xlpm.big,7,2),MID(_xlpm.big,5,2),MID(_xlpm.big,3,2),MID(_xlpm.big,1,2)))</f>
        <v>#NUM!</v>
      </c>
      <c r="J801" s="2" t="str">
        <f t="shared" si="48"/>
        <v>02000000</v>
      </c>
      <c r="K801" s="2" t="str">
        <f>_xlfn.LET(_xlpm.big,IF(H801,DEC2HEX(HEX2DEC(F801),8),DEC2HEX(N801-_xlfn.XLOOKUP(P801,Data!A:A,Data!F:F),8)),_xlfn.CONCAT(MID(_xlpm.big,7,2),MID(_xlpm.big,5,2),MID(_xlpm.big,3,2),MID(_xlpm.big,1,2)))</f>
        <v>FEFFFFFF</v>
      </c>
      <c r="L801" s="2">
        <f t="shared" si="49"/>
        <v>0</v>
      </c>
      <c r="M801" s="2">
        <f t="shared" si="50"/>
        <v>0</v>
      </c>
      <c r="N801" s="2">
        <f t="shared" si="51"/>
        <v>0</v>
      </c>
      <c r="O801" s="2" cm="1">
        <f t="array" ref="O801">_xlfn.IFS(M801&lt;Data!$F$3,0,M801&lt;Data!$F$4,1,TRUE,2)</f>
        <v>0</v>
      </c>
      <c r="P801" s="2" cm="1">
        <f t="array" ref="P801">_xlfn.IFS(H801,3,N801&lt;Data!$F$3,0,N801&lt;Data!$F$4,1,TRUE,2)</f>
        <v>0</v>
      </c>
    </row>
    <row r="802" spans="4:16">
      <c r="D802" s="3"/>
      <c r="E802" s="3"/>
      <c r="G802" s="2" t="str" cm="1">
        <f t="array" ref="G802">_xlfn.CONCAT(IFERROR(I802:K802,""))</f>
        <v>02000000FEFFFFFF</v>
      </c>
      <c r="I802" s="2" t="e">
        <f>_xlfn.LET(_xlpm.big,DEC2HEX(_xlfn.BITLSHIFT(M802-_xlfn.XLOOKUP(O802,Data!A:A,Data!F:F),4)+O802,8),_xlfn.CONCAT(MID(_xlpm.big,7,2),MID(_xlpm.big,5,2),MID(_xlpm.big,3,2),MID(_xlpm.big,1,2)))</f>
        <v>#NUM!</v>
      </c>
      <c r="J802" s="2" t="str">
        <f t="shared" si="48"/>
        <v>02000000</v>
      </c>
      <c r="K802" s="2" t="str">
        <f>_xlfn.LET(_xlpm.big,IF(H802,DEC2HEX(HEX2DEC(F802),8),DEC2HEX(N802-_xlfn.XLOOKUP(P802,Data!A:A,Data!F:F),8)),_xlfn.CONCAT(MID(_xlpm.big,7,2),MID(_xlpm.big,5,2),MID(_xlpm.big,3,2),MID(_xlpm.big,1,2)))</f>
        <v>FEFFFFFF</v>
      </c>
      <c r="L802" s="2">
        <f t="shared" si="49"/>
        <v>0</v>
      </c>
      <c r="M802" s="2">
        <f t="shared" si="50"/>
        <v>0</v>
      </c>
      <c r="N802" s="2">
        <f t="shared" si="51"/>
        <v>0</v>
      </c>
      <c r="O802" s="2" cm="1">
        <f t="array" ref="O802">_xlfn.IFS(M802&lt;Data!$F$3,0,M802&lt;Data!$F$4,1,TRUE,2)</f>
        <v>0</v>
      </c>
      <c r="P802" s="2" cm="1">
        <f t="array" ref="P802">_xlfn.IFS(H802,3,N802&lt;Data!$F$3,0,N802&lt;Data!$F$4,1,TRUE,2)</f>
        <v>0</v>
      </c>
    </row>
    <row r="803" spans="4:16">
      <c r="D803" s="3"/>
      <c r="E803" s="3"/>
      <c r="G803" s="2" t="str" cm="1">
        <f t="array" ref="G803">_xlfn.CONCAT(IFERROR(I803:K803,""))</f>
        <v>02000000FEFFFFFF</v>
      </c>
      <c r="I803" s="2" t="e">
        <f>_xlfn.LET(_xlpm.big,DEC2HEX(_xlfn.BITLSHIFT(M803-_xlfn.XLOOKUP(O803,Data!A:A,Data!F:F),4)+O803,8),_xlfn.CONCAT(MID(_xlpm.big,7,2),MID(_xlpm.big,5,2),MID(_xlpm.big,3,2),MID(_xlpm.big,1,2)))</f>
        <v>#NUM!</v>
      </c>
      <c r="J803" s="2" t="str">
        <f t="shared" si="48"/>
        <v>02000000</v>
      </c>
      <c r="K803" s="2" t="str">
        <f>_xlfn.LET(_xlpm.big,IF(H803,DEC2HEX(HEX2DEC(F803),8),DEC2HEX(N803-_xlfn.XLOOKUP(P803,Data!A:A,Data!F:F),8)),_xlfn.CONCAT(MID(_xlpm.big,7,2),MID(_xlpm.big,5,2),MID(_xlpm.big,3,2),MID(_xlpm.big,1,2)))</f>
        <v>FEFFFFFF</v>
      </c>
      <c r="L803" s="2">
        <f t="shared" si="49"/>
        <v>0</v>
      </c>
      <c r="M803" s="2">
        <f t="shared" si="50"/>
        <v>0</v>
      </c>
      <c r="N803" s="2">
        <f t="shared" si="51"/>
        <v>0</v>
      </c>
      <c r="O803" s="2" cm="1">
        <f t="array" ref="O803">_xlfn.IFS(M803&lt;Data!$F$3,0,M803&lt;Data!$F$4,1,TRUE,2)</f>
        <v>0</v>
      </c>
      <c r="P803" s="2" cm="1">
        <f t="array" ref="P803">_xlfn.IFS(H803,3,N803&lt;Data!$F$3,0,N803&lt;Data!$F$4,1,TRUE,2)</f>
        <v>0</v>
      </c>
    </row>
    <row r="804" spans="4:16">
      <c r="D804" s="3"/>
      <c r="E804" s="3"/>
      <c r="G804" s="2" t="str" cm="1">
        <f t="array" ref="G804">_xlfn.CONCAT(IFERROR(I804:K804,""))</f>
        <v>02000000FEFFFFFF</v>
      </c>
      <c r="I804" s="2" t="e">
        <f>_xlfn.LET(_xlpm.big,DEC2HEX(_xlfn.BITLSHIFT(M804-_xlfn.XLOOKUP(O804,Data!A:A,Data!F:F),4)+O804,8),_xlfn.CONCAT(MID(_xlpm.big,7,2),MID(_xlpm.big,5,2),MID(_xlpm.big,3,2),MID(_xlpm.big,1,2)))</f>
        <v>#NUM!</v>
      </c>
      <c r="J804" s="2" t="str">
        <f t="shared" si="48"/>
        <v>02000000</v>
      </c>
      <c r="K804" s="2" t="str">
        <f>_xlfn.LET(_xlpm.big,IF(H804,DEC2HEX(HEX2DEC(F804),8),DEC2HEX(N804-_xlfn.XLOOKUP(P804,Data!A:A,Data!F:F),8)),_xlfn.CONCAT(MID(_xlpm.big,7,2),MID(_xlpm.big,5,2),MID(_xlpm.big,3,2),MID(_xlpm.big,1,2)))</f>
        <v>FEFFFFFF</v>
      </c>
      <c r="L804" s="2">
        <f t="shared" si="49"/>
        <v>0</v>
      </c>
      <c r="M804" s="2">
        <f t="shared" si="50"/>
        <v>0</v>
      </c>
      <c r="N804" s="2">
        <f t="shared" si="51"/>
        <v>0</v>
      </c>
      <c r="O804" s="2" cm="1">
        <f t="array" ref="O804">_xlfn.IFS(M804&lt;Data!$F$3,0,M804&lt;Data!$F$4,1,TRUE,2)</f>
        <v>0</v>
      </c>
      <c r="P804" s="2" cm="1">
        <f t="array" ref="P804">_xlfn.IFS(H804,3,N804&lt;Data!$F$3,0,N804&lt;Data!$F$4,1,TRUE,2)</f>
        <v>0</v>
      </c>
    </row>
    <row r="805" spans="4:16">
      <c r="D805" s="3"/>
      <c r="E805" s="3"/>
      <c r="G805" s="2" t="str" cm="1">
        <f t="array" ref="G805">_xlfn.CONCAT(IFERROR(I805:K805,""))</f>
        <v>02000000FEFFFFFF</v>
      </c>
      <c r="I805" s="2" t="e">
        <f>_xlfn.LET(_xlpm.big,DEC2HEX(_xlfn.BITLSHIFT(M805-_xlfn.XLOOKUP(O805,Data!A:A,Data!F:F),4)+O805,8),_xlfn.CONCAT(MID(_xlpm.big,7,2),MID(_xlpm.big,5,2),MID(_xlpm.big,3,2),MID(_xlpm.big,1,2)))</f>
        <v>#NUM!</v>
      </c>
      <c r="J805" s="2" t="str">
        <f t="shared" si="48"/>
        <v>02000000</v>
      </c>
      <c r="K805" s="2" t="str">
        <f>_xlfn.LET(_xlpm.big,IF(H805,DEC2HEX(HEX2DEC(F805),8),DEC2HEX(N805-_xlfn.XLOOKUP(P805,Data!A:A,Data!F:F),8)),_xlfn.CONCAT(MID(_xlpm.big,7,2),MID(_xlpm.big,5,2),MID(_xlpm.big,3,2),MID(_xlpm.big,1,2)))</f>
        <v>FEFFFFFF</v>
      </c>
      <c r="L805" s="2">
        <f t="shared" si="49"/>
        <v>0</v>
      </c>
      <c r="M805" s="2">
        <f t="shared" si="50"/>
        <v>0</v>
      </c>
      <c r="N805" s="2">
        <f t="shared" si="51"/>
        <v>0</v>
      </c>
      <c r="O805" s="2" cm="1">
        <f t="array" ref="O805">_xlfn.IFS(M805&lt;Data!$F$3,0,M805&lt;Data!$F$4,1,TRUE,2)</f>
        <v>0</v>
      </c>
      <c r="P805" s="2" cm="1">
        <f t="array" ref="P805">_xlfn.IFS(H805,3,N805&lt;Data!$F$3,0,N805&lt;Data!$F$4,1,TRUE,2)</f>
        <v>0</v>
      </c>
    </row>
    <row r="806" spans="4:16">
      <c r="G806" s="2" t="str" cm="1">
        <f t="array" ref="G806">_xlfn.CONCAT(IFERROR(I806:K806,""))</f>
        <v>02000000FEFFFFFF</v>
      </c>
      <c r="I806" s="2" t="e">
        <f>_xlfn.LET(_xlpm.big,DEC2HEX(_xlfn.BITLSHIFT(M806-_xlfn.XLOOKUP(O806,Data!A:A,Data!F:F),4)+O806,8),_xlfn.CONCAT(MID(_xlpm.big,7,2),MID(_xlpm.big,5,2),MID(_xlpm.big,3,2),MID(_xlpm.big,1,2)))</f>
        <v>#NUM!</v>
      </c>
      <c r="J806" s="2" t="str">
        <f t="shared" si="48"/>
        <v>02000000</v>
      </c>
      <c r="K806" s="2" t="str">
        <f>_xlfn.LET(_xlpm.big,IF(H806,DEC2HEX(HEX2DEC(F806),8),DEC2HEX(N806-_xlfn.XLOOKUP(P806,Data!A:A,Data!F:F),8)),_xlfn.CONCAT(MID(_xlpm.big,7,2),MID(_xlpm.big,5,2),MID(_xlpm.big,3,2),MID(_xlpm.big,1,2)))</f>
        <v>FEFFFFFF</v>
      </c>
      <c r="L806" s="2">
        <f t="shared" si="49"/>
        <v>0</v>
      </c>
      <c r="M806" s="2">
        <f t="shared" si="50"/>
        <v>0</v>
      </c>
      <c r="N806" s="2">
        <f t="shared" si="51"/>
        <v>0</v>
      </c>
      <c r="O806" s="2" cm="1">
        <f t="array" ref="O806">_xlfn.IFS(M806&lt;Data!$F$3,0,M806&lt;Data!$F$4,1,TRUE,2)</f>
        <v>0</v>
      </c>
      <c r="P806" s="2" cm="1">
        <f t="array" ref="P806">_xlfn.IFS(H806,3,N806&lt;Data!$F$3,0,N806&lt;Data!$F$4,1,TRUE,2)</f>
        <v>0</v>
      </c>
    </row>
    <row r="807" spans="4:16">
      <c r="E807" s="16"/>
      <c r="G807" s="2" t="str" cm="1">
        <f t="array" ref="G807">_xlfn.CONCAT(IFERROR(I807:K807,""))</f>
        <v>02000000FEFFFFFF</v>
      </c>
      <c r="I807" s="2" t="e">
        <f>_xlfn.LET(_xlpm.big,DEC2HEX(_xlfn.BITLSHIFT(M807-_xlfn.XLOOKUP(O807,Data!A:A,Data!F:F),4)+O807,8),_xlfn.CONCAT(MID(_xlpm.big,7,2),MID(_xlpm.big,5,2),MID(_xlpm.big,3,2),MID(_xlpm.big,1,2)))</f>
        <v>#NUM!</v>
      </c>
      <c r="J807" s="2" t="str">
        <f t="shared" si="48"/>
        <v>02000000</v>
      </c>
      <c r="K807" s="2" t="str">
        <f>_xlfn.LET(_xlpm.big,IF(H807,DEC2HEX(HEX2DEC(F807),8),DEC2HEX(N807-_xlfn.XLOOKUP(P807,Data!A:A,Data!F:F),8)),_xlfn.CONCAT(MID(_xlpm.big,7,2),MID(_xlpm.big,5,2),MID(_xlpm.big,3,2),MID(_xlpm.big,1,2)))</f>
        <v>FEFFFFFF</v>
      </c>
      <c r="L807" s="2">
        <f t="shared" si="49"/>
        <v>0</v>
      </c>
      <c r="M807" s="2">
        <f t="shared" si="50"/>
        <v>0</v>
      </c>
      <c r="N807" s="2">
        <f t="shared" si="51"/>
        <v>0</v>
      </c>
      <c r="O807" s="2" cm="1">
        <f t="array" ref="O807">_xlfn.IFS(M807&lt;Data!$F$3,0,M807&lt;Data!$F$4,1,TRUE,2)</f>
        <v>0</v>
      </c>
      <c r="P807" s="2" cm="1">
        <f t="array" ref="P807">_xlfn.IFS(H807,3,N807&lt;Data!$F$3,0,N807&lt;Data!$F$4,1,TRUE,2)</f>
        <v>0</v>
      </c>
    </row>
    <row r="808" spans="4:16">
      <c r="E808" s="16"/>
      <c r="G808" s="2" t="str" cm="1">
        <f t="array" ref="G808">_xlfn.CONCAT(IFERROR(I808:K808,""))</f>
        <v>02000000FEFFFFFF</v>
      </c>
      <c r="I808" s="2" t="e">
        <f>_xlfn.LET(_xlpm.big,DEC2HEX(_xlfn.BITLSHIFT(M808-_xlfn.XLOOKUP(O808,Data!A:A,Data!F:F),4)+O808,8),_xlfn.CONCAT(MID(_xlpm.big,7,2),MID(_xlpm.big,5,2),MID(_xlpm.big,3,2),MID(_xlpm.big,1,2)))</f>
        <v>#NUM!</v>
      </c>
      <c r="J808" s="2" t="str">
        <f t="shared" si="48"/>
        <v>02000000</v>
      </c>
      <c r="K808" s="2" t="str">
        <f>_xlfn.LET(_xlpm.big,IF(H808,DEC2HEX(HEX2DEC(F808),8),DEC2HEX(N808-_xlfn.XLOOKUP(P808,Data!A:A,Data!F:F),8)),_xlfn.CONCAT(MID(_xlpm.big,7,2),MID(_xlpm.big,5,2),MID(_xlpm.big,3,2),MID(_xlpm.big,1,2)))</f>
        <v>FEFFFFFF</v>
      </c>
      <c r="L808" s="2">
        <f t="shared" si="49"/>
        <v>0</v>
      </c>
      <c r="M808" s="2">
        <f t="shared" si="50"/>
        <v>0</v>
      </c>
      <c r="N808" s="2">
        <f t="shared" si="51"/>
        <v>0</v>
      </c>
      <c r="O808" s="2" cm="1">
        <f t="array" ref="O808">_xlfn.IFS(M808&lt;Data!$F$3,0,M808&lt;Data!$F$4,1,TRUE,2)</f>
        <v>0</v>
      </c>
      <c r="P808" s="2" cm="1">
        <f t="array" ref="P808">_xlfn.IFS(H808,3,N808&lt;Data!$F$3,0,N808&lt;Data!$F$4,1,TRUE,2)</f>
        <v>0</v>
      </c>
    </row>
    <row r="809" spans="4:16">
      <c r="E809" s="16"/>
      <c r="G809" s="2" t="str" cm="1">
        <f t="array" ref="G809">_xlfn.CONCAT(IFERROR(I809:K809,""))</f>
        <v>02000000FEFFFFFF</v>
      </c>
      <c r="I809" s="2" t="e">
        <f>_xlfn.LET(_xlpm.big,DEC2HEX(_xlfn.BITLSHIFT(M809-_xlfn.XLOOKUP(O809,Data!A:A,Data!F:F),4)+O809,8),_xlfn.CONCAT(MID(_xlpm.big,7,2),MID(_xlpm.big,5,2),MID(_xlpm.big,3,2),MID(_xlpm.big,1,2)))</f>
        <v>#NUM!</v>
      </c>
      <c r="J809" s="2" t="str">
        <f t="shared" si="48"/>
        <v>02000000</v>
      </c>
      <c r="K809" s="2" t="str">
        <f>_xlfn.LET(_xlpm.big,IF(H809,DEC2HEX(HEX2DEC(F809),8),DEC2HEX(N809-_xlfn.XLOOKUP(P809,Data!A:A,Data!F:F),8)),_xlfn.CONCAT(MID(_xlpm.big,7,2),MID(_xlpm.big,5,2),MID(_xlpm.big,3,2),MID(_xlpm.big,1,2)))</f>
        <v>FEFFFFFF</v>
      </c>
      <c r="L809" s="2">
        <f t="shared" si="49"/>
        <v>0</v>
      </c>
      <c r="M809" s="2">
        <f t="shared" si="50"/>
        <v>0</v>
      </c>
      <c r="N809" s="2">
        <f t="shared" si="51"/>
        <v>0</v>
      </c>
      <c r="O809" s="2" cm="1">
        <f t="array" ref="O809">_xlfn.IFS(M809&lt;Data!$F$3,0,M809&lt;Data!$F$4,1,TRUE,2)</f>
        <v>0</v>
      </c>
      <c r="P809" s="2" cm="1">
        <f t="array" ref="P809">_xlfn.IFS(H809,3,N809&lt;Data!$F$3,0,N809&lt;Data!$F$4,1,TRUE,2)</f>
        <v>0</v>
      </c>
    </row>
    <row r="810" spans="4:16">
      <c r="G810" s="2" t="str" cm="1">
        <f t="array" ref="G810">_xlfn.CONCAT(IFERROR(I810:K810,""))</f>
        <v>02000000FEFFFFFF</v>
      </c>
      <c r="I810" s="2" t="e">
        <f>_xlfn.LET(_xlpm.big,DEC2HEX(_xlfn.BITLSHIFT(M810-_xlfn.XLOOKUP(O810,Data!A:A,Data!F:F),4)+O810,8),_xlfn.CONCAT(MID(_xlpm.big,7,2),MID(_xlpm.big,5,2),MID(_xlpm.big,3,2),MID(_xlpm.big,1,2)))</f>
        <v>#NUM!</v>
      </c>
      <c r="J810" s="2" t="str">
        <f t="shared" si="48"/>
        <v>02000000</v>
      </c>
      <c r="K810" s="2" t="str">
        <f>_xlfn.LET(_xlpm.big,IF(H810,DEC2HEX(HEX2DEC(F810),8),DEC2HEX(N810-_xlfn.XLOOKUP(P810,Data!A:A,Data!F:F),8)),_xlfn.CONCAT(MID(_xlpm.big,7,2),MID(_xlpm.big,5,2),MID(_xlpm.big,3,2),MID(_xlpm.big,1,2)))</f>
        <v>FEFFFFFF</v>
      </c>
      <c r="L810" s="2">
        <f t="shared" si="49"/>
        <v>0</v>
      </c>
      <c r="M810" s="2">
        <f t="shared" si="50"/>
        <v>0</v>
      </c>
      <c r="N810" s="2">
        <f t="shared" si="51"/>
        <v>0</v>
      </c>
      <c r="O810" s="2" cm="1">
        <f t="array" ref="O810">_xlfn.IFS(M810&lt;Data!$F$3,0,M810&lt;Data!$F$4,1,TRUE,2)</f>
        <v>0</v>
      </c>
      <c r="P810" s="2" cm="1">
        <f t="array" ref="P810">_xlfn.IFS(H810,3,N810&lt;Data!$F$3,0,N810&lt;Data!$F$4,1,TRUE,2)</f>
        <v>0</v>
      </c>
    </row>
    <row r="811" spans="4:16">
      <c r="E811" s="16"/>
      <c r="G811" s="2" t="str" cm="1">
        <f t="array" ref="G811">_xlfn.CONCAT(IFERROR(I811:K811,""))</f>
        <v>02000000FEFFFFFF</v>
      </c>
      <c r="I811" s="2" t="e">
        <f>_xlfn.LET(_xlpm.big,DEC2HEX(_xlfn.BITLSHIFT(M811-_xlfn.XLOOKUP(O811,Data!A:A,Data!F:F),4)+O811,8),_xlfn.CONCAT(MID(_xlpm.big,7,2),MID(_xlpm.big,5,2),MID(_xlpm.big,3,2),MID(_xlpm.big,1,2)))</f>
        <v>#NUM!</v>
      </c>
      <c r="J811" s="2" t="str">
        <f t="shared" si="48"/>
        <v>02000000</v>
      </c>
      <c r="K811" s="2" t="str">
        <f>_xlfn.LET(_xlpm.big,IF(H811,DEC2HEX(HEX2DEC(F811),8),DEC2HEX(N811-_xlfn.XLOOKUP(P811,Data!A:A,Data!F:F),8)),_xlfn.CONCAT(MID(_xlpm.big,7,2),MID(_xlpm.big,5,2),MID(_xlpm.big,3,2),MID(_xlpm.big,1,2)))</f>
        <v>FEFFFFFF</v>
      </c>
      <c r="L811" s="2">
        <f t="shared" si="49"/>
        <v>0</v>
      </c>
      <c r="M811" s="2">
        <f t="shared" si="50"/>
        <v>0</v>
      </c>
      <c r="N811" s="2">
        <f t="shared" si="51"/>
        <v>0</v>
      </c>
      <c r="O811" s="2" cm="1">
        <f t="array" ref="O811">_xlfn.IFS(M811&lt;Data!$F$3,0,M811&lt;Data!$F$4,1,TRUE,2)</f>
        <v>0</v>
      </c>
      <c r="P811" s="2" cm="1">
        <f t="array" ref="P811">_xlfn.IFS(H811,3,N811&lt;Data!$F$3,0,N811&lt;Data!$F$4,1,TRUE,2)</f>
        <v>0</v>
      </c>
    </row>
    <row r="812" spans="4:16">
      <c r="G812" s="2" t="str" cm="1">
        <f t="array" ref="G812">_xlfn.CONCAT(IFERROR(I812:K812,""))</f>
        <v>02000000FEFFFFFF</v>
      </c>
      <c r="I812" s="2" t="e">
        <f>_xlfn.LET(_xlpm.big,DEC2HEX(_xlfn.BITLSHIFT(M812-_xlfn.XLOOKUP(O812,Data!A:A,Data!F:F),4)+O812,8),_xlfn.CONCAT(MID(_xlpm.big,7,2),MID(_xlpm.big,5,2),MID(_xlpm.big,3,2),MID(_xlpm.big,1,2)))</f>
        <v>#NUM!</v>
      </c>
      <c r="J812" s="2" t="str">
        <f t="shared" si="48"/>
        <v>02000000</v>
      </c>
      <c r="K812" s="2" t="str">
        <f>_xlfn.LET(_xlpm.big,IF(H812,DEC2HEX(HEX2DEC(F812),8),DEC2HEX(N812-_xlfn.XLOOKUP(P812,Data!A:A,Data!F:F),8)),_xlfn.CONCAT(MID(_xlpm.big,7,2),MID(_xlpm.big,5,2),MID(_xlpm.big,3,2),MID(_xlpm.big,1,2)))</f>
        <v>FEFFFFFF</v>
      </c>
      <c r="L812" s="2">
        <f t="shared" si="49"/>
        <v>0</v>
      </c>
      <c r="M812" s="2">
        <f t="shared" si="50"/>
        <v>0</v>
      </c>
      <c r="N812" s="2">
        <f t="shared" si="51"/>
        <v>0</v>
      </c>
      <c r="O812" s="2" cm="1">
        <f t="array" ref="O812">_xlfn.IFS(M812&lt;Data!$F$3,0,M812&lt;Data!$F$4,1,TRUE,2)</f>
        <v>0</v>
      </c>
      <c r="P812" s="2" cm="1">
        <f t="array" ref="P812">_xlfn.IFS(H812,3,N812&lt;Data!$F$3,0,N812&lt;Data!$F$4,1,TRUE,2)</f>
        <v>0</v>
      </c>
    </row>
    <row r="813" spans="4:16">
      <c r="E813" s="16"/>
      <c r="G813" s="2" t="str" cm="1">
        <f t="array" ref="G813">_xlfn.CONCAT(IFERROR(I813:K813,""))</f>
        <v>02000000FEFFFFFF</v>
      </c>
      <c r="I813" s="2" t="e">
        <f>_xlfn.LET(_xlpm.big,DEC2HEX(_xlfn.BITLSHIFT(M813-_xlfn.XLOOKUP(O813,Data!A:A,Data!F:F),4)+O813,8),_xlfn.CONCAT(MID(_xlpm.big,7,2),MID(_xlpm.big,5,2),MID(_xlpm.big,3,2),MID(_xlpm.big,1,2)))</f>
        <v>#NUM!</v>
      </c>
      <c r="J813" s="2" t="str">
        <f t="shared" si="48"/>
        <v>02000000</v>
      </c>
      <c r="K813" s="2" t="str">
        <f>_xlfn.LET(_xlpm.big,IF(H813,DEC2HEX(HEX2DEC(F813),8),DEC2HEX(N813-_xlfn.XLOOKUP(P813,Data!A:A,Data!F:F),8)),_xlfn.CONCAT(MID(_xlpm.big,7,2),MID(_xlpm.big,5,2),MID(_xlpm.big,3,2),MID(_xlpm.big,1,2)))</f>
        <v>FEFFFFFF</v>
      </c>
      <c r="L813" s="2">
        <f t="shared" si="49"/>
        <v>0</v>
      </c>
      <c r="M813" s="2">
        <f t="shared" si="50"/>
        <v>0</v>
      </c>
      <c r="N813" s="2">
        <f t="shared" si="51"/>
        <v>0</v>
      </c>
      <c r="O813" s="2" cm="1">
        <f t="array" ref="O813">_xlfn.IFS(M813&lt;Data!$F$3,0,M813&lt;Data!$F$4,1,TRUE,2)</f>
        <v>0</v>
      </c>
      <c r="P813" s="2" cm="1">
        <f t="array" ref="P813">_xlfn.IFS(H813,3,N813&lt;Data!$F$3,0,N813&lt;Data!$F$4,1,TRUE,2)</f>
        <v>0</v>
      </c>
    </row>
    <row r="814" spans="4:16">
      <c r="E814" s="16"/>
      <c r="G814" s="2" t="str" cm="1">
        <f t="array" ref="G814">_xlfn.CONCAT(IFERROR(I814:K814,""))</f>
        <v>02000000FEFFFFFF</v>
      </c>
      <c r="I814" s="2" t="e">
        <f>_xlfn.LET(_xlpm.big,DEC2HEX(_xlfn.BITLSHIFT(M814-_xlfn.XLOOKUP(O814,Data!A:A,Data!F:F),4)+O814,8),_xlfn.CONCAT(MID(_xlpm.big,7,2),MID(_xlpm.big,5,2),MID(_xlpm.big,3,2),MID(_xlpm.big,1,2)))</f>
        <v>#NUM!</v>
      </c>
      <c r="J814" s="2" t="str">
        <f t="shared" si="48"/>
        <v>02000000</v>
      </c>
      <c r="K814" s="2" t="str">
        <f>_xlfn.LET(_xlpm.big,IF(H814,DEC2HEX(HEX2DEC(F814),8),DEC2HEX(N814-_xlfn.XLOOKUP(P814,Data!A:A,Data!F:F),8)),_xlfn.CONCAT(MID(_xlpm.big,7,2),MID(_xlpm.big,5,2),MID(_xlpm.big,3,2),MID(_xlpm.big,1,2)))</f>
        <v>FEFFFFFF</v>
      </c>
      <c r="L814" s="2">
        <f t="shared" si="49"/>
        <v>0</v>
      </c>
      <c r="M814" s="2">
        <f t="shared" si="50"/>
        <v>0</v>
      </c>
      <c r="N814" s="2">
        <f t="shared" si="51"/>
        <v>0</v>
      </c>
      <c r="O814" s="2" cm="1">
        <f t="array" ref="O814">_xlfn.IFS(M814&lt;Data!$F$3,0,M814&lt;Data!$F$4,1,TRUE,2)</f>
        <v>0</v>
      </c>
      <c r="P814" s="2" cm="1">
        <f t="array" ref="P814">_xlfn.IFS(H814,3,N814&lt;Data!$F$3,0,N814&lt;Data!$F$4,1,TRUE,2)</f>
        <v>0</v>
      </c>
    </row>
    <row r="815" spans="4:16">
      <c r="E815" s="16"/>
      <c r="G815" s="2" t="str" cm="1">
        <f t="array" ref="G815">_xlfn.CONCAT(IFERROR(I815:K815,""))</f>
        <v>02000000FEFFFFFF</v>
      </c>
      <c r="I815" s="2" t="e">
        <f>_xlfn.LET(_xlpm.big,DEC2HEX(_xlfn.BITLSHIFT(M815-_xlfn.XLOOKUP(O815,Data!A:A,Data!F:F),4)+O815,8),_xlfn.CONCAT(MID(_xlpm.big,7,2),MID(_xlpm.big,5,2),MID(_xlpm.big,3,2),MID(_xlpm.big,1,2)))</f>
        <v>#NUM!</v>
      </c>
      <c r="J815" s="2" t="str">
        <f t="shared" si="48"/>
        <v>02000000</v>
      </c>
      <c r="K815" s="2" t="str">
        <f>_xlfn.LET(_xlpm.big,IF(H815,DEC2HEX(HEX2DEC(F815),8),DEC2HEX(N815-_xlfn.XLOOKUP(P815,Data!A:A,Data!F:F),8)),_xlfn.CONCAT(MID(_xlpm.big,7,2),MID(_xlpm.big,5,2),MID(_xlpm.big,3,2),MID(_xlpm.big,1,2)))</f>
        <v>FEFFFFFF</v>
      </c>
      <c r="L815" s="2">
        <f t="shared" si="49"/>
        <v>0</v>
      </c>
      <c r="M815" s="2">
        <f t="shared" si="50"/>
        <v>0</v>
      </c>
      <c r="N815" s="2">
        <f t="shared" si="51"/>
        <v>0</v>
      </c>
      <c r="O815" s="2" cm="1">
        <f t="array" ref="O815">_xlfn.IFS(M815&lt;Data!$F$3,0,M815&lt;Data!$F$4,1,TRUE,2)</f>
        <v>0</v>
      </c>
      <c r="P815" s="2" cm="1">
        <f t="array" ref="P815">_xlfn.IFS(H815,3,N815&lt;Data!$F$3,0,N815&lt;Data!$F$4,1,TRUE,2)</f>
        <v>0</v>
      </c>
    </row>
    <row r="816" spans="4:16">
      <c r="E816" s="16"/>
      <c r="G816" s="2" t="str" cm="1">
        <f t="array" ref="G816">_xlfn.CONCAT(IFERROR(I816:K816,""))</f>
        <v>02000000FEFFFFFF</v>
      </c>
      <c r="I816" s="2" t="e">
        <f>_xlfn.LET(_xlpm.big,DEC2HEX(_xlfn.BITLSHIFT(M816-_xlfn.XLOOKUP(O816,Data!A:A,Data!F:F),4)+O816,8),_xlfn.CONCAT(MID(_xlpm.big,7,2),MID(_xlpm.big,5,2),MID(_xlpm.big,3,2),MID(_xlpm.big,1,2)))</f>
        <v>#NUM!</v>
      </c>
      <c r="J816" s="2" t="str">
        <f t="shared" si="48"/>
        <v>02000000</v>
      </c>
      <c r="K816" s="2" t="str">
        <f>_xlfn.LET(_xlpm.big,IF(H816,DEC2HEX(HEX2DEC(F816),8),DEC2HEX(N816-_xlfn.XLOOKUP(P816,Data!A:A,Data!F:F),8)),_xlfn.CONCAT(MID(_xlpm.big,7,2),MID(_xlpm.big,5,2),MID(_xlpm.big,3,2),MID(_xlpm.big,1,2)))</f>
        <v>FEFFFFFF</v>
      </c>
      <c r="L816" s="2">
        <f t="shared" si="49"/>
        <v>0</v>
      </c>
      <c r="M816" s="2">
        <f t="shared" si="50"/>
        <v>0</v>
      </c>
      <c r="N816" s="2">
        <f t="shared" si="51"/>
        <v>0</v>
      </c>
      <c r="O816" s="2" cm="1">
        <f t="array" ref="O816">_xlfn.IFS(M816&lt;Data!$F$3,0,M816&lt;Data!$F$4,1,TRUE,2)</f>
        <v>0</v>
      </c>
      <c r="P816" s="2" cm="1">
        <f t="array" ref="P816">_xlfn.IFS(H816,3,N816&lt;Data!$F$3,0,N816&lt;Data!$F$4,1,TRUE,2)</f>
        <v>0</v>
      </c>
    </row>
    <row r="817" spans="4:16">
      <c r="E817" s="16"/>
      <c r="G817" s="2" t="str" cm="1">
        <f t="array" ref="G817">_xlfn.CONCAT(IFERROR(I817:K817,""))</f>
        <v>02000000FEFFFFFF</v>
      </c>
      <c r="I817" s="2" t="e">
        <f>_xlfn.LET(_xlpm.big,DEC2HEX(_xlfn.BITLSHIFT(M817-_xlfn.XLOOKUP(O817,Data!A:A,Data!F:F),4)+O817,8),_xlfn.CONCAT(MID(_xlpm.big,7,2),MID(_xlpm.big,5,2),MID(_xlpm.big,3,2),MID(_xlpm.big,1,2)))</f>
        <v>#NUM!</v>
      </c>
      <c r="J817" s="2" t="str">
        <f t="shared" si="48"/>
        <v>02000000</v>
      </c>
      <c r="K817" s="2" t="str">
        <f>_xlfn.LET(_xlpm.big,IF(H817,DEC2HEX(HEX2DEC(F817),8),DEC2HEX(N817-_xlfn.XLOOKUP(P817,Data!A:A,Data!F:F),8)),_xlfn.CONCAT(MID(_xlpm.big,7,2),MID(_xlpm.big,5,2),MID(_xlpm.big,3,2),MID(_xlpm.big,1,2)))</f>
        <v>FEFFFFFF</v>
      </c>
      <c r="L817" s="2">
        <f t="shared" si="49"/>
        <v>0</v>
      </c>
      <c r="M817" s="2">
        <f t="shared" si="50"/>
        <v>0</v>
      </c>
      <c r="N817" s="2">
        <f t="shared" si="51"/>
        <v>0</v>
      </c>
      <c r="O817" s="2" cm="1">
        <f t="array" ref="O817">_xlfn.IFS(M817&lt;Data!$F$3,0,M817&lt;Data!$F$4,1,TRUE,2)</f>
        <v>0</v>
      </c>
      <c r="P817" s="2" cm="1">
        <f t="array" ref="P817">_xlfn.IFS(H817,3,N817&lt;Data!$F$3,0,N817&lt;Data!$F$4,1,TRUE,2)</f>
        <v>0</v>
      </c>
    </row>
    <row r="818" spans="4:16">
      <c r="E818" s="16"/>
      <c r="G818" s="2" t="str" cm="1">
        <f t="array" ref="G818">_xlfn.CONCAT(IFERROR(I818:K818,""))</f>
        <v>02000000FEFFFFFF</v>
      </c>
      <c r="I818" s="2" t="e">
        <f>_xlfn.LET(_xlpm.big,DEC2HEX(_xlfn.BITLSHIFT(M818-_xlfn.XLOOKUP(O818,Data!A:A,Data!F:F),4)+O818,8),_xlfn.CONCAT(MID(_xlpm.big,7,2),MID(_xlpm.big,5,2),MID(_xlpm.big,3,2),MID(_xlpm.big,1,2)))</f>
        <v>#NUM!</v>
      </c>
      <c r="J818" s="2" t="str">
        <f t="shared" si="48"/>
        <v>02000000</v>
      </c>
      <c r="K818" s="2" t="str">
        <f>_xlfn.LET(_xlpm.big,IF(H818,DEC2HEX(HEX2DEC(F818),8),DEC2HEX(N818-_xlfn.XLOOKUP(P818,Data!A:A,Data!F:F),8)),_xlfn.CONCAT(MID(_xlpm.big,7,2),MID(_xlpm.big,5,2),MID(_xlpm.big,3,2),MID(_xlpm.big,1,2)))</f>
        <v>FEFFFFFF</v>
      </c>
      <c r="L818" s="2">
        <f t="shared" si="49"/>
        <v>0</v>
      </c>
      <c r="M818" s="2">
        <f t="shared" si="50"/>
        <v>0</v>
      </c>
      <c r="N818" s="2">
        <f t="shared" si="51"/>
        <v>0</v>
      </c>
      <c r="O818" s="2" cm="1">
        <f t="array" ref="O818">_xlfn.IFS(M818&lt;Data!$F$3,0,M818&lt;Data!$F$4,1,TRUE,2)</f>
        <v>0</v>
      </c>
      <c r="P818" s="2" cm="1">
        <f t="array" ref="P818">_xlfn.IFS(H818,3,N818&lt;Data!$F$3,0,N818&lt;Data!$F$4,1,TRUE,2)</f>
        <v>0</v>
      </c>
    </row>
    <row r="819" spans="4:16">
      <c r="G819" s="2" t="str" cm="1">
        <f t="array" ref="G819">_xlfn.CONCAT(IFERROR(I819:K819,""))</f>
        <v>02000000FEFFFFFF</v>
      </c>
      <c r="I819" s="2" t="e">
        <f>_xlfn.LET(_xlpm.big,DEC2HEX(_xlfn.BITLSHIFT(M819-_xlfn.XLOOKUP(O819,Data!A:A,Data!F:F),4)+O819,8),_xlfn.CONCAT(MID(_xlpm.big,7,2),MID(_xlpm.big,5,2),MID(_xlpm.big,3,2),MID(_xlpm.big,1,2)))</f>
        <v>#NUM!</v>
      </c>
      <c r="J819" s="2" t="str">
        <f t="shared" si="48"/>
        <v>02000000</v>
      </c>
      <c r="K819" s="2" t="str">
        <f>_xlfn.LET(_xlpm.big,IF(H819,DEC2HEX(HEX2DEC(F819),8),DEC2HEX(N819-_xlfn.XLOOKUP(P819,Data!A:A,Data!F:F),8)),_xlfn.CONCAT(MID(_xlpm.big,7,2),MID(_xlpm.big,5,2),MID(_xlpm.big,3,2),MID(_xlpm.big,1,2)))</f>
        <v>FEFFFFFF</v>
      </c>
      <c r="L819" s="2">
        <f t="shared" si="49"/>
        <v>0</v>
      </c>
      <c r="M819" s="2">
        <f t="shared" si="50"/>
        <v>0</v>
      </c>
      <c r="N819" s="2">
        <f t="shared" si="51"/>
        <v>0</v>
      </c>
      <c r="O819" s="2" cm="1">
        <f t="array" ref="O819">_xlfn.IFS(M819&lt;Data!$F$3,0,M819&lt;Data!$F$4,1,TRUE,2)</f>
        <v>0</v>
      </c>
      <c r="P819" s="2" cm="1">
        <f t="array" ref="P819">_xlfn.IFS(H819,3,N819&lt;Data!$F$3,0,N819&lt;Data!$F$4,1,TRUE,2)</f>
        <v>0</v>
      </c>
    </row>
    <row r="820" spans="4:16">
      <c r="E820" s="16"/>
      <c r="G820" s="2" t="str" cm="1">
        <f t="array" ref="G820">_xlfn.CONCAT(IFERROR(I820:K820,""))</f>
        <v>02000000FEFFFFFF</v>
      </c>
      <c r="I820" s="2" t="e">
        <f>_xlfn.LET(_xlpm.big,DEC2HEX(_xlfn.BITLSHIFT(M820-_xlfn.XLOOKUP(O820,Data!A:A,Data!F:F),4)+O820,8),_xlfn.CONCAT(MID(_xlpm.big,7,2),MID(_xlpm.big,5,2),MID(_xlpm.big,3,2),MID(_xlpm.big,1,2)))</f>
        <v>#NUM!</v>
      </c>
      <c r="J820" s="2" t="str">
        <f t="shared" si="48"/>
        <v>02000000</v>
      </c>
      <c r="K820" s="2" t="str">
        <f>_xlfn.LET(_xlpm.big,IF(H820,DEC2HEX(HEX2DEC(F820),8),DEC2HEX(N820-_xlfn.XLOOKUP(P820,Data!A:A,Data!F:F),8)),_xlfn.CONCAT(MID(_xlpm.big,7,2),MID(_xlpm.big,5,2),MID(_xlpm.big,3,2),MID(_xlpm.big,1,2)))</f>
        <v>FEFFFFFF</v>
      </c>
      <c r="L820" s="2">
        <f t="shared" si="49"/>
        <v>0</v>
      </c>
      <c r="M820" s="2">
        <f t="shared" si="50"/>
        <v>0</v>
      </c>
      <c r="N820" s="2">
        <f t="shared" si="51"/>
        <v>0</v>
      </c>
      <c r="O820" s="2" cm="1">
        <f t="array" ref="O820">_xlfn.IFS(M820&lt;Data!$F$3,0,M820&lt;Data!$F$4,1,TRUE,2)</f>
        <v>0</v>
      </c>
      <c r="P820" s="2" cm="1">
        <f t="array" ref="P820">_xlfn.IFS(H820,3,N820&lt;Data!$F$3,0,N820&lt;Data!$F$4,1,TRUE,2)</f>
        <v>0</v>
      </c>
    </row>
    <row r="821" spans="4:16">
      <c r="E821" s="16"/>
      <c r="G821" s="2" t="str" cm="1">
        <f t="array" ref="G821">_xlfn.CONCAT(IFERROR(I821:K821,""))</f>
        <v>02000000FEFFFFFF</v>
      </c>
      <c r="I821" s="2" t="e">
        <f>_xlfn.LET(_xlpm.big,DEC2HEX(_xlfn.BITLSHIFT(M821-_xlfn.XLOOKUP(O821,Data!A:A,Data!F:F),4)+O821,8),_xlfn.CONCAT(MID(_xlpm.big,7,2),MID(_xlpm.big,5,2),MID(_xlpm.big,3,2),MID(_xlpm.big,1,2)))</f>
        <v>#NUM!</v>
      </c>
      <c r="J821" s="2" t="str">
        <f t="shared" si="48"/>
        <v>02000000</v>
      </c>
      <c r="K821" s="2" t="str">
        <f>_xlfn.LET(_xlpm.big,IF(H821,DEC2HEX(HEX2DEC(F821),8),DEC2HEX(N821-_xlfn.XLOOKUP(P821,Data!A:A,Data!F:F),8)),_xlfn.CONCAT(MID(_xlpm.big,7,2),MID(_xlpm.big,5,2),MID(_xlpm.big,3,2),MID(_xlpm.big,1,2)))</f>
        <v>FEFFFFFF</v>
      </c>
      <c r="L821" s="2">
        <f t="shared" si="49"/>
        <v>0</v>
      </c>
      <c r="M821" s="2">
        <f t="shared" si="50"/>
        <v>0</v>
      </c>
      <c r="N821" s="2">
        <f t="shared" si="51"/>
        <v>0</v>
      </c>
      <c r="O821" s="2" cm="1">
        <f t="array" ref="O821">_xlfn.IFS(M821&lt;Data!$F$3,0,M821&lt;Data!$F$4,1,TRUE,2)</f>
        <v>0</v>
      </c>
      <c r="P821" s="2" cm="1">
        <f t="array" ref="P821">_xlfn.IFS(H821,3,N821&lt;Data!$F$3,0,N821&lt;Data!$F$4,1,TRUE,2)</f>
        <v>0</v>
      </c>
    </row>
    <row r="822" spans="4:16">
      <c r="E822" s="16"/>
      <c r="G822" s="2" t="str" cm="1">
        <f t="array" ref="G822">_xlfn.CONCAT(IFERROR(I822:K822,""))</f>
        <v>02000000FEFFFFFF</v>
      </c>
      <c r="I822" s="2" t="e">
        <f>_xlfn.LET(_xlpm.big,DEC2HEX(_xlfn.BITLSHIFT(M822-_xlfn.XLOOKUP(O822,Data!A:A,Data!F:F),4)+O822,8),_xlfn.CONCAT(MID(_xlpm.big,7,2),MID(_xlpm.big,5,2),MID(_xlpm.big,3,2),MID(_xlpm.big,1,2)))</f>
        <v>#NUM!</v>
      </c>
      <c r="J822" s="2" t="str">
        <f t="shared" si="48"/>
        <v>02000000</v>
      </c>
      <c r="K822" s="2" t="str">
        <f>_xlfn.LET(_xlpm.big,IF(H822,DEC2HEX(HEX2DEC(F822),8),DEC2HEX(N822-_xlfn.XLOOKUP(P822,Data!A:A,Data!F:F),8)),_xlfn.CONCAT(MID(_xlpm.big,7,2),MID(_xlpm.big,5,2),MID(_xlpm.big,3,2),MID(_xlpm.big,1,2)))</f>
        <v>FEFFFFFF</v>
      </c>
      <c r="L822" s="2">
        <f t="shared" si="49"/>
        <v>0</v>
      </c>
      <c r="M822" s="2">
        <f t="shared" si="50"/>
        <v>0</v>
      </c>
      <c r="N822" s="2">
        <f t="shared" si="51"/>
        <v>0</v>
      </c>
      <c r="O822" s="2" cm="1">
        <f t="array" ref="O822">_xlfn.IFS(M822&lt;Data!$F$3,0,M822&lt;Data!$F$4,1,TRUE,2)</f>
        <v>0</v>
      </c>
      <c r="P822" s="2" cm="1">
        <f t="array" ref="P822">_xlfn.IFS(H822,3,N822&lt;Data!$F$3,0,N822&lt;Data!$F$4,1,TRUE,2)</f>
        <v>0</v>
      </c>
    </row>
    <row r="823" spans="4:16">
      <c r="E823" s="16"/>
      <c r="G823" s="2" t="str" cm="1">
        <f t="array" ref="G823">_xlfn.CONCAT(IFERROR(I823:K823,""))</f>
        <v>02000000FEFFFFFF</v>
      </c>
      <c r="I823" s="2" t="e">
        <f>_xlfn.LET(_xlpm.big,DEC2HEX(_xlfn.BITLSHIFT(M823-_xlfn.XLOOKUP(O823,Data!A:A,Data!F:F),4)+O823,8),_xlfn.CONCAT(MID(_xlpm.big,7,2),MID(_xlpm.big,5,2),MID(_xlpm.big,3,2),MID(_xlpm.big,1,2)))</f>
        <v>#NUM!</v>
      </c>
      <c r="J823" s="2" t="str">
        <f t="shared" si="48"/>
        <v>02000000</v>
      </c>
      <c r="K823" s="2" t="str">
        <f>_xlfn.LET(_xlpm.big,IF(H823,DEC2HEX(HEX2DEC(F823),8),DEC2HEX(N823-_xlfn.XLOOKUP(P823,Data!A:A,Data!F:F),8)),_xlfn.CONCAT(MID(_xlpm.big,7,2),MID(_xlpm.big,5,2),MID(_xlpm.big,3,2),MID(_xlpm.big,1,2)))</f>
        <v>FEFFFFFF</v>
      </c>
      <c r="L823" s="2">
        <f t="shared" si="49"/>
        <v>0</v>
      </c>
      <c r="M823" s="2">
        <f t="shared" si="50"/>
        <v>0</v>
      </c>
      <c r="N823" s="2">
        <f t="shared" si="51"/>
        <v>0</v>
      </c>
      <c r="O823" s="2" cm="1">
        <f t="array" ref="O823">_xlfn.IFS(M823&lt;Data!$F$3,0,M823&lt;Data!$F$4,1,TRUE,2)</f>
        <v>0</v>
      </c>
      <c r="P823" s="2" cm="1">
        <f t="array" ref="P823">_xlfn.IFS(H823,3,N823&lt;Data!$F$3,0,N823&lt;Data!$F$4,1,TRUE,2)</f>
        <v>0</v>
      </c>
    </row>
    <row r="824" spans="4:16">
      <c r="G824" s="2" t="str" cm="1">
        <f t="array" ref="G824">_xlfn.CONCAT(IFERROR(I824:K824,""))</f>
        <v>02000000FEFFFFFF</v>
      </c>
      <c r="I824" s="2" t="e">
        <f>_xlfn.LET(_xlpm.big,DEC2HEX(_xlfn.BITLSHIFT(M824-_xlfn.XLOOKUP(O824,Data!A:A,Data!F:F),4)+O824,8),_xlfn.CONCAT(MID(_xlpm.big,7,2),MID(_xlpm.big,5,2),MID(_xlpm.big,3,2),MID(_xlpm.big,1,2)))</f>
        <v>#NUM!</v>
      </c>
      <c r="J824" s="2" t="str">
        <f t="shared" si="48"/>
        <v>02000000</v>
      </c>
      <c r="K824" s="2" t="str">
        <f>_xlfn.LET(_xlpm.big,IF(H824,DEC2HEX(HEX2DEC(F824),8),DEC2HEX(N824-_xlfn.XLOOKUP(P824,Data!A:A,Data!F:F),8)),_xlfn.CONCAT(MID(_xlpm.big,7,2),MID(_xlpm.big,5,2),MID(_xlpm.big,3,2),MID(_xlpm.big,1,2)))</f>
        <v>FEFFFFFF</v>
      </c>
      <c r="L824" s="2">
        <f t="shared" si="49"/>
        <v>0</v>
      </c>
      <c r="M824" s="2">
        <f t="shared" si="50"/>
        <v>0</v>
      </c>
      <c r="N824" s="2">
        <f t="shared" si="51"/>
        <v>0</v>
      </c>
      <c r="O824" s="2" cm="1">
        <f t="array" ref="O824">_xlfn.IFS(M824&lt;Data!$F$3,0,M824&lt;Data!$F$4,1,TRUE,2)</f>
        <v>0</v>
      </c>
      <c r="P824" s="2" cm="1">
        <f t="array" ref="P824">_xlfn.IFS(H824,3,N824&lt;Data!$F$3,0,N824&lt;Data!$F$4,1,TRUE,2)</f>
        <v>0</v>
      </c>
    </row>
    <row r="825" spans="4:16">
      <c r="E825" s="16"/>
      <c r="G825" s="2" t="str" cm="1">
        <f t="array" ref="G825">_xlfn.CONCAT(IFERROR(I825:K825,""))</f>
        <v>02000000FEFFFFFF</v>
      </c>
      <c r="I825" s="2" t="e">
        <f>_xlfn.LET(_xlpm.big,DEC2HEX(_xlfn.BITLSHIFT(M825-_xlfn.XLOOKUP(O825,Data!A:A,Data!F:F),4)+O825,8),_xlfn.CONCAT(MID(_xlpm.big,7,2),MID(_xlpm.big,5,2),MID(_xlpm.big,3,2),MID(_xlpm.big,1,2)))</f>
        <v>#NUM!</v>
      </c>
      <c r="J825" s="2" t="str">
        <f t="shared" si="48"/>
        <v>02000000</v>
      </c>
      <c r="K825" s="2" t="str">
        <f>_xlfn.LET(_xlpm.big,IF(H825,DEC2HEX(HEX2DEC(F825),8),DEC2HEX(N825-_xlfn.XLOOKUP(P825,Data!A:A,Data!F:F),8)),_xlfn.CONCAT(MID(_xlpm.big,7,2),MID(_xlpm.big,5,2),MID(_xlpm.big,3,2),MID(_xlpm.big,1,2)))</f>
        <v>FEFFFFFF</v>
      </c>
      <c r="L825" s="2">
        <f t="shared" si="49"/>
        <v>0</v>
      </c>
      <c r="M825" s="2">
        <f t="shared" si="50"/>
        <v>0</v>
      </c>
      <c r="N825" s="2">
        <f t="shared" si="51"/>
        <v>0</v>
      </c>
      <c r="O825" s="2" cm="1">
        <f t="array" ref="O825">_xlfn.IFS(M825&lt;Data!$F$3,0,M825&lt;Data!$F$4,1,TRUE,2)</f>
        <v>0</v>
      </c>
      <c r="P825" s="2" cm="1">
        <f t="array" ref="P825">_xlfn.IFS(H825,3,N825&lt;Data!$F$3,0,N825&lt;Data!$F$4,1,TRUE,2)</f>
        <v>0</v>
      </c>
    </row>
    <row r="826" spans="4:16">
      <c r="D826" s="3"/>
      <c r="E826" s="3"/>
      <c r="G826" s="2" t="str" cm="1">
        <f t="array" ref="G826">_xlfn.CONCAT(IFERROR(I826:K826,""))</f>
        <v>02000000FEFFFFFF</v>
      </c>
      <c r="I826" s="2" t="e">
        <f>_xlfn.LET(_xlpm.big,DEC2HEX(_xlfn.BITLSHIFT(M826-_xlfn.XLOOKUP(O826,Data!A:A,Data!F:F),4)+O826,8),_xlfn.CONCAT(MID(_xlpm.big,7,2),MID(_xlpm.big,5,2),MID(_xlpm.big,3,2),MID(_xlpm.big,1,2)))</f>
        <v>#NUM!</v>
      </c>
      <c r="J826" s="2" t="str">
        <f t="shared" si="48"/>
        <v>02000000</v>
      </c>
      <c r="K826" s="2" t="str">
        <f>_xlfn.LET(_xlpm.big,IF(H826,DEC2HEX(HEX2DEC(F826),8),DEC2HEX(N826-_xlfn.XLOOKUP(P826,Data!A:A,Data!F:F),8)),_xlfn.CONCAT(MID(_xlpm.big,7,2),MID(_xlpm.big,5,2),MID(_xlpm.big,3,2),MID(_xlpm.big,1,2)))</f>
        <v>FEFFFFFF</v>
      </c>
      <c r="L826" s="2">
        <f t="shared" si="49"/>
        <v>0</v>
      </c>
      <c r="M826" s="2">
        <f t="shared" si="50"/>
        <v>0</v>
      </c>
      <c r="N826" s="2">
        <f t="shared" si="51"/>
        <v>0</v>
      </c>
      <c r="O826" s="2" cm="1">
        <f t="array" ref="O826">_xlfn.IFS(M826&lt;Data!$F$3,0,M826&lt;Data!$F$4,1,TRUE,2)</f>
        <v>0</v>
      </c>
      <c r="P826" s="2" cm="1">
        <f t="array" ref="P826">_xlfn.IFS(H826,3,N826&lt;Data!$F$3,0,N826&lt;Data!$F$4,1,TRUE,2)</f>
        <v>0</v>
      </c>
    </row>
    <row r="827" spans="4:16">
      <c r="E827" s="16"/>
      <c r="G827" s="2" t="str" cm="1">
        <f t="array" ref="G827">_xlfn.CONCAT(IFERROR(I827:K827,""))</f>
        <v>02000000FEFFFFFF</v>
      </c>
      <c r="I827" s="2" t="e">
        <f>_xlfn.LET(_xlpm.big,DEC2HEX(_xlfn.BITLSHIFT(M827-_xlfn.XLOOKUP(O827,Data!A:A,Data!F:F),4)+O827,8),_xlfn.CONCAT(MID(_xlpm.big,7,2),MID(_xlpm.big,5,2),MID(_xlpm.big,3,2),MID(_xlpm.big,1,2)))</f>
        <v>#NUM!</v>
      </c>
      <c r="J827" s="2" t="str">
        <f t="shared" si="48"/>
        <v>02000000</v>
      </c>
      <c r="K827" s="2" t="str">
        <f>_xlfn.LET(_xlpm.big,IF(H827,DEC2HEX(HEX2DEC(F827),8),DEC2HEX(N827-_xlfn.XLOOKUP(P827,Data!A:A,Data!F:F),8)),_xlfn.CONCAT(MID(_xlpm.big,7,2),MID(_xlpm.big,5,2),MID(_xlpm.big,3,2),MID(_xlpm.big,1,2)))</f>
        <v>FEFFFFFF</v>
      </c>
      <c r="L827" s="2">
        <f t="shared" si="49"/>
        <v>0</v>
      </c>
      <c r="M827" s="2">
        <f t="shared" si="50"/>
        <v>0</v>
      </c>
      <c r="N827" s="2">
        <f t="shared" si="51"/>
        <v>0</v>
      </c>
      <c r="O827" s="2" cm="1">
        <f t="array" ref="O827">_xlfn.IFS(M827&lt;Data!$F$3,0,M827&lt;Data!$F$4,1,TRUE,2)</f>
        <v>0</v>
      </c>
      <c r="P827" s="2" cm="1">
        <f t="array" ref="P827">_xlfn.IFS(H827,3,N827&lt;Data!$F$3,0,N827&lt;Data!$F$4,1,TRUE,2)</f>
        <v>0</v>
      </c>
    </row>
    <row r="828" spans="4:16">
      <c r="E828" s="16"/>
      <c r="G828" s="2" t="str" cm="1">
        <f t="array" ref="G828">_xlfn.CONCAT(IFERROR(I828:K828,""))</f>
        <v>02000000FEFFFFFF</v>
      </c>
      <c r="I828" s="2" t="e">
        <f>_xlfn.LET(_xlpm.big,DEC2HEX(_xlfn.BITLSHIFT(M828-_xlfn.XLOOKUP(O828,Data!A:A,Data!F:F),4)+O828,8),_xlfn.CONCAT(MID(_xlpm.big,7,2),MID(_xlpm.big,5,2),MID(_xlpm.big,3,2),MID(_xlpm.big,1,2)))</f>
        <v>#NUM!</v>
      </c>
      <c r="J828" s="2" t="str">
        <f t="shared" si="48"/>
        <v>02000000</v>
      </c>
      <c r="K828" s="2" t="str">
        <f>_xlfn.LET(_xlpm.big,IF(H828,DEC2HEX(HEX2DEC(F828),8),DEC2HEX(N828-_xlfn.XLOOKUP(P828,Data!A:A,Data!F:F),8)),_xlfn.CONCAT(MID(_xlpm.big,7,2),MID(_xlpm.big,5,2),MID(_xlpm.big,3,2),MID(_xlpm.big,1,2)))</f>
        <v>FEFFFFFF</v>
      </c>
      <c r="L828" s="2">
        <f t="shared" si="49"/>
        <v>0</v>
      </c>
      <c r="M828" s="2">
        <f t="shared" si="50"/>
        <v>0</v>
      </c>
      <c r="N828" s="2">
        <f t="shared" si="51"/>
        <v>0</v>
      </c>
      <c r="O828" s="2" cm="1">
        <f t="array" ref="O828">_xlfn.IFS(M828&lt;Data!$F$3,0,M828&lt;Data!$F$4,1,TRUE,2)</f>
        <v>0</v>
      </c>
      <c r="P828" s="2" cm="1">
        <f t="array" ref="P828">_xlfn.IFS(H828,3,N828&lt;Data!$F$3,0,N828&lt;Data!$F$4,1,TRUE,2)</f>
        <v>0</v>
      </c>
    </row>
    <row r="829" spans="4:16">
      <c r="E829" s="16"/>
      <c r="G829" s="2" t="str" cm="1">
        <f t="array" ref="G829">_xlfn.CONCAT(IFERROR(I829:K829,""))</f>
        <v>02000000FEFFFFFF</v>
      </c>
      <c r="I829" s="2" t="e">
        <f>_xlfn.LET(_xlpm.big,DEC2HEX(_xlfn.BITLSHIFT(M829-_xlfn.XLOOKUP(O829,Data!A:A,Data!F:F),4)+O829,8),_xlfn.CONCAT(MID(_xlpm.big,7,2),MID(_xlpm.big,5,2),MID(_xlpm.big,3,2),MID(_xlpm.big,1,2)))</f>
        <v>#NUM!</v>
      </c>
      <c r="J829" s="2" t="str">
        <f t="shared" si="48"/>
        <v>02000000</v>
      </c>
      <c r="K829" s="2" t="str">
        <f>_xlfn.LET(_xlpm.big,IF(H829,DEC2HEX(HEX2DEC(F829),8),DEC2HEX(N829-_xlfn.XLOOKUP(P829,Data!A:A,Data!F:F),8)),_xlfn.CONCAT(MID(_xlpm.big,7,2),MID(_xlpm.big,5,2),MID(_xlpm.big,3,2),MID(_xlpm.big,1,2)))</f>
        <v>FEFFFFFF</v>
      </c>
      <c r="L829" s="2">
        <f t="shared" si="49"/>
        <v>0</v>
      </c>
      <c r="M829" s="2">
        <f t="shared" si="50"/>
        <v>0</v>
      </c>
      <c r="N829" s="2">
        <f t="shared" si="51"/>
        <v>0</v>
      </c>
      <c r="O829" s="2" cm="1">
        <f t="array" ref="O829">_xlfn.IFS(M829&lt;Data!$F$3,0,M829&lt;Data!$F$4,1,TRUE,2)</f>
        <v>0</v>
      </c>
      <c r="P829" s="2" cm="1">
        <f t="array" ref="P829">_xlfn.IFS(H829,3,N829&lt;Data!$F$3,0,N829&lt;Data!$F$4,1,TRUE,2)</f>
        <v>0</v>
      </c>
    </row>
    <row r="830" spans="4:16">
      <c r="G830" s="2" t="str" cm="1">
        <f t="array" ref="G830">_xlfn.CONCAT(IFERROR(I830:K830,""))</f>
        <v>02000000FEFFFFFF</v>
      </c>
      <c r="I830" s="2" t="e">
        <f>_xlfn.LET(_xlpm.big,DEC2HEX(_xlfn.BITLSHIFT(M830-_xlfn.XLOOKUP(O830,Data!A:A,Data!F:F),4)+O830,8),_xlfn.CONCAT(MID(_xlpm.big,7,2),MID(_xlpm.big,5,2),MID(_xlpm.big,3,2),MID(_xlpm.big,1,2)))</f>
        <v>#NUM!</v>
      </c>
      <c r="J830" s="2" t="str">
        <f t="shared" si="48"/>
        <v>02000000</v>
      </c>
      <c r="K830" s="2" t="str">
        <f>_xlfn.LET(_xlpm.big,IF(H830,DEC2HEX(HEX2DEC(F830),8),DEC2HEX(N830-_xlfn.XLOOKUP(P830,Data!A:A,Data!F:F),8)),_xlfn.CONCAT(MID(_xlpm.big,7,2),MID(_xlpm.big,5,2),MID(_xlpm.big,3,2),MID(_xlpm.big,1,2)))</f>
        <v>FEFFFFFF</v>
      </c>
      <c r="L830" s="2">
        <f t="shared" si="49"/>
        <v>0</v>
      </c>
      <c r="M830" s="2">
        <f t="shared" si="50"/>
        <v>0</v>
      </c>
      <c r="N830" s="2">
        <f t="shared" si="51"/>
        <v>0</v>
      </c>
      <c r="O830" s="2" cm="1">
        <f t="array" ref="O830">_xlfn.IFS(M830&lt;Data!$F$3,0,M830&lt;Data!$F$4,1,TRUE,2)</f>
        <v>0</v>
      </c>
      <c r="P830" s="2" cm="1">
        <f t="array" ref="P830">_xlfn.IFS(H830,3,N830&lt;Data!$F$3,0,N830&lt;Data!$F$4,1,TRUE,2)</f>
        <v>0</v>
      </c>
    </row>
    <row r="831" spans="4:16">
      <c r="G831" s="2" t="str" cm="1">
        <f t="array" ref="G831">_xlfn.CONCAT(IFERROR(I831:K831,""))</f>
        <v>02000000FEFFFFFF</v>
      </c>
      <c r="I831" s="2" t="e">
        <f>_xlfn.LET(_xlpm.big,DEC2HEX(_xlfn.BITLSHIFT(M831-_xlfn.XLOOKUP(O831,Data!A:A,Data!F:F),4)+O831,8),_xlfn.CONCAT(MID(_xlpm.big,7,2),MID(_xlpm.big,5,2),MID(_xlpm.big,3,2),MID(_xlpm.big,1,2)))</f>
        <v>#NUM!</v>
      </c>
      <c r="J831" s="2" t="str">
        <f t="shared" si="48"/>
        <v>02000000</v>
      </c>
      <c r="K831" s="2" t="str">
        <f>_xlfn.LET(_xlpm.big,IF(H831,DEC2HEX(HEX2DEC(F831),8),DEC2HEX(N831-_xlfn.XLOOKUP(P831,Data!A:A,Data!F:F),8)),_xlfn.CONCAT(MID(_xlpm.big,7,2),MID(_xlpm.big,5,2),MID(_xlpm.big,3,2),MID(_xlpm.big,1,2)))</f>
        <v>FEFFFFFF</v>
      </c>
      <c r="L831" s="2">
        <f t="shared" si="49"/>
        <v>0</v>
      </c>
      <c r="M831" s="2">
        <f t="shared" si="50"/>
        <v>0</v>
      </c>
      <c r="N831" s="2">
        <f t="shared" si="51"/>
        <v>0</v>
      </c>
      <c r="O831" s="2" cm="1">
        <f t="array" ref="O831">_xlfn.IFS(M831&lt;Data!$F$3,0,M831&lt;Data!$F$4,1,TRUE,2)</f>
        <v>0</v>
      </c>
      <c r="P831" s="2" cm="1">
        <f t="array" ref="P831">_xlfn.IFS(H831,3,N831&lt;Data!$F$3,0,N831&lt;Data!$F$4,1,TRUE,2)</f>
        <v>0</v>
      </c>
    </row>
    <row r="832" spans="4:16">
      <c r="E832" s="16"/>
      <c r="G832" s="2" t="str" cm="1">
        <f t="array" ref="G832">_xlfn.CONCAT(IFERROR(I832:K832,""))</f>
        <v>02000000FEFFFFFF</v>
      </c>
      <c r="I832" s="2" t="e">
        <f>_xlfn.LET(_xlpm.big,DEC2HEX(_xlfn.BITLSHIFT(M832-_xlfn.XLOOKUP(O832,Data!A:A,Data!F:F),4)+O832,8),_xlfn.CONCAT(MID(_xlpm.big,7,2),MID(_xlpm.big,5,2),MID(_xlpm.big,3,2),MID(_xlpm.big,1,2)))</f>
        <v>#NUM!</v>
      </c>
      <c r="J832" s="2" t="str">
        <f t="shared" si="48"/>
        <v>02000000</v>
      </c>
      <c r="K832" s="2" t="str">
        <f>_xlfn.LET(_xlpm.big,IF(H832,DEC2HEX(HEX2DEC(F832),8),DEC2HEX(N832-_xlfn.XLOOKUP(P832,Data!A:A,Data!F:F),8)),_xlfn.CONCAT(MID(_xlpm.big,7,2),MID(_xlpm.big,5,2),MID(_xlpm.big,3,2),MID(_xlpm.big,1,2)))</f>
        <v>FEFFFFFF</v>
      </c>
      <c r="L832" s="2">
        <f t="shared" si="49"/>
        <v>0</v>
      </c>
      <c r="M832" s="2">
        <f t="shared" si="50"/>
        <v>0</v>
      </c>
      <c r="N832" s="2">
        <f t="shared" si="51"/>
        <v>0</v>
      </c>
      <c r="O832" s="2" cm="1">
        <f t="array" ref="O832">_xlfn.IFS(M832&lt;Data!$F$3,0,M832&lt;Data!$F$4,1,TRUE,2)</f>
        <v>0</v>
      </c>
      <c r="P832" s="2" cm="1">
        <f t="array" ref="P832">_xlfn.IFS(H832,3,N832&lt;Data!$F$3,0,N832&lt;Data!$F$4,1,TRUE,2)</f>
        <v>0</v>
      </c>
    </row>
    <row r="833" spans="4:16">
      <c r="E833" s="16"/>
      <c r="G833" s="2" t="str" cm="1">
        <f t="array" ref="G833">_xlfn.CONCAT(IFERROR(I833:K833,""))</f>
        <v>02000000FEFFFFFF</v>
      </c>
      <c r="I833" s="2" t="e">
        <f>_xlfn.LET(_xlpm.big,DEC2HEX(_xlfn.BITLSHIFT(M833-_xlfn.XLOOKUP(O833,Data!A:A,Data!F:F),4)+O833,8),_xlfn.CONCAT(MID(_xlpm.big,7,2),MID(_xlpm.big,5,2),MID(_xlpm.big,3,2),MID(_xlpm.big,1,2)))</f>
        <v>#NUM!</v>
      </c>
      <c r="J833" s="2" t="str">
        <f t="shared" si="48"/>
        <v>02000000</v>
      </c>
      <c r="K833" s="2" t="str">
        <f>_xlfn.LET(_xlpm.big,IF(H833,DEC2HEX(HEX2DEC(F833),8),DEC2HEX(N833-_xlfn.XLOOKUP(P833,Data!A:A,Data!F:F),8)),_xlfn.CONCAT(MID(_xlpm.big,7,2),MID(_xlpm.big,5,2),MID(_xlpm.big,3,2),MID(_xlpm.big,1,2)))</f>
        <v>FEFFFFFF</v>
      </c>
      <c r="L833" s="2">
        <f t="shared" si="49"/>
        <v>0</v>
      </c>
      <c r="M833" s="2">
        <f t="shared" si="50"/>
        <v>0</v>
      </c>
      <c r="N833" s="2">
        <f t="shared" si="51"/>
        <v>0</v>
      </c>
      <c r="O833" s="2" cm="1">
        <f t="array" ref="O833">_xlfn.IFS(M833&lt;Data!$F$3,0,M833&lt;Data!$F$4,1,TRUE,2)</f>
        <v>0</v>
      </c>
      <c r="P833" s="2" cm="1">
        <f t="array" ref="P833">_xlfn.IFS(H833,3,N833&lt;Data!$F$3,0,N833&lt;Data!$F$4,1,TRUE,2)</f>
        <v>0</v>
      </c>
    </row>
    <row r="834" spans="4:16">
      <c r="E834" s="16"/>
      <c r="G834" s="2" t="str" cm="1">
        <f t="array" ref="G834">_xlfn.CONCAT(IFERROR(I834:K834,""))</f>
        <v>02000000FEFFFFFF</v>
      </c>
      <c r="I834" s="2" t="e">
        <f>_xlfn.LET(_xlpm.big,DEC2HEX(_xlfn.BITLSHIFT(M834-_xlfn.XLOOKUP(O834,Data!A:A,Data!F:F),4)+O834,8),_xlfn.CONCAT(MID(_xlpm.big,7,2),MID(_xlpm.big,5,2),MID(_xlpm.big,3,2),MID(_xlpm.big,1,2)))</f>
        <v>#NUM!</v>
      </c>
      <c r="J834" s="2" t="str">
        <f t="shared" ref="J834:J897" si="52">_xlfn.CONCAT("02",DEC2HEX(P834,2),"0000")</f>
        <v>02000000</v>
      </c>
      <c r="K834" s="2" t="str">
        <f>_xlfn.LET(_xlpm.big,IF(H834,DEC2HEX(HEX2DEC(F834),8),DEC2HEX(N834-_xlfn.XLOOKUP(P834,Data!A:A,Data!F:F),8)),_xlfn.CONCAT(MID(_xlpm.big,7,2),MID(_xlpm.big,5,2),MID(_xlpm.big,3,2),MID(_xlpm.big,1,2)))</f>
        <v>FEFFFFFF</v>
      </c>
      <c r="L834" s="2">
        <f t="shared" ref="L834:L897" si="53">HEX2DEC(D834)</f>
        <v>0</v>
      </c>
      <c r="M834" s="2">
        <f t="shared" ref="M834:M897" si="54">HEX2DEC(E834)</f>
        <v>0</v>
      </c>
      <c r="N834" s="2">
        <f t="shared" ref="N834:N897" si="55">HEX2DEC(F834)</f>
        <v>0</v>
      </c>
      <c r="O834" s="2" cm="1">
        <f t="array" ref="O834">_xlfn.IFS(M834&lt;Data!$F$3,0,M834&lt;Data!$F$4,1,TRUE,2)</f>
        <v>0</v>
      </c>
      <c r="P834" s="2" cm="1">
        <f t="array" ref="P834">_xlfn.IFS(H834,3,N834&lt;Data!$F$3,0,N834&lt;Data!$F$4,1,TRUE,2)</f>
        <v>0</v>
      </c>
    </row>
    <row r="835" spans="4:16">
      <c r="E835" s="16"/>
      <c r="G835" s="2" t="str" cm="1">
        <f t="array" ref="G835">_xlfn.CONCAT(IFERROR(I835:K835,""))</f>
        <v>02000000FEFFFFFF</v>
      </c>
      <c r="I835" s="2" t="e">
        <f>_xlfn.LET(_xlpm.big,DEC2HEX(_xlfn.BITLSHIFT(M835-_xlfn.XLOOKUP(O835,Data!A:A,Data!F:F),4)+O835,8),_xlfn.CONCAT(MID(_xlpm.big,7,2),MID(_xlpm.big,5,2),MID(_xlpm.big,3,2),MID(_xlpm.big,1,2)))</f>
        <v>#NUM!</v>
      </c>
      <c r="J835" s="2" t="str">
        <f t="shared" si="52"/>
        <v>02000000</v>
      </c>
      <c r="K835" s="2" t="str">
        <f>_xlfn.LET(_xlpm.big,IF(H835,DEC2HEX(HEX2DEC(F835),8),DEC2HEX(N835-_xlfn.XLOOKUP(P835,Data!A:A,Data!F:F),8)),_xlfn.CONCAT(MID(_xlpm.big,7,2),MID(_xlpm.big,5,2),MID(_xlpm.big,3,2),MID(_xlpm.big,1,2)))</f>
        <v>FEFFFFFF</v>
      </c>
      <c r="L835" s="2">
        <f t="shared" si="53"/>
        <v>0</v>
      </c>
      <c r="M835" s="2">
        <f t="shared" si="54"/>
        <v>0</v>
      </c>
      <c r="N835" s="2">
        <f t="shared" si="55"/>
        <v>0</v>
      </c>
      <c r="O835" s="2" cm="1">
        <f t="array" ref="O835">_xlfn.IFS(M835&lt;Data!$F$3,0,M835&lt;Data!$F$4,1,TRUE,2)</f>
        <v>0</v>
      </c>
      <c r="P835" s="2" cm="1">
        <f t="array" ref="P835">_xlfn.IFS(H835,3,N835&lt;Data!$F$3,0,N835&lt;Data!$F$4,1,TRUE,2)</f>
        <v>0</v>
      </c>
    </row>
    <row r="836" spans="4:16">
      <c r="E836" s="16"/>
      <c r="G836" s="2" t="str" cm="1">
        <f t="array" ref="G836">_xlfn.CONCAT(IFERROR(I836:K836,""))</f>
        <v>02000000FEFFFFFF</v>
      </c>
      <c r="I836" s="2" t="e">
        <f>_xlfn.LET(_xlpm.big,DEC2HEX(_xlfn.BITLSHIFT(M836-_xlfn.XLOOKUP(O836,Data!A:A,Data!F:F),4)+O836,8),_xlfn.CONCAT(MID(_xlpm.big,7,2),MID(_xlpm.big,5,2),MID(_xlpm.big,3,2),MID(_xlpm.big,1,2)))</f>
        <v>#NUM!</v>
      </c>
      <c r="J836" s="2" t="str">
        <f t="shared" si="52"/>
        <v>02000000</v>
      </c>
      <c r="K836" s="2" t="str">
        <f>_xlfn.LET(_xlpm.big,IF(H836,DEC2HEX(HEX2DEC(F836),8),DEC2HEX(N836-_xlfn.XLOOKUP(P836,Data!A:A,Data!F:F),8)),_xlfn.CONCAT(MID(_xlpm.big,7,2),MID(_xlpm.big,5,2),MID(_xlpm.big,3,2),MID(_xlpm.big,1,2)))</f>
        <v>FEFFFFFF</v>
      </c>
      <c r="L836" s="2">
        <f t="shared" si="53"/>
        <v>0</v>
      </c>
      <c r="M836" s="2">
        <f t="shared" si="54"/>
        <v>0</v>
      </c>
      <c r="N836" s="2">
        <f t="shared" si="55"/>
        <v>0</v>
      </c>
      <c r="O836" s="2" cm="1">
        <f t="array" ref="O836">_xlfn.IFS(M836&lt;Data!$F$3,0,M836&lt;Data!$F$4,1,TRUE,2)</f>
        <v>0</v>
      </c>
      <c r="P836" s="2" cm="1">
        <f t="array" ref="P836">_xlfn.IFS(H836,3,N836&lt;Data!$F$3,0,N836&lt;Data!$F$4,1,TRUE,2)</f>
        <v>0</v>
      </c>
    </row>
    <row r="837" spans="4:16">
      <c r="D837" s="3"/>
      <c r="E837" s="3"/>
      <c r="F837" s="3"/>
      <c r="G837" s="2" t="str" cm="1">
        <f t="array" ref="G837">_xlfn.CONCAT(IFERROR(I837:K837,""))</f>
        <v>02000000FEFFFFFF</v>
      </c>
      <c r="I837" s="2" t="e">
        <f>_xlfn.LET(_xlpm.big,DEC2HEX(_xlfn.BITLSHIFT(M837-_xlfn.XLOOKUP(O837,Data!A:A,Data!F:F),4)+O837,8),_xlfn.CONCAT(MID(_xlpm.big,7,2),MID(_xlpm.big,5,2),MID(_xlpm.big,3,2),MID(_xlpm.big,1,2)))</f>
        <v>#NUM!</v>
      </c>
      <c r="J837" s="2" t="str">
        <f t="shared" si="52"/>
        <v>02000000</v>
      </c>
      <c r="K837" s="2" t="str">
        <f>_xlfn.LET(_xlpm.big,IF(H837,DEC2HEX(HEX2DEC(F837),8),DEC2HEX(N837-_xlfn.XLOOKUP(P837,Data!A:A,Data!F:F),8)),_xlfn.CONCAT(MID(_xlpm.big,7,2),MID(_xlpm.big,5,2),MID(_xlpm.big,3,2),MID(_xlpm.big,1,2)))</f>
        <v>FEFFFFFF</v>
      </c>
      <c r="L837" s="2">
        <f t="shared" si="53"/>
        <v>0</v>
      </c>
      <c r="M837" s="2">
        <f t="shared" si="54"/>
        <v>0</v>
      </c>
      <c r="N837" s="2">
        <f t="shared" si="55"/>
        <v>0</v>
      </c>
      <c r="O837" s="2" cm="1">
        <f t="array" ref="O837">_xlfn.IFS(M837&lt;Data!$F$3,0,M837&lt;Data!$F$4,1,TRUE,2)</f>
        <v>0</v>
      </c>
      <c r="P837" s="2" cm="1">
        <f t="array" ref="P837">_xlfn.IFS(H837,3,N837&lt;Data!$F$3,0,N837&lt;Data!$F$4,1,TRUE,2)</f>
        <v>0</v>
      </c>
    </row>
    <row r="838" spans="4:16">
      <c r="D838" s="3"/>
      <c r="E838" s="3"/>
      <c r="F838" s="3"/>
      <c r="G838" s="2" t="str" cm="1">
        <f t="array" ref="G838">_xlfn.CONCAT(IFERROR(I838:K838,""))</f>
        <v>02000000FEFFFFFF</v>
      </c>
      <c r="I838" s="2" t="e">
        <f>_xlfn.LET(_xlpm.big,DEC2HEX(_xlfn.BITLSHIFT(M838-_xlfn.XLOOKUP(O838,Data!A:A,Data!F:F),4)+O838,8),_xlfn.CONCAT(MID(_xlpm.big,7,2),MID(_xlpm.big,5,2),MID(_xlpm.big,3,2),MID(_xlpm.big,1,2)))</f>
        <v>#NUM!</v>
      </c>
      <c r="J838" s="2" t="str">
        <f t="shared" si="52"/>
        <v>02000000</v>
      </c>
      <c r="K838" s="2" t="str">
        <f>_xlfn.LET(_xlpm.big,IF(H838,DEC2HEX(HEX2DEC(F838),8),DEC2HEX(N838-_xlfn.XLOOKUP(P838,Data!A:A,Data!F:F),8)),_xlfn.CONCAT(MID(_xlpm.big,7,2),MID(_xlpm.big,5,2),MID(_xlpm.big,3,2),MID(_xlpm.big,1,2)))</f>
        <v>FEFFFFFF</v>
      </c>
      <c r="L838" s="2">
        <f t="shared" si="53"/>
        <v>0</v>
      </c>
      <c r="M838" s="2">
        <f t="shared" si="54"/>
        <v>0</v>
      </c>
      <c r="N838" s="2">
        <f t="shared" si="55"/>
        <v>0</v>
      </c>
      <c r="O838" s="2" cm="1">
        <f t="array" ref="O838">_xlfn.IFS(M838&lt;Data!$F$3,0,M838&lt;Data!$F$4,1,TRUE,2)</f>
        <v>0</v>
      </c>
      <c r="P838" s="2" cm="1">
        <f t="array" ref="P838">_xlfn.IFS(H838,3,N838&lt;Data!$F$3,0,N838&lt;Data!$F$4,1,TRUE,2)</f>
        <v>0</v>
      </c>
    </row>
    <row r="839" spans="4:16">
      <c r="D839" s="3"/>
      <c r="E839" s="3"/>
      <c r="F839" s="3"/>
      <c r="G839" s="2" t="str" cm="1">
        <f t="array" ref="G839">_xlfn.CONCAT(IFERROR(I839:K839,""))</f>
        <v>02000000FEFFFFFF</v>
      </c>
      <c r="I839" s="2" t="e">
        <f>_xlfn.LET(_xlpm.big,DEC2HEX(_xlfn.BITLSHIFT(M839-_xlfn.XLOOKUP(O839,Data!A:A,Data!F:F),4)+O839,8),_xlfn.CONCAT(MID(_xlpm.big,7,2),MID(_xlpm.big,5,2),MID(_xlpm.big,3,2),MID(_xlpm.big,1,2)))</f>
        <v>#NUM!</v>
      </c>
      <c r="J839" s="2" t="str">
        <f t="shared" si="52"/>
        <v>02000000</v>
      </c>
      <c r="K839" s="2" t="str">
        <f>_xlfn.LET(_xlpm.big,IF(H839,DEC2HEX(HEX2DEC(F839),8),DEC2HEX(N839-_xlfn.XLOOKUP(P839,Data!A:A,Data!F:F),8)),_xlfn.CONCAT(MID(_xlpm.big,7,2),MID(_xlpm.big,5,2),MID(_xlpm.big,3,2),MID(_xlpm.big,1,2)))</f>
        <v>FEFFFFFF</v>
      </c>
      <c r="L839" s="2">
        <f t="shared" si="53"/>
        <v>0</v>
      </c>
      <c r="M839" s="2">
        <f t="shared" si="54"/>
        <v>0</v>
      </c>
      <c r="N839" s="2">
        <f t="shared" si="55"/>
        <v>0</v>
      </c>
      <c r="O839" s="2" cm="1">
        <f t="array" ref="O839">_xlfn.IFS(M839&lt;Data!$F$3,0,M839&lt;Data!$F$4,1,TRUE,2)</f>
        <v>0</v>
      </c>
      <c r="P839" s="2" cm="1">
        <f t="array" ref="P839">_xlfn.IFS(H839,3,N839&lt;Data!$F$3,0,N839&lt;Data!$F$4,1,TRUE,2)</f>
        <v>0</v>
      </c>
    </row>
    <row r="840" spans="4:16">
      <c r="D840" s="3"/>
      <c r="E840" s="3"/>
      <c r="F840" s="3"/>
      <c r="G840" s="2" t="str" cm="1">
        <f t="array" ref="G840">_xlfn.CONCAT(IFERROR(I840:K840,""))</f>
        <v>02000000FEFFFFFF</v>
      </c>
      <c r="I840" s="2" t="e">
        <f>_xlfn.LET(_xlpm.big,DEC2HEX(_xlfn.BITLSHIFT(M840-_xlfn.XLOOKUP(O840,Data!A:A,Data!F:F),4)+O840,8),_xlfn.CONCAT(MID(_xlpm.big,7,2),MID(_xlpm.big,5,2),MID(_xlpm.big,3,2),MID(_xlpm.big,1,2)))</f>
        <v>#NUM!</v>
      </c>
      <c r="J840" s="2" t="str">
        <f t="shared" si="52"/>
        <v>02000000</v>
      </c>
      <c r="K840" s="2" t="str">
        <f>_xlfn.LET(_xlpm.big,IF(H840,DEC2HEX(HEX2DEC(F840),8),DEC2HEX(N840-_xlfn.XLOOKUP(P840,Data!A:A,Data!F:F),8)),_xlfn.CONCAT(MID(_xlpm.big,7,2),MID(_xlpm.big,5,2),MID(_xlpm.big,3,2),MID(_xlpm.big,1,2)))</f>
        <v>FEFFFFFF</v>
      </c>
      <c r="L840" s="2">
        <f t="shared" si="53"/>
        <v>0</v>
      </c>
      <c r="M840" s="2">
        <f t="shared" si="54"/>
        <v>0</v>
      </c>
      <c r="N840" s="2">
        <f t="shared" si="55"/>
        <v>0</v>
      </c>
      <c r="O840" s="2" cm="1">
        <f t="array" ref="O840">_xlfn.IFS(M840&lt;Data!$F$3,0,M840&lt;Data!$F$4,1,TRUE,2)</f>
        <v>0</v>
      </c>
      <c r="P840" s="2" cm="1">
        <f t="array" ref="P840">_xlfn.IFS(H840,3,N840&lt;Data!$F$3,0,N840&lt;Data!$F$4,1,TRUE,2)</f>
        <v>0</v>
      </c>
    </row>
    <row r="841" spans="4:16">
      <c r="D841" s="3"/>
      <c r="E841" s="3"/>
      <c r="F841" s="3"/>
      <c r="G841" s="2" t="str" cm="1">
        <f t="array" ref="G841">_xlfn.CONCAT(IFERROR(I841:K841,""))</f>
        <v>02000000FEFFFFFF</v>
      </c>
      <c r="I841" s="2" t="e">
        <f>_xlfn.LET(_xlpm.big,DEC2HEX(_xlfn.BITLSHIFT(M841-_xlfn.XLOOKUP(O841,Data!A:A,Data!F:F),4)+O841,8),_xlfn.CONCAT(MID(_xlpm.big,7,2),MID(_xlpm.big,5,2),MID(_xlpm.big,3,2),MID(_xlpm.big,1,2)))</f>
        <v>#NUM!</v>
      </c>
      <c r="J841" s="2" t="str">
        <f t="shared" si="52"/>
        <v>02000000</v>
      </c>
      <c r="K841" s="2" t="str">
        <f>_xlfn.LET(_xlpm.big,IF(H841,DEC2HEX(HEX2DEC(F841),8),DEC2HEX(N841-_xlfn.XLOOKUP(P841,Data!A:A,Data!F:F),8)),_xlfn.CONCAT(MID(_xlpm.big,7,2),MID(_xlpm.big,5,2),MID(_xlpm.big,3,2),MID(_xlpm.big,1,2)))</f>
        <v>FEFFFFFF</v>
      </c>
      <c r="L841" s="2">
        <f t="shared" si="53"/>
        <v>0</v>
      </c>
      <c r="M841" s="2">
        <f t="shared" si="54"/>
        <v>0</v>
      </c>
      <c r="N841" s="2">
        <f t="shared" si="55"/>
        <v>0</v>
      </c>
      <c r="O841" s="2" cm="1">
        <f t="array" ref="O841">_xlfn.IFS(M841&lt;Data!$F$3,0,M841&lt;Data!$F$4,1,TRUE,2)</f>
        <v>0</v>
      </c>
      <c r="P841" s="2" cm="1">
        <f t="array" ref="P841">_xlfn.IFS(H841,3,N841&lt;Data!$F$3,0,N841&lt;Data!$F$4,1,TRUE,2)</f>
        <v>0</v>
      </c>
    </row>
    <row r="842" spans="4:16">
      <c r="D842" s="3"/>
      <c r="E842" s="3"/>
      <c r="F842" s="3"/>
      <c r="G842" s="2" t="str" cm="1">
        <f t="array" ref="G842">_xlfn.CONCAT(IFERROR(I842:K842,""))</f>
        <v>02000000FEFFFFFF</v>
      </c>
      <c r="I842" s="2" t="e">
        <f>_xlfn.LET(_xlpm.big,DEC2HEX(_xlfn.BITLSHIFT(M842-_xlfn.XLOOKUP(O842,Data!A:A,Data!F:F),4)+O842,8),_xlfn.CONCAT(MID(_xlpm.big,7,2),MID(_xlpm.big,5,2),MID(_xlpm.big,3,2),MID(_xlpm.big,1,2)))</f>
        <v>#NUM!</v>
      </c>
      <c r="J842" s="2" t="str">
        <f t="shared" si="52"/>
        <v>02000000</v>
      </c>
      <c r="K842" s="2" t="str">
        <f>_xlfn.LET(_xlpm.big,IF(H842,DEC2HEX(HEX2DEC(F842),8),DEC2HEX(N842-_xlfn.XLOOKUP(P842,Data!A:A,Data!F:F),8)),_xlfn.CONCAT(MID(_xlpm.big,7,2),MID(_xlpm.big,5,2),MID(_xlpm.big,3,2),MID(_xlpm.big,1,2)))</f>
        <v>FEFFFFFF</v>
      </c>
      <c r="L842" s="2">
        <f t="shared" si="53"/>
        <v>0</v>
      </c>
      <c r="M842" s="2">
        <f t="shared" si="54"/>
        <v>0</v>
      </c>
      <c r="N842" s="2">
        <f t="shared" si="55"/>
        <v>0</v>
      </c>
      <c r="O842" s="2" cm="1">
        <f t="array" ref="O842">_xlfn.IFS(M842&lt;Data!$F$3,0,M842&lt;Data!$F$4,1,TRUE,2)</f>
        <v>0</v>
      </c>
      <c r="P842" s="2" cm="1">
        <f t="array" ref="P842">_xlfn.IFS(H842,3,N842&lt;Data!$F$3,0,N842&lt;Data!$F$4,1,TRUE,2)</f>
        <v>0</v>
      </c>
    </row>
    <row r="843" spans="4:16">
      <c r="D843" s="3"/>
      <c r="E843" s="3"/>
      <c r="F843" s="3"/>
      <c r="G843" s="2" t="str" cm="1">
        <f t="array" ref="G843">_xlfn.CONCAT(IFERROR(I843:K843,""))</f>
        <v>02000000FEFFFFFF</v>
      </c>
      <c r="I843" s="2" t="e">
        <f>_xlfn.LET(_xlpm.big,DEC2HEX(_xlfn.BITLSHIFT(M843-_xlfn.XLOOKUP(O843,Data!A:A,Data!F:F),4)+O843,8),_xlfn.CONCAT(MID(_xlpm.big,7,2),MID(_xlpm.big,5,2),MID(_xlpm.big,3,2),MID(_xlpm.big,1,2)))</f>
        <v>#NUM!</v>
      </c>
      <c r="J843" s="2" t="str">
        <f t="shared" si="52"/>
        <v>02000000</v>
      </c>
      <c r="K843" s="2" t="str">
        <f>_xlfn.LET(_xlpm.big,IF(H843,DEC2HEX(HEX2DEC(F843),8),DEC2HEX(N843-_xlfn.XLOOKUP(P843,Data!A:A,Data!F:F),8)),_xlfn.CONCAT(MID(_xlpm.big,7,2),MID(_xlpm.big,5,2),MID(_xlpm.big,3,2),MID(_xlpm.big,1,2)))</f>
        <v>FEFFFFFF</v>
      </c>
      <c r="L843" s="2">
        <f t="shared" si="53"/>
        <v>0</v>
      </c>
      <c r="M843" s="2">
        <f t="shared" si="54"/>
        <v>0</v>
      </c>
      <c r="N843" s="2">
        <f t="shared" si="55"/>
        <v>0</v>
      </c>
      <c r="O843" s="2" cm="1">
        <f t="array" ref="O843">_xlfn.IFS(M843&lt;Data!$F$3,0,M843&lt;Data!$F$4,1,TRUE,2)</f>
        <v>0</v>
      </c>
      <c r="P843" s="2" cm="1">
        <f t="array" ref="P843">_xlfn.IFS(H843,3,N843&lt;Data!$F$3,0,N843&lt;Data!$F$4,1,TRUE,2)</f>
        <v>0</v>
      </c>
    </row>
    <row r="844" spans="4:16">
      <c r="D844" s="3"/>
      <c r="E844" s="3"/>
      <c r="F844" s="3"/>
      <c r="G844" s="2" t="str" cm="1">
        <f t="array" ref="G844">_xlfn.CONCAT(IFERROR(I844:K844,""))</f>
        <v>02000000FEFFFFFF</v>
      </c>
      <c r="I844" s="2" t="e">
        <f>_xlfn.LET(_xlpm.big,DEC2HEX(_xlfn.BITLSHIFT(M844-_xlfn.XLOOKUP(O844,Data!A:A,Data!F:F),4)+O844,8),_xlfn.CONCAT(MID(_xlpm.big,7,2),MID(_xlpm.big,5,2),MID(_xlpm.big,3,2),MID(_xlpm.big,1,2)))</f>
        <v>#NUM!</v>
      </c>
      <c r="J844" s="2" t="str">
        <f t="shared" si="52"/>
        <v>02000000</v>
      </c>
      <c r="K844" s="2" t="str">
        <f>_xlfn.LET(_xlpm.big,IF(H844,DEC2HEX(HEX2DEC(F844),8),DEC2HEX(N844-_xlfn.XLOOKUP(P844,Data!A:A,Data!F:F),8)),_xlfn.CONCAT(MID(_xlpm.big,7,2),MID(_xlpm.big,5,2),MID(_xlpm.big,3,2),MID(_xlpm.big,1,2)))</f>
        <v>FEFFFFFF</v>
      </c>
      <c r="L844" s="2">
        <f t="shared" si="53"/>
        <v>0</v>
      </c>
      <c r="M844" s="2">
        <f t="shared" si="54"/>
        <v>0</v>
      </c>
      <c r="N844" s="2">
        <f t="shared" si="55"/>
        <v>0</v>
      </c>
      <c r="O844" s="2" cm="1">
        <f t="array" ref="O844">_xlfn.IFS(M844&lt;Data!$F$3,0,M844&lt;Data!$F$4,1,TRUE,2)</f>
        <v>0</v>
      </c>
      <c r="P844" s="2" cm="1">
        <f t="array" ref="P844">_xlfn.IFS(H844,3,N844&lt;Data!$F$3,0,N844&lt;Data!$F$4,1,TRUE,2)</f>
        <v>0</v>
      </c>
    </row>
    <row r="845" spans="4:16">
      <c r="D845" s="3"/>
      <c r="E845" s="3"/>
      <c r="F845" s="3"/>
      <c r="G845" s="2" t="str" cm="1">
        <f t="array" ref="G845">_xlfn.CONCAT(IFERROR(I845:K845,""))</f>
        <v>02000000FEFFFFFF</v>
      </c>
      <c r="I845" s="2" t="e">
        <f>_xlfn.LET(_xlpm.big,DEC2HEX(_xlfn.BITLSHIFT(M845-_xlfn.XLOOKUP(O845,Data!A:A,Data!F:F),4)+O845,8),_xlfn.CONCAT(MID(_xlpm.big,7,2),MID(_xlpm.big,5,2),MID(_xlpm.big,3,2),MID(_xlpm.big,1,2)))</f>
        <v>#NUM!</v>
      </c>
      <c r="J845" s="2" t="str">
        <f t="shared" si="52"/>
        <v>02000000</v>
      </c>
      <c r="K845" s="2" t="str">
        <f>_xlfn.LET(_xlpm.big,IF(H845,DEC2HEX(HEX2DEC(F845),8),DEC2HEX(N845-_xlfn.XLOOKUP(P845,Data!A:A,Data!F:F),8)),_xlfn.CONCAT(MID(_xlpm.big,7,2),MID(_xlpm.big,5,2),MID(_xlpm.big,3,2),MID(_xlpm.big,1,2)))</f>
        <v>FEFFFFFF</v>
      </c>
      <c r="L845" s="2">
        <f t="shared" si="53"/>
        <v>0</v>
      </c>
      <c r="M845" s="2">
        <f t="shared" si="54"/>
        <v>0</v>
      </c>
      <c r="N845" s="2">
        <f t="shared" si="55"/>
        <v>0</v>
      </c>
      <c r="O845" s="2" cm="1">
        <f t="array" ref="O845">_xlfn.IFS(M845&lt;Data!$F$3,0,M845&lt;Data!$F$4,1,TRUE,2)</f>
        <v>0</v>
      </c>
      <c r="P845" s="2" cm="1">
        <f t="array" ref="P845">_xlfn.IFS(H845,3,N845&lt;Data!$F$3,0,N845&lt;Data!$F$4,1,TRUE,2)</f>
        <v>0</v>
      </c>
    </row>
    <row r="846" spans="4:16">
      <c r="D846" s="3"/>
      <c r="E846" s="3"/>
      <c r="F846" s="3"/>
      <c r="G846" s="2" t="str" cm="1">
        <f t="array" ref="G846">_xlfn.CONCAT(IFERROR(I846:K846,""))</f>
        <v>02000000FEFFFFFF</v>
      </c>
      <c r="I846" s="2" t="e">
        <f>_xlfn.LET(_xlpm.big,DEC2HEX(_xlfn.BITLSHIFT(M846-_xlfn.XLOOKUP(O846,Data!A:A,Data!F:F),4)+O846,8),_xlfn.CONCAT(MID(_xlpm.big,7,2),MID(_xlpm.big,5,2),MID(_xlpm.big,3,2),MID(_xlpm.big,1,2)))</f>
        <v>#NUM!</v>
      </c>
      <c r="J846" s="2" t="str">
        <f t="shared" si="52"/>
        <v>02000000</v>
      </c>
      <c r="K846" s="2" t="str">
        <f>_xlfn.LET(_xlpm.big,IF(H846,DEC2HEX(HEX2DEC(F846),8),DEC2HEX(N846-_xlfn.XLOOKUP(P846,Data!A:A,Data!F:F),8)),_xlfn.CONCAT(MID(_xlpm.big,7,2),MID(_xlpm.big,5,2),MID(_xlpm.big,3,2),MID(_xlpm.big,1,2)))</f>
        <v>FEFFFFFF</v>
      </c>
      <c r="L846" s="2">
        <f t="shared" si="53"/>
        <v>0</v>
      </c>
      <c r="M846" s="2">
        <f t="shared" si="54"/>
        <v>0</v>
      </c>
      <c r="N846" s="2">
        <f t="shared" si="55"/>
        <v>0</v>
      </c>
      <c r="O846" s="2" cm="1">
        <f t="array" ref="O846">_xlfn.IFS(M846&lt;Data!$F$3,0,M846&lt;Data!$F$4,1,TRUE,2)</f>
        <v>0</v>
      </c>
      <c r="P846" s="2" cm="1">
        <f t="array" ref="P846">_xlfn.IFS(H846,3,N846&lt;Data!$F$3,0,N846&lt;Data!$F$4,1,TRUE,2)</f>
        <v>0</v>
      </c>
    </row>
    <row r="847" spans="4:16">
      <c r="D847" s="3"/>
      <c r="E847" s="3"/>
      <c r="F847" s="3"/>
      <c r="G847" s="2" t="str" cm="1">
        <f t="array" ref="G847">_xlfn.CONCAT(IFERROR(I847:K847,""))</f>
        <v>02000000FEFFFFFF</v>
      </c>
      <c r="I847" s="2" t="e">
        <f>_xlfn.LET(_xlpm.big,DEC2HEX(_xlfn.BITLSHIFT(M847-_xlfn.XLOOKUP(O847,Data!A:A,Data!F:F),4)+O847,8),_xlfn.CONCAT(MID(_xlpm.big,7,2),MID(_xlpm.big,5,2),MID(_xlpm.big,3,2),MID(_xlpm.big,1,2)))</f>
        <v>#NUM!</v>
      </c>
      <c r="J847" s="2" t="str">
        <f t="shared" si="52"/>
        <v>02000000</v>
      </c>
      <c r="K847" s="2" t="str">
        <f>_xlfn.LET(_xlpm.big,IF(H847,DEC2HEX(HEX2DEC(F847),8),DEC2HEX(N847-_xlfn.XLOOKUP(P847,Data!A:A,Data!F:F),8)),_xlfn.CONCAT(MID(_xlpm.big,7,2),MID(_xlpm.big,5,2),MID(_xlpm.big,3,2),MID(_xlpm.big,1,2)))</f>
        <v>FEFFFFFF</v>
      </c>
      <c r="L847" s="2">
        <f t="shared" si="53"/>
        <v>0</v>
      </c>
      <c r="M847" s="2">
        <f t="shared" si="54"/>
        <v>0</v>
      </c>
      <c r="N847" s="2">
        <f t="shared" si="55"/>
        <v>0</v>
      </c>
      <c r="O847" s="2" cm="1">
        <f t="array" ref="O847">_xlfn.IFS(M847&lt;Data!$F$3,0,M847&lt;Data!$F$4,1,TRUE,2)</f>
        <v>0</v>
      </c>
      <c r="P847" s="2" cm="1">
        <f t="array" ref="P847">_xlfn.IFS(H847,3,N847&lt;Data!$F$3,0,N847&lt;Data!$F$4,1,TRUE,2)</f>
        <v>0</v>
      </c>
    </row>
    <row r="848" spans="4:16">
      <c r="D848" s="3"/>
      <c r="E848" s="3"/>
      <c r="F848" s="3"/>
      <c r="G848" s="2" t="str" cm="1">
        <f t="array" ref="G848">_xlfn.CONCAT(IFERROR(I848:K848,""))</f>
        <v>02000000FEFFFFFF</v>
      </c>
      <c r="I848" s="2" t="e">
        <f>_xlfn.LET(_xlpm.big,DEC2HEX(_xlfn.BITLSHIFT(M848-_xlfn.XLOOKUP(O848,Data!A:A,Data!F:F),4)+O848,8),_xlfn.CONCAT(MID(_xlpm.big,7,2),MID(_xlpm.big,5,2),MID(_xlpm.big,3,2),MID(_xlpm.big,1,2)))</f>
        <v>#NUM!</v>
      </c>
      <c r="J848" s="2" t="str">
        <f t="shared" si="52"/>
        <v>02000000</v>
      </c>
      <c r="K848" s="2" t="str">
        <f>_xlfn.LET(_xlpm.big,IF(H848,DEC2HEX(HEX2DEC(F848),8),DEC2HEX(N848-_xlfn.XLOOKUP(P848,Data!A:A,Data!F:F),8)),_xlfn.CONCAT(MID(_xlpm.big,7,2),MID(_xlpm.big,5,2),MID(_xlpm.big,3,2),MID(_xlpm.big,1,2)))</f>
        <v>FEFFFFFF</v>
      </c>
      <c r="L848" s="2">
        <f t="shared" si="53"/>
        <v>0</v>
      </c>
      <c r="M848" s="2">
        <f t="shared" si="54"/>
        <v>0</v>
      </c>
      <c r="N848" s="2">
        <f t="shared" si="55"/>
        <v>0</v>
      </c>
      <c r="O848" s="2" cm="1">
        <f t="array" ref="O848">_xlfn.IFS(M848&lt;Data!$F$3,0,M848&lt;Data!$F$4,1,TRUE,2)</f>
        <v>0</v>
      </c>
      <c r="P848" s="2" cm="1">
        <f t="array" ref="P848">_xlfn.IFS(H848,3,N848&lt;Data!$F$3,0,N848&lt;Data!$F$4,1,TRUE,2)</f>
        <v>0</v>
      </c>
    </row>
    <row r="849" spans="4:16">
      <c r="D849" s="3"/>
      <c r="E849" s="3"/>
      <c r="F849" s="3"/>
      <c r="G849" s="2" t="str" cm="1">
        <f t="array" ref="G849">_xlfn.CONCAT(IFERROR(I849:K849,""))</f>
        <v>02000000FEFFFFFF</v>
      </c>
      <c r="I849" s="2" t="e">
        <f>_xlfn.LET(_xlpm.big,DEC2HEX(_xlfn.BITLSHIFT(M849-_xlfn.XLOOKUP(O849,Data!A:A,Data!F:F),4)+O849,8),_xlfn.CONCAT(MID(_xlpm.big,7,2),MID(_xlpm.big,5,2),MID(_xlpm.big,3,2),MID(_xlpm.big,1,2)))</f>
        <v>#NUM!</v>
      </c>
      <c r="J849" s="2" t="str">
        <f t="shared" si="52"/>
        <v>02000000</v>
      </c>
      <c r="K849" s="2" t="str">
        <f>_xlfn.LET(_xlpm.big,IF(H849,DEC2HEX(HEX2DEC(F849),8),DEC2HEX(N849-_xlfn.XLOOKUP(P849,Data!A:A,Data!F:F),8)),_xlfn.CONCAT(MID(_xlpm.big,7,2),MID(_xlpm.big,5,2),MID(_xlpm.big,3,2),MID(_xlpm.big,1,2)))</f>
        <v>FEFFFFFF</v>
      </c>
      <c r="L849" s="2">
        <f t="shared" si="53"/>
        <v>0</v>
      </c>
      <c r="M849" s="2">
        <f t="shared" si="54"/>
        <v>0</v>
      </c>
      <c r="N849" s="2">
        <f t="shared" si="55"/>
        <v>0</v>
      </c>
      <c r="O849" s="2" cm="1">
        <f t="array" ref="O849">_xlfn.IFS(M849&lt;Data!$F$3,0,M849&lt;Data!$F$4,1,TRUE,2)</f>
        <v>0</v>
      </c>
      <c r="P849" s="2" cm="1">
        <f t="array" ref="P849">_xlfn.IFS(H849,3,N849&lt;Data!$F$3,0,N849&lt;Data!$F$4,1,TRUE,2)</f>
        <v>0</v>
      </c>
    </row>
    <row r="850" spans="4:16">
      <c r="D850" s="3"/>
      <c r="E850" s="3"/>
      <c r="G850" s="2" t="str" cm="1">
        <f t="array" ref="G850">_xlfn.CONCAT(IFERROR(I850:K850,""))</f>
        <v>02000000FEFFFFFF</v>
      </c>
      <c r="I850" s="2" t="e">
        <f>_xlfn.LET(_xlpm.big,DEC2HEX(_xlfn.BITLSHIFT(M850-_xlfn.XLOOKUP(O850,Data!A:A,Data!F:F),4)+O850,8),_xlfn.CONCAT(MID(_xlpm.big,7,2),MID(_xlpm.big,5,2),MID(_xlpm.big,3,2),MID(_xlpm.big,1,2)))</f>
        <v>#NUM!</v>
      </c>
      <c r="J850" s="2" t="str">
        <f t="shared" si="52"/>
        <v>02000000</v>
      </c>
      <c r="K850" s="2" t="str">
        <f>_xlfn.LET(_xlpm.big,IF(H850,DEC2HEX(HEX2DEC(F850),8),DEC2HEX(N850-_xlfn.XLOOKUP(P850,Data!A:A,Data!F:F),8)),_xlfn.CONCAT(MID(_xlpm.big,7,2),MID(_xlpm.big,5,2),MID(_xlpm.big,3,2),MID(_xlpm.big,1,2)))</f>
        <v>FEFFFFFF</v>
      </c>
      <c r="L850" s="2">
        <f t="shared" si="53"/>
        <v>0</v>
      </c>
      <c r="M850" s="2">
        <f t="shared" si="54"/>
        <v>0</v>
      </c>
      <c r="N850" s="2">
        <f t="shared" si="55"/>
        <v>0</v>
      </c>
      <c r="O850" s="2" cm="1">
        <f t="array" ref="O850">_xlfn.IFS(M850&lt;Data!$F$3,0,M850&lt;Data!$F$4,1,TRUE,2)</f>
        <v>0</v>
      </c>
      <c r="P850" s="2" cm="1">
        <f t="array" ref="P850">_xlfn.IFS(H850,3,N850&lt;Data!$F$3,0,N850&lt;Data!$F$4,1,TRUE,2)</f>
        <v>0</v>
      </c>
    </row>
    <row r="851" spans="4:16">
      <c r="G851" s="2" t="str" cm="1">
        <f t="array" ref="G851">_xlfn.CONCAT(IFERROR(I851:K851,""))</f>
        <v>02000000FEFFFFFF</v>
      </c>
      <c r="I851" s="2" t="e">
        <f>_xlfn.LET(_xlpm.big,DEC2HEX(_xlfn.BITLSHIFT(M851-_xlfn.XLOOKUP(O851,Data!A:A,Data!F:F),4)+O851,8),_xlfn.CONCAT(MID(_xlpm.big,7,2),MID(_xlpm.big,5,2),MID(_xlpm.big,3,2),MID(_xlpm.big,1,2)))</f>
        <v>#NUM!</v>
      </c>
      <c r="J851" s="2" t="str">
        <f t="shared" si="52"/>
        <v>02000000</v>
      </c>
      <c r="K851" s="2" t="str">
        <f>_xlfn.LET(_xlpm.big,IF(H851,DEC2HEX(HEX2DEC(F851),8),DEC2HEX(N851-_xlfn.XLOOKUP(P851,Data!A:A,Data!F:F),8)),_xlfn.CONCAT(MID(_xlpm.big,7,2),MID(_xlpm.big,5,2),MID(_xlpm.big,3,2),MID(_xlpm.big,1,2)))</f>
        <v>FEFFFFFF</v>
      </c>
      <c r="L851" s="2">
        <f t="shared" si="53"/>
        <v>0</v>
      </c>
      <c r="M851" s="2">
        <f t="shared" si="54"/>
        <v>0</v>
      </c>
      <c r="N851" s="2">
        <f t="shared" si="55"/>
        <v>0</v>
      </c>
      <c r="O851" s="2" cm="1">
        <f t="array" ref="O851">_xlfn.IFS(M851&lt;Data!$F$3,0,M851&lt;Data!$F$4,1,TRUE,2)</f>
        <v>0</v>
      </c>
      <c r="P851" s="2" cm="1">
        <f t="array" ref="P851">_xlfn.IFS(H851,3,N851&lt;Data!$F$3,0,N851&lt;Data!$F$4,1,TRUE,2)</f>
        <v>0</v>
      </c>
    </row>
    <row r="852" spans="4:16">
      <c r="D852" s="3"/>
      <c r="E852" s="3"/>
      <c r="G852" s="2" t="str" cm="1">
        <f t="array" ref="G852">_xlfn.CONCAT(IFERROR(I852:K852,""))</f>
        <v>02000000FEFFFFFF</v>
      </c>
      <c r="I852" s="2" t="e">
        <f>_xlfn.LET(_xlpm.big,DEC2HEX(_xlfn.BITLSHIFT(M852-_xlfn.XLOOKUP(O852,Data!A:A,Data!F:F),4)+O852,8),_xlfn.CONCAT(MID(_xlpm.big,7,2),MID(_xlpm.big,5,2),MID(_xlpm.big,3,2),MID(_xlpm.big,1,2)))</f>
        <v>#NUM!</v>
      </c>
      <c r="J852" s="2" t="str">
        <f t="shared" si="52"/>
        <v>02000000</v>
      </c>
      <c r="K852" s="2" t="str">
        <f>_xlfn.LET(_xlpm.big,IF(H852,DEC2HEX(HEX2DEC(F852),8),DEC2HEX(N852-_xlfn.XLOOKUP(P852,Data!A:A,Data!F:F),8)),_xlfn.CONCAT(MID(_xlpm.big,7,2),MID(_xlpm.big,5,2),MID(_xlpm.big,3,2),MID(_xlpm.big,1,2)))</f>
        <v>FEFFFFFF</v>
      </c>
      <c r="L852" s="2">
        <f t="shared" si="53"/>
        <v>0</v>
      </c>
      <c r="M852" s="2">
        <f t="shared" si="54"/>
        <v>0</v>
      </c>
      <c r="N852" s="2">
        <f t="shared" si="55"/>
        <v>0</v>
      </c>
      <c r="O852" s="2" cm="1">
        <f t="array" ref="O852">_xlfn.IFS(M852&lt;Data!$F$3,0,M852&lt;Data!$F$4,1,TRUE,2)</f>
        <v>0</v>
      </c>
      <c r="P852" s="2" cm="1">
        <f t="array" ref="P852">_xlfn.IFS(H852,3,N852&lt;Data!$F$3,0,N852&lt;Data!$F$4,1,TRUE,2)</f>
        <v>0</v>
      </c>
    </row>
    <row r="853" spans="4:16">
      <c r="D853" s="3"/>
      <c r="E853" s="3"/>
      <c r="G853" s="2" t="str" cm="1">
        <f t="array" ref="G853">_xlfn.CONCAT(IFERROR(I853:K853,""))</f>
        <v>02000000FEFFFFFF</v>
      </c>
      <c r="I853" s="2" t="e">
        <f>_xlfn.LET(_xlpm.big,DEC2HEX(_xlfn.BITLSHIFT(M853-_xlfn.XLOOKUP(O853,Data!A:A,Data!F:F),4)+O853,8),_xlfn.CONCAT(MID(_xlpm.big,7,2),MID(_xlpm.big,5,2),MID(_xlpm.big,3,2),MID(_xlpm.big,1,2)))</f>
        <v>#NUM!</v>
      </c>
      <c r="J853" s="2" t="str">
        <f t="shared" si="52"/>
        <v>02000000</v>
      </c>
      <c r="K853" s="2" t="str">
        <f>_xlfn.LET(_xlpm.big,IF(H853,DEC2HEX(HEX2DEC(F853),8),DEC2HEX(N853-_xlfn.XLOOKUP(P853,Data!A:A,Data!F:F),8)),_xlfn.CONCAT(MID(_xlpm.big,7,2),MID(_xlpm.big,5,2),MID(_xlpm.big,3,2),MID(_xlpm.big,1,2)))</f>
        <v>FEFFFFFF</v>
      </c>
      <c r="L853" s="2">
        <f t="shared" si="53"/>
        <v>0</v>
      </c>
      <c r="M853" s="2">
        <f t="shared" si="54"/>
        <v>0</v>
      </c>
      <c r="N853" s="2">
        <f t="shared" si="55"/>
        <v>0</v>
      </c>
      <c r="O853" s="2" cm="1">
        <f t="array" ref="O853">_xlfn.IFS(M853&lt;Data!$F$3,0,M853&lt;Data!$F$4,1,TRUE,2)</f>
        <v>0</v>
      </c>
      <c r="P853" s="2" cm="1">
        <f t="array" ref="P853">_xlfn.IFS(H853,3,N853&lt;Data!$F$3,0,N853&lt;Data!$F$4,1,TRUE,2)</f>
        <v>0</v>
      </c>
    </row>
    <row r="854" spans="4:16">
      <c r="D854" s="3"/>
      <c r="E854" s="3"/>
      <c r="G854" s="2" t="str" cm="1">
        <f t="array" ref="G854">_xlfn.CONCAT(IFERROR(I854:K854,""))</f>
        <v>02000000FEFFFFFF</v>
      </c>
      <c r="I854" s="2" t="e">
        <f>_xlfn.LET(_xlpm.big,DEC2HEX(_xlfn.BITLSHIFT(M854-_xlfn.XLOOKUP(O854,Data!A:A,Data!F:F),4)+O854,8),_xlfn.CONCAT(MID(_xlpm.big,7,2),MID(_xlpm.big,5,2),MID(_xlpm.big,3,2),MID(_xlpm.big,1,2)))</f>
        <v>#NUM!</v>
      </c>
      <c r="J854" s="2" t="str">
        <f t="shared" si="52"/>
        <v>02000000</v>
      </c>
      <c r="K854" s="2" t="str">
        <f>_xlfn.LET(_xlpm.big,IF(H854,DEC2HEX(HEX2DEC(F854),8),DEC2HEX(N854-_xlfn.XLOOKUP(P854,Data!A:A,Data!F:F),8)),_xlfn.CONCAT(MID(_xlpm.big,7,2),MID(_xlpm.big,5,2),MID(_xlpm.big,3,2),MID(_xlpm.big,1,2)))</f>
        <v>FEFFFFFF</v>
      </c>
      <c r="L854" s="2">
        <f t="shared" si="53"/>
        <v>0</v>
      </c>
      <c r="M854" s="2">
        <f t="shared" si="54"/>
        <v>0</v>
      </c>
      <c r="N854" s="2">
        <f t="shared" si="55"/>
        <v>0</v>
      </c>
      <c r="O854" s="2" cm="1">
        <f t="array" ref="O854">_xlfn.IFS(M854&lt;Data!$F$3,0,M854&lt;Data!$F$4,1,TRUE,2)</f>
        <v>0</v>
      </c>
      <c r="P854" s="2" cm="1">
        <f t="array" ref="P854">_xlfn.IFS(H854,3,N854&lt;Data!$F$3,0,N854&lt;Data!$F$4,1,TRUE,2)</f>
        <v>0</v>
      </c>
    </row>
    <row r="855" spans="4:16">
      <c r="D855" s="3"/>
      <c r="E855" s="3"/>
      <c r="G855" s="2" t="str" cm="1">
        <f t="array" ref="G855">_xlfn.CONCAT(IFERROR(I855:K855,""))</f>
        <v>02000000FEFFFFFF</v>
      </c>
      <c r="I855" s="2" t="e">
        <f>_xlfn.LET(_xlpm.big,DEC2HEX(_xlfn.BITLSHIFT(M855-_xlfn.XLOOKUP(O855,Data!A:A,Data!F:F),4)+O855,8),_xlfn.CONCAT(MID(_xlpm.big,7,2),MID(_xlpm.big,5,2),MID(_xlpm.big,3,2),MID(_xlpm.big,1,2)))</f>
        <v>#NUM!</v>
      </c>
      <c r="J855" s="2" t="str">
        <f t="shared" si="52"/>
        <v>02000000</v>
      </c>
      <c r="K855" s="2" t="str">
        <f>_xlfn.LET(_xlpm.big,IF(H855,DEC2HEX(HEX2DEC(F855),8),DEC2HEX(N855-_xlfn.XLOOKUP(P855,Data!A:A,Data!F:F),8)),_xlfn.CONCAT(MID(_xlpm.big,7,2),MID(_xlpm.big,5,2),MID(_xlpm.big,3,2),MID(_xlpm.big,1,2)))</f>
        <v>FEFFFFFF</v>
      </c>
      <c r="L855" s="2">
        <f t="shared" si="53"/>
        <v>0</v>
      </c>
      <c r="M855" s="2">
        <f t="shared" si="54"/>
        <v>0</v>
      </c>
      <c r="N855" s="2">
        <f t="shared" si="55"/>
        <v>0</v>
      </c>
      <c r="O855" s="2" cm="1">
        <f t="array" ref="O855">_xlfn.IFS(M855&lt;Data!$F$3,0,M855&lt;Data!$F$4,1,TRUE,2)</f>
        <v>0</v>
      </c>
      <c r="P855" s="2" cm="1">
        <f t="array" ref="P855">_xlfn.IFS(H855,3,N855&lt;Data!$F$3,0,N855&lt;Data!$F$4,1,TRUE,2)</f>
        <v>0</v>
      </c>
    </row>
    <row r="856" spans="4:16">
      <c r="D856" s="3"/>
      <c r="E856" s="3"/>
      <c r="G856" s="2" t="str" cm="1">
        <f t="array" ref="G856">_xlfn.CONCAT(IFERROR(I856:K856,""))</f>
        <v>02000000FEFFFFFF</v>
      </c>
      <c r="I856" s="2" t="e">
        <f>_xlfn.LET(_xlpm.big,DEC2HEX(_xlfn.BITLSHIFT(M856-_xlfn.XLOOKUP(O856,Data!A:A,Data!F:F),4)+O856,8),_xlfn.CONCAT(MID(_xlpm.big,7,2),MID(_xlpm.big,5,2),MID(_xlpm.big,3,2),MID(_xlpm.big,1,2)))</f>
        <v>#NUM!</v>
      </c>
      <c r="J856" s="2" t="str">
        <f t="shared" si="52"/>
        <v>02000000</v>
      </c>
      <c r="K856" s="2" t="str">
        <f>_xlfn.LET(_xlpm.big,IF(H856,DEC2HEX(HEX2DEC(F856),8),DEC2HEX(N856-_xlfn.XLOOKUP(P856,Data!A:A,Data!F:F),8)),_xlfn.CONCAT(MID(_xlpm.big,7,2),MID(_xlpm.big,5,2),MID(_xlpm.big,3,2),MID(_xlpm.big,1,2)))</f>
        <v>FEFFFFFF</v>
      </c>
      <c r="L856" s="2">
        <f t="shared" si="53"/>
        <v>0</v>
      </c>
      <c r="M856" s="2">
        <f t="shared" si="54"/>
        <v>0</v>
      </c>
      <c r="N856" s="2">
        <f t="shared" si="55"/>
        <v>0</v>
      </c>
      <c r="O856" s="2" cm="1">
        <f t="array" ref="O856">_xlfn.IFS(M856&lt;Data!$F$3,0,M856&lt;Data!$F$4,1,TRUE,2)</f>
        <v>0</v>
      </c>
      <c r="P856" s="2" cm="1">
        <f t="array" ref="P856">_xlfn.IFS(H856,3,N856&lt;Data!$F$3,0,N856&lt;Data!$F$4,1,TRUE,2)</f>
        <v>0</v>
      </c>
    </row>
    <row r="857" spans="4:16">
      <c r="G857" s="2" t="str" cm="1">
        <f t="array" ref="G857">_xlfn.CONCAT(IFERROR(I857:K857,""))</f>
        <v>02000000FEFFFFFF</v>
      </c>
      <c r="I857" s="2" t="e">
        <f>_xlfn.LET(_xlpm.big,DEC2HEX(_xlfn.BITLSHIFT(M857-_xlfn.XLOOKUP(O857,Data!A:A,Data!F:F),4)+O857,8),_xlfn.CONCAT(MID(_xlpm.big,7,2),MID(_xlpm.big,5,2),MID(_xlpm.big,3,2),MID(_xlpm.big,1,2)))</f>
        <v>#NUM!</v>
      </c>
      <c r="J857" s="2" t="str">
        <f t="shared" si="52"/>
        <v>02000000</v>
      </c>
      <c r="K857" s="2" t="str">
        <f>_xlfn.LET(_xlpm.big,IF(H857,DEC2HEX(HEX2DEC(F857),8),DEC2HEX(N857-_xlfn.XLOOKUP(P857,Data!A:A,Data!F:F),8)),_xlfn.CONCAT(MID(_xlpm.big,7,2),MID(_xlpm.big,5,2),MID(_xlpm.big,3,2),MID(_xlpm.big,1,2)))</f>
        <v>FEFFFFFF</v>
      </c>
      <c r="L857" s="2">
        <f t="shared" si="53"/>
        <v>0</v>
      </c>
      <c r="M857" s="2">
        <f t="shared" si="54"/>
        <v>0</v>
      </c>
      <c r="N857" s="2">
        <f t="shared" si="55"/>
        <v>0</v>
      </c>
      <c r="O857" s="2" cm="1">
        <f t="array" ref="O857">_xlfn.IFS(M857&lt;Data!$F$3,0,M857&lt;Data!$F$4,1,TRUE,2)</f>
        <v>0</v>
      </c>
      <c r="P857" s="2" cm="1">
        <f t="array" ref="P857">_xlfn.IFS(H857,3,N857&lt;Data!$F$3,0,N857&lt;Data!$F$4,1,TRUE,2)</f>
        <v>0</v>
      </c>
    </row>
    <row r="858" spans="4:16">
      <c r="G858" s="2" t="str" cm="1">
        <f t="array" ref="G858">_xlfn.CONCAT(IFERROR(I858:K858,""))</f>
        <v>02000000FEFFFFFF</v>
      </c>
      <c r="I858" s="2" t="e">
        <f>_xlfn.LET(_xlpm.big,DEC2HEX(_xlfn.BITLSHIFT(M858-_xlfn.XLOOKUP(O858,Data!A:A,Data!F:F),4)+O858,8),_xlfn.CONCAT(MID(_xlpm.big,7,2),MID(_xlpm.big,5,2),MID(_xlpm.big,3,2),MID(_xlpm.big,1,2)))</f>
        <v>#NUM!</v>
      </c>
      <c r="J858" s="2" t="str">
        <f t="shared" si="52"/>
        <v>02000000</v>
      </c>
      <c r="K858" s="2" t="str">
        <f>_xlfn.LET(_xlpm.big,IF(H858,DEC2HEX(HEX2DEC(F858),8),DEC2HEX(N858-_xlfn.XLOOKUP(P858,Data!A:A,Data!F:F),8)),_xlfn.CONCAT(MID(_xlpm.big,7,2),MID(_xlpm.big,5,2),MID(_xlpm.big,3,2),MID(_xlpm.big,1,2)))</f>
        <v>FEFFFFFF</v>
      </c>
      <c r="L858" s="2">
        <f t="shared" si="53"/>
        <v>0</v>
      </c>
      <c r="M858" s="2">
        <f t="shared" si="54"/>
        <v>0</v>
      </c>
      <c r="N858" s="2">
        <f t="shared" si="55"/>
        <v>0</v>
      </c>
      <c r="O858" s="2" cm="1">
        <f t="array" ref="O858">_xlfn.IFS(M858&lt;Data!$F$3,0,M858&lt;Data!$F$4,1,TRUE,2)</f>
        <v>0</v>
      </c>
      <c r="P858" s="2" cm="1">
        <f t="array" ref="P858">_xlfn.IFS(H858,3,N858&lt;Data!$F$3,0,N858&lt;Data!$F$4,1,TRUE,2)</f>
        <v>0</v>
      </c>
    </row>
    <row r="859" spans="4:16">
      <c r="G859" s="2" t="str" cm="1">
        <f t="array" ref="G859">_xlfn.CONCAT(IFERROR(I859:K859,""))</f>
        <v>02000000FEFFFFFF</v>
      </c>
      <c r="I859" s="2" t="e">
        <f>_xlfn.LET(_xlpm.big,DEC2HEX(_xlfn.BITLSHIFT(M859-_xlfn.XLOOKUP(O859,Data!A:A,Data!F:F),4)+O859,8),_xlfn.CONCAT(MID(_xlpm.big,7,2),MID(_xlpm.big,5,2),MID(_xlpm.big,3,2),MID(_xlpm.big,1,2)))</f>
        <v>#NUM!</v>
      </c>
      <c r="J859" s="2" t="str">
        <f t="shared" si="52"/>
        <v>02000000</v>
      </c>
      <c r="K859" s="2" t="str">
        <f>_xlfn.LET(_xlpm.big,IF(H859,DEC2HEX(HEX2DEC(F859),8),DEC2HEX(N859-_xlfn.XLOOKUP(P859,Data!A:A,Data!F:F),8)),_xlfn.CONCAT(MID(_xlpm.big,7,2),MID(_xlpm.big,5,2),MID(_xlpm.big,3,2),MID(_xlpm.big,1,2)))</f>
        <v>FEFFFFFF</v>
      </c>
      <c r="L859" s="2">
        <f t="shared" si="53"/>
        <v>0</v>
      </c>
      <c r="M859" s="2">
        <f t="shared" si="54"/>
        <v>0</v>
      </c>
      <c r="N859" s="2">
        <f t="shared" si="55"/>
        <v>0</v>
      </c>
      <c r="O859" s="2" cm="1">
        <f t="array" ref="O859">_xlfn.IFS(M859&lt;Data!$F$3,0,M859&lt;Data!$F$4,1,TRUE,2)</f>
        <v>0</v>
      </c>
      <c r="P859" s="2" cm="1">
        <f t="array" ref="P859">_xlfn.IFS(H859,3,N859&lt;Data!$F$3,0,N859&lt;Data!$F$4,1,TRUE,2)</f>
        <v>0</v>
      </c>
    </row>
    <row r="860" spans="4:16">
      <c r="G860" s="2" t="str" cm="1">
        <f t="array" ref="G860">_xlfn.CONCAT(IFERROR(I860:K860,""))</f>
        <v>02000000FEFFFFFF</v>
      </c>
      <c r="I860" s="2" t="e">
        <f>_xlfn.LET(_xlpm.big,DEC2HEX(_xlfn.BITLSHIFT(M860-_xlfn.XLOOKUP(O860,Data!A:A,Data!F:F),4)+O860,8),_xlfn.CONCAT(MID(_xlpm.big,7,2),MID(_xlpm.big,5,2),MID(_xlpm.big,3,2),MID(_xlpm.big,1,2)))</f>
        <v>#NUM!</v>
      </c>
      <c r="J860" s="2" t="str">
        <f t="shared" si="52"/>
        <v>02000000</v>
      </c>
      <c r="K860" s="2" t="str">
        <f>_xlfn.LET(_xlpm.big,IF(H860,DEC2HEX(HEX2DEC(F860),8),DEC2HEX(N860-_xlfn.XLOOKUP(P860,Data!A:A,Data!F:F),8)),_xlfn.CONCAT(MID(_xlpm.big,7,2),MID(_xlpm.big,5,2),MID(_xlpm.big,3,2),MID(_xlpm.big,1,2)))</f>
        <v>FEFFFFFF</v>
      </c>
      <c r="L860" s="2">
        <f t="shared" si="53"/>
        <v>0</v>
      </c>
      <c r="M860" s="2">
        <f t="shared" si="54"/>
        <v>0</v>
      </c>
      <c r="N860" s="2">
        <f t="shared" si="55"/>
        <v>0</v>
      </c>
      <c r="O860" s="2" cm="1">
        <f t="array" ref="O860">_xlfn.IFS(M860&lt;Data!$F$3,0,M860&lt;Data!$F$4,1,TRUE,2)</f>
        <v>0</v>
      </c>
      <c r="P860" s="2" cm="1">
        <f t="array" ref="P860">_xlfn.IFS(H860,3,N860&lt;Data!$F$3,0,N860&lt;Data!$F$4,1,TRUE,2)</f>
        <v>0</v>
      </c>
    </row>
    <row r="861" spans="4:16">
      <c r="G861" s="2" t="str" cm="1">
        <f t="array" ref="G861">_xlfn.CONCAT(IFERROR(I861:K861,""))</f>
        <v>02000000FEFFFFFF</v>
      </c>
      <c r="I861" s="2" t="e">
        <f>_xlfn.LET(_xlpm.big,DEC2HEX(_xlfn.BITLSHIFT(M861-_xlfn.XLOOKUP(O861,Data!A:A,Data!F:F),4)+O861,8),_xlfn.CONCAT(MID(_xlpm.big,7,2),MID(_xlpm.big,5,2),MID(_xlpm.big,3,2),MID(_xlpm.big,1,2)))</f>
        <v>#NUM!</v>
      </c>
      <c r="J861" s="2" t="str">
        <f t="shared" si="52"/>
        <v>02000000</v>
      </c>
      <c r="K861" s="2" t="str">
        <f>_xlfn.LET(_xlpm.big,IF(H861,DEC2HEX(HEX2DEC(F861),8),DEC2HEX(N861-_xlfn.XLOOKUP(P861,Data!A:A,Data!F:F),8)),_xlfn.CONCAT(MID(_xlpm.big,7,2),MID(_xlpm.big,5,2),MID(_xlpm.big,3,2),MID(_xlpm.big,1,2)))</f>
        <v>FEFFFFFF</v>
      </c>
      <c r="L861" s="2">
        <f t="shared" si="53"/>
        <v>0</v>
      </c>
      <c r="M861" s="2">
        <f t="shared" si="54"/>
        <v>0</v>
      </c>
      <c r="N861" s="2">
        <f t="shared" si="55"/>
        <v>0</v>
      </c>
      <c r="O861" s="2" cm="1">
        <f t="array" ref="O861">_xlfn.IFS(M861&lt;Data!$F$3,0,M861&lt;Data!$F$4,1,TRUE,2)</f>
        <v>0</v>
      </c>
      <c r="P861" s="2" cm="1">
        <f t="array" ref="P861">_xlfn.IFS(H861,3,N861&lt;Data!$F$3,0,N861&lt;Data!$F$4,1,TRUE,2)</f>
        <v>0</v>
      </c>
    </row>
    <row r="862" spans="4:16">
      <c r="G862" s="2" t="str" cm="1">
        <f t="array" ref="G862">_xlfn.CONCAT(IFERROR(I862:K862,""))</f>
        <v>02000000FEFFFFFF</v>
      </c>
      <c r="I862" s="2" t="e">
        <f>_xlfn.LET(_xlpm.big,DEC2HEX(_xlfn.BITLSHIFT(M862-_xlfn.XLOOKUP(O862,Data!A:A,Data!F:F),4)+O862,8),_xlfn.CONCAT(MID(_xlpm.big,7,2),MID(_xlpm.big,5,2),MID(_xlpm.big,3,2),MID(_xlpm.big,1,2)))</f>
        <v>#NUM!</v>
      </c>
      <c r="J862" s="2" t="str">
        <f t="shared" si="52"/>
        <v>02000000</v>
      </c>
      <c r="K862" s="2" t="str">
        <f>_xlfn.LET(_xlpm.big,IF(H862,DEC2HEX(HEX2DEC(F862),8),DEC2HEX(N862-_xlfn.XLOOKUP(P862,Data!A:A,Data!F:F),8)),_xlfn.CONCAT(MID(_xlpm.big,7,2),MID(_xlpm.big,5,2),MID(_xlpm.big,3,2),MID(_xlpm.big,1,2)))</f>
        <v>FEFFFFFF</v>
      </c>
      <c r="L862" s="2">
        <f t="shared" si="53"/>
        <v>0</v>
      </c>
      <c r="M862" s="2">
        <f t="shared" si="54"/>
        <v>0</v>
      </c>
      <c r="N862" s="2">
        <f t="shared" si="55"/>
        <v>0</v>
      </c>
      <c r="O862" s="2" cm="1">
        <f t="array" ref="O862">_xlfn.IFS(M862&lt;Data!$F$3,0,M862&lt;Data!$F$4,1,TRUE,2)</f>
        <v>0</v>
      </c>
      <c r="P862" s="2" cm="1">
        <f t="array" ref="P862">_xlfn.IFS(H862,3,N862&lt;Data!$F$3,0,N862&lt;Data!$F$4,1,TRUE,2)</f>
        <v>0</v>
      </c>
    </row>
    <row r="863" spans="4:16">
      <c r="G863" s="2" t="str" cm="1">
        <f t="array" ref="G863">_xlfn.CONCAT(IFERROR(I863:K863,""))</f>
        <v>02000000FEFFFFFF</v>
      </c>
      <c r="I863" s="2" t="e">
        <f>_xlfn.LET(_xlpm.big,DEC2HEX(_xlfn.BITLSHIFT(M863-_xlfn.XLOOKUP(O863,Data!A:A,Data!F:F),4)+O863,8),_xlfn.CONCAT(MID(_xlpm.big,7,2),MID(_xlpm.big,5,2),MID(_xlpm.big,3,2),MID(_xlpm.big,1,2)))</f>
        <v>#NUM!</v>
      </c>
      <c r="J863" s="2" t="str">
        <f t="shared" si="52"/>
        <v>02000000</v>
      </c>
      <c r="K863" s="2" t="str">
        <f>_xlfn.LET(_xlpm.big,IF(H863,DEC2HEX(HEX2DEC(F863),8),DEC2HEX(N863-_xlfn.XLOOKUP(P863,Data!A:A,Data!F:F),8)),_xlfn.CONCAT(MID(_xlpm.big,7,2),MID(_xlpm.big,5,2),MID(_xlpm.big,3,2),MID(_xlpm.big,1,2)))</f>
        <v>FEFFFFFF</v>
      </c>
      <c r="L863" s="2">
        <f t="shared" si="53"/>
        <v>0</v>
      </c>
      <c r="M863" s="2">
        <f t="shared" si="54"/>
        <v>0</v>
      </c>
      <c r="N863" s="2">
        <f t="shared" si="55"/>
        <v>0</v>
      </c>
      <c r="O863" s="2" cm="1">
        <f t="array" ref="O863">_xlfn.IFS(M863&lt;Data!$F$3,0,M863&lt;Data!$F$4,1,TRUE,2)</f>
        <v>0</v>
      </c>
      <c r="P863" s="2" cm="1">
        <f t="array" ref="P863">_xlfn.IFS(H863,3,N863&lt;Data!$F$3,0,N863&lt;Data!$F$4,1,TRUE,2)</f>
        <v>0</v>
      </c>
    </row>
    <row r="864" spans="4:16">
      <c r="G864" s="2" t="str" cm="1">
        <f t="array" ref="G864">_xlfn.CONCAT(IFERROR(I864:K864,""))</f>
        <v>02000000FEFFFFFF</v>
      </c>
      <c r="I864" s="2" t="e">
        <f>_xlfn.LET(_xlpm.big,DEC2HEX(_xlfn.BITLSHIFT(M864-_xlfn.XLOOKUP(O864,Data!A:A,Data!F:F),4)+O864,8),_xlfn.CONCAT(MID(_xlpm.big,7,2),MID(_xlpm.big,5,2),MID(_xlpm.big,3,2),MID(_xlpm.big,1,2)))</f>
        <v>#NUM!</v>
      </c>
      <c r="J864" s="2" t="str">
        <f t="shared" si="52"/>
        <v>02000000</v>
      </c>
      <c r="K864" s="2" t="str">
        <f>_xlfn.LET(_xlpm.big,IF(H864,DEC2HEX(HEX2DEC(F864),8),DEC2HEX(N864-_xlfn.XLOOKUP(P864,Data!A:A,Data!F:F),8)),_xlfn.CONCAT(MID(_xlpm.big,7,2),MID(_xlpm.big,5,2),MID(_xlpm.big,3,2),MID(_xlpm.big,1,2)))</f>
        <v>FEFFFFFF</v>
      </c>
      <c r="L864" s="2">
        <f t="shared" si="53"/>
        <v>0</v>
      </c>
      <c r="M864" s="2">
        <f t="shared" si="54"/>
        <v>0</v>
      </c>
      <c r="N864" s="2">
        <f t="shared" si="55"/>
        <v>0</v>
      </c>
      <c r="O864" s="2" cm="1">
        <f t="array" ref="O864">_xlfn.IFS(M864&lt;Data!$F$3,0,M864&lt;Data!$F$4,1,TRUE,2)</f>
        <v>0</v>
      </c>
      <c r="P864" s="2" cm="1">
        <f t="array" ref="P864">_xlfn.IFS(H864,3,N864&lt;Data!$F$3,0,N864&lt;Data!$F$4,1,TRUE,2)</f>
        <v>0</v>
      </c>
    </row>
    <row r="865" spans="5:16">
      <c r="G865" s="2" t="str" cm="1">
        <f t="array" ref="G865">_xlfn.CONCAT(IFERROR(I865:K865,""))</f>
        <v>02000000FEFFFFFF</v>
      </c>
      <c r="I865" s="2" t="e">
        <f>_xlfn.LET(_xlpm.big,DEC2HEX(_xlfn.BITLSHIFT(M865-_xlfn.XLOOKUP(O865,Data!A:A,Data!F:F),4)+O865,8),_xlfn.CONCAT(MID(_xlpm.big,7,2),MID(_xlpm.big,5,2),MID(_xlpm.big,3,2),MID(_xlpm.big,1,2)))</f>
        <v>#NUM!</v>
      </c>
      <c r="J865" s="2" t="str">
        <f t="shared" si="52"/>
        <v>02000000</v>
      </c>
      <c r="K865" s="2" t="str">
        <f>_xlfn.LET(_xlpm.big,IF(H865,DEC2HEX(HEX2DEC(F865),8),DEC2HEX(N865-_xlfn.XLOOKUP(P865,Data!A:A,Data!F:F),8)),_xlfn.CONCAT(MID(_xlpm.big,7,2),MID(_xlpm.big,5,2),MID(_xlpm.big,3,2),MID(_xlpm.big,1,2)))</f>
        <v>FEFFFFFF</v>
      </c>
      <c r="L865" s="2">
        <f t="shared" si="53"/>
        <v>0</v>
      </c>
      <c r="M865" s="2">
        <f t="shared" si="54"/>
        <v>0</v>
      </c>
      <c r="N865" s="2">
        <f t="shared" si="55"/>
        <v>0</v>
      </c>
      <c r="O865" s="2" cm="1">
        <f t="array" ref="O865">_xlfn.IFS(M865&lt;Data!$F$3,0,M865&lt;Data!$F$4,1,TRUE,2)</f>
        <v>0</v>
      </c>
      <c r="P865" s="2" cm="1">
        <f t="array" ref="P865">_xlfn.IFS(H865,3,N865&lt;Data!$F$3,0,N865&lt;Data!$F$4,1,TRUE,2)</f>
        <v>0</v>
      </c>
    </row>
    <row r="866" spans="5:16">
      <c r="E866" s="16"/>
      <c r="G866" s="2" t="str" cm="1">
        <f t="array" ref="G866">_xlfn.CONCAT(IFERROR(I866:K866,""))</f>
        <v>02000000FEFFFFFF</v>
      </c>
      <c r="I866" s="2" t="e">
        <f>_xlfn.LET(_xlpm.big,DEC2HEX(_xlfn.BITLSHIFT(M866-_xlfn.XLOOKUP(O866,Data!A:A,Data!F:F),4)+O866,8),_xlfn.CONCAT(MID(_xlpm.big,7,2),MID(_xlpm.big,5,2),MID(_xlpm.big,3,2),MID(_xlpm.big,1,2)))</f>
        <v>#NUM!</v>
      </c>
      <c r="J866" s="2" t="str">
        <f t="shared" si="52"/>
        <v>02000000</v>
      </c>
      <c r="K866" s="2" t="str">
        <f>_xlfn.LET(_xlpm.big,IF(H866,DEC2HEX(HEX2DEC(F866),8),DEC2HEX(N866-_xlfn.XLOOKUP(P866,Data!A:A,Data!F:F),8)),_xlfn.CONCAT(MID(_xlpm.big,7,2),MID(_xlpm.big,5,2),MID(_xlpm.big,3,2),MID(_xlpm.big,1,2)))</f>
        <v>FEFFFFFF</v>
      </c>
      <c r="L866" s="2">
        <f t="shared" si="53"/>
        <v>0</v>
      </c>
      <c r="M866" s="2">
        <f t="shared" si="54"/>
        <v>0</v>
      </c>
      <c r="N866" s="2">
        <f t="shared" si="55"/>
        <v>0</v>
      </c>
      <c r="O866" s="2" cm="1">
        <f t="array" ref="O866">_xlfn.IFS(M866&lt;Data!$F$3,0,M866&lt;Data!$F$4,1,TRUE,2)</f>
        <v>0</v>
      </c>
      <c r="P866" s="2" cm="1">
        <f t="array" ref="P866">_xlfn.IFS(H866,3,N866&lt;Data!$F$3,0,N866&lt;Data!$F$4,1,TRUE,2)</f>
        <v>0</v>
      </c>
    </row>
    <row r="867" spans="5:16">
      <c r="E867" s="16"/>
      <c r="G867" s="2" t="str" cm="1">
        <f t="array" ref="G867">_xlfn.CONCAT(IFERROR(I867:K867,""))</f>
        <v>02000000FEFFFFFF</v>
      </c>
      <c r="I867" s="2" t="e">
        <f>_xlfn.LET(_xlpm.big,DEC2HEX(_xlfn.BITLSHIFT(M867-_xlfn.XLOOKUP(O867,Data!A:A,Data!F:F),4)+O867,8),_xlfn.CONCAT(MID(_xlpm.big,7,2),MID(_xlpm.big,5,2),MID(_xlpm.big,3,2),MID(_xlpm.big,1,2)))</f>
        <v>#NUM!</v>
      </c>
      <c r="J867" s="2" t="str">
        <f t="shared" si="52"/>
        <v>02000000</v>
      </c>
      <c r="K867" s="2" t="str">
        <f>_xlfn.LET(_xlpm.big,IF(H867,DEC2HEX(HEX2DEC(F867),8),DEC2HEX(N867-_xlfn.XLOOKUP(P867,Data!A:A,Data!F:F),8)),_xlfn.CONCAT(MID(_xlpm.big,7,2),MID(_xlpm.big,5,2),MID(_xlpm.big,3,2),MID(_xlpm.big,1,2)))</f>
        <v>FEFFFFFF</v>
      </c>
      <c r="L867" s="2">
        <f t="shared" si="53"/>
        <v>0</v>
      </c>
      <c r="M867" s="2">
        <f t="shared" si="54"/>
        <v>0</v>
      </c>
      <c r="N867" s="2">
        <f t="shared" si="55"/>
        <v>0</v>
      </c>
      <c r="O867" s="2" cm="1">
        <f t="array" ref="O867">_xlfn.IFS(M867&lt;Data!$F$3,0,M867&lt;Data!$F$4,1,TRUE,2)</f>
        <v>0</v>
      </c>
      <c r="P867" s="2" cm="1">
        <f t="array" ref="P867">_xlfn.IFS(H867,3,N867&lt;Data!$F$3,0,N867&lt;Data!$F$4,1,TRUE,2)</f>
        <v>0</v>
      </c>
    </row>
    <row r="868" spans="5:16">
      <c r="E868" s="16"/>
      <c r="G868" s="2" t="str" cm="1">
        <f t="array" ref="G868">_xlfn.CONCAT(IFERROR(I868:K868,""))</f>
        <v>02000000FEFFFFFF</v>
      </c>
      <c r="I868" s="2" t="e">
        <f>_xlfn.LET(_xlpm.big,DEC2HEX(_xlfn.BITLSHIFT(M868-_xlfn.XLOOKUP(O868,Data!A:A,Data!F:F),4)+O868,8),_xlfn.CONCAT(MID(_xlpm.big,7,2),MID(_xlpm.big,5,2),MID(_xlpm.big,3,2),MID(_xlpm.big,1,2)))</f>
        <v>#NUM!</v>
      </c>
      <c r="J868" s="2" t="str">
        <f t="shared" si="52"/>
        <v>02000000</v>
      </c>
      <c r="K868" s="2" t="str">
        <f>_xlfn.LET(_xlpm.big,IF(H868,DEC2HEX(HEX2DEC(F868),8),DEC2HEX(N868-_xlfn.XLOOKUP(P868,Data!A:A,Data!F:F),8)),_xlfn.CONCAT(MID(_xlpm.big,7,2),MID(_xlpm.big,5,2),MID(_xlpm.big,3,2),MID(_xlpm.big,1,2)))</f>
        <v>FEFFFFFF</v>
      </c>
      <c r="L868" s="2">
        <f t="shared" si="53"/>
        <v>0</v>
      </c>
      <c r="M868" s="2">
        <f t="shared" si="54"/>
        <v>0</v>
      </c>
      <c r="N868" s="2">
        <f t="shared" si="55"/>
        <v>0</v>
      </c>
      <c r="O868" s="2" cm="1">
        <f t="array" ref="O868">_xlfn.IFS(M868&lt;Data!$F$3,0,M868&lt;Data!$F$4,1,TRUE,2)</f>
        <v>0</v>
      </c>
      <c r="P868" s="2" cm="1">
        <f t="array" ref="P868">_xlfn.IFS(H868,3,N868&lt;Data!$F$3,0,N868&lt;Data!$F$4,1,TRUE,2)</f>
        <v>0</v>
      </c>
    </row>
    <row r="869" spans="5:16">
      <c r="G869" s="2" t="str" cm="1">
        <f t="array" ref="G869">_xlfn.CONCAT(IFERROR(I869:K869,""))</f>
        <v>02000000FEFFFFFF</v>
      </c>
      <c r="I869" s="2" t="e">
        <f>_xlfn.LET(_xlpm.big,DEC2HEX(_xlfn.BITLSHIFT(M869-_xlfn.XLOOKUP(O869,Data!A:A,Data!F:F),4)+O869,8),_xlfn.CONCAT(MID(_xlpm.big,7,2),MID(_xlpm.big,5,2),MID(_xlpm.big,3,2),MID(_xlpm.big,1,2)))</f>
        <v>#NUM!</v>
      </c>
      <c r="J869" s="2" t="str">
        <f t="shared" si="52"/>
        <v>02000000</v>
      </c>
      <c r="K869" s="2" t="str">
        <f>_xlfn.LET(_xlpm.big,IF(H869,DEC2HEX(HEX2DEC(F869),8),DEC2HEX(N869-_xlfn.XLOOKUP(P869,Data!A:A,Data!F:F),8)),_xlfn.CONCAT(MID(_xlpm.big,7,2),MID(_xlpm.big,5,2),MID(_xlpm.big,3,2),MID(_xlpm.big,1,2)))</f>
        <v>FEFFFFFF</v>
      </c>
      <c r="L869" s="2">
        <f t="shared" si="53"/>
        <v>0</v>
      </c>
      <c r="M869" s="2">
        <f t="shared" si="54"/>
        <v>0</v>
      </c>
      <c r="N869" s="2">
        <f t="shared" si="55"/>
        <v>0</v>
      </c>
      <c r="O869" s="2" cm="1">
        <f t="array" ref="O869">_xlfn.IFS(M869&lt;Data!$F$3,0,M869&lt;Data!$F$4,1,TRUE,2)</f>
        <v>0</v>
      </c>
      <c r="P869" s="2" cm="1">
        <f t="array" ref="P869">_xlfn.IFS(H869,3,N869&lt;Data!$F$3,0,N869&lt;Data!$F$4,1,TRUE,2)</f>
        <v>0</v>
      </c>
    </row>
    <row r="870" spans="5:16">
      <c r="E870" s="16"/>
      <c r="G870" s="2" t="str" cm="1">
        <f t="array" ref="G870">_xlfn.CONCAT(IFERROR(I870:K870,""))</f>
        <v>02000000FEFFFFFF</v>
      </c>
      <c r="I870" s="2" t="e">
        <f>_xlfn.LET(_xlpm.big,DEC2HEX(_xlfn.BITLSHIFT(M870-_xlfn.XLOOKUP(O870,Data!A:A,Data!F:F),4)+O870,8),_xlfn.CONCAT(MID(_xlpm.big,7,2),MID(_xlpm.big,5,2),MID(_xlpm.big,3,2),MID(_xlpm.big,1,2)))</f>
        <v>#NUM!</v>
      </c>
      <c r="J870" s="2" t="str">
        <f t="shared" si="52"/>
        <v>02000000</v>
      </c>
      <c r="K870" s="2" t="str">
        <f>_xlfn.LET(_xlpm.big,IF(H870,DEC2HEX(HEX2DEC(F870),8),DEC2HEX(N870-_xlfn.XLOOKUP(P870,Data!A:A,Data!F:F),8)),_xlfn.CONCAT(MID(_xlpm.big,7,2),MID(_xlpm.big,5,2),MID(_xlpm.big,3,2),MID(_xlpm.big,1,2)))</f>
        <v>FEFFFFFF</v>
      </c>
      <c r="L870" s="2">
        <f t="shared" si="53"/>
        <v>0</v>
      </c>
      <c r="M870" s="2">
        <f t="shared" si="54"/>
        <v>0</v>
      </c>
      <c r="N870" s="2">
        <f t="shared" si="55"/>
        <v>0</v>
      </c>
      <c r="O870" s="2" cm="1">
        <f t="array" ref="O870">_xlfn.IFS(M870&lt;Data!$F$3,0,M870&lt;Data!$F$4,1,TRUE,2)</f>
        <v>0</v>
      </c>
      <c r="P870" s="2" cm="1">
        <f t="array" ref="P870">_xlfn.IFS(H870,3,N870&lt;Data!$F$3,0,N870&lt;Data!$F$4,1,TRUE,2)</f>
        <v>0</v>
      </c>
    </row>
    <row r="871" spans="5:16">
      <c r="E871" s="16"/>
      <c r="G871" s="2" t="str" cm="1">
        <f t="array" ref="G871">_xlfn.CONCAT(IFERROR(I871:K871,""))</f>
        <v>02000000FEFFFFFF</v>
      </c>
      <c r="I871" s="2" t="e">
        <f>_xlfn.LET(_xlpm.big,DEC2HEX(_xlfn.BITLSHIFT(M871-_xlfn.XLOOKUP(O871,Data!A:A,Data!F:F),4)+O871,8),_xlfn.CONCAT(MID(_xlpm.big,7,2),MID(_xlpm.big,5,2),MID(_xlpm.big,3,2),MID(_xlpm.big,1,2)))</f>
        <v>#NUM!</v>
      </c>
      <c r="J871" s="2" t="str">
        <f t="shared" si="52"/>
        <v>02000000</v>
      </c>
      <c r="K871" s="2" t="str">
        <f>_xlfn.LET(_xlpm.big,IF(H871,DEC2HEX(HEX2DEC(F871),8),DEC2HEX(N871-_xlfn.XLOOKUP(P871,Data!A:A,Data!F:F),8)),_xlfn.CONCAT(MID(_xlpm.big,7,2),MID(_xlpm.big,5,2),MID(_xlpm.big,3,2),MID(_xlpm.big,1,2)))</f>
        <v>FEFFFFFF</v>
      </c>
      <c r="L871" s="2">
        <f t="shared" si="53"/>
        <v>0</v>
      </c>
      <c r="M871" s="2">
        <f t="shared" si="54"/>
        <v>0</v>
      </c>
      <c r="N871" s="2">
        <f t="shared" si="55"/>
        <v>0</v>
      </c>
      <c r="O871" s="2" cm="1">
        <f t="array" ref="O871">_xlfn.IFS(M871&lt;Data!$F$3,0,M871&lt;Data!$F$4,1,TRUE,2)</f>
        <v>0</v>
      </c>
      <c r="P871" s="2" cm="1">
        <f t="array" ref="P871">_xlfn.IFS(H871,3,N871&lt;Data!$F$3,0,N871&lt;Data!$F$4,1,TRUE,2)</f>
        <v>0</v>
      </c>
    </row>
    <row r="872" spans="5:16">
      <c r="E872" s="16"/>
      <c r="G872" s="2" t="str" cm="1">
        <f t="array" ref="G872">_xlfn.CONCAT(IFERROR(I872:K872,""))</f>
        <v>02000000FEFFFFFF</v>
      </c>
      <c r="I872" s="2" t="e">
        <f>_xlfn.LET(_xlpm.big,DEC2HEX(_xlfn.BITLSHIFT(M872-_xlfn.XLOOKUP(O872,Data!A:A,Data!F:F),4)+O872,8),_xlfn.CONCAT(MID(_xlpm.big,7,2),MID(_xlpm.big,5,2),MID(_xlpm.big,3,2),MID(_xlpm.big,1,2)))</f>
        <v>#NUM!</v>
      </c>
      <c r="J872" s="2" t="str">
        <f t="shared" si="52"/>
        <v>02000000</v>
      </c>
      <c r="K872" s="2" t="str">
        <f>_xlfn.LET(_xlpm.big,IF(H872,DEC2HEX(HEX2DEC(F872),8),DEC2HEX(N872-_xlfn.XLOOKUP(P872,Data!A:A,Data!F:F),8)),_xlfn.CONCAT(MID(_xlpm.big,7,2),MID(_xlpm.big,5,2),MID(_xlpm.big,3,2),MID(_xlpm.big,1,2)))</f>
        <v>FEFFFFFF</v>
      </c>
      <c r="L872" s="2">
        <f t="shared" si="53"/>
        <v>0</v>
      </c>
      <c r="M872" s="2">
        <f t="shared" si="54"/>
        <v>0</v>
      </c>
      <c r="N872" s="2">
        <f t="shared" si="55"/>
        <v>0</v>
      </c>
      <c r="O872" s="2" cm="1">
        <f t="array" ref="O872">_xlfn.IFS(M872&lt;Data!$F$3,0,M872&lt;Data!$F$4,1,TRUE,2)</f>
        <v>0</v>
      </c>
      <c r="P872" s="2" cm="1">
        <f t="array" ref="P872">_xlfn.IFS(H872,3,N872&lt;Data!$F$3,0,N872&lt;Data!$F$4,1,TRUE,2)</f>
        <v>0</v>
      </c>
    </row>
    <row r="873" spans="5:16">
      <c r="E873" s="16"/>
      <c r="G873" s="2" t="str" cm="1">
        <f t="array" ref="G873">_xlfn.CONCAT(IFERROR(I873:K873,""))</f>
        <v>02000000FEFFFFFF</v>
      </c>
      <c r="I873" s="2" t="e">
        <f>_xlfn.LET(_xlpm.big,DEC2HEX(_xlfn.BITLSHIFT(M873-_xlfn.XLOOKUP(O873,Data!A:A,Data!F:F),4)+O873,8),_xlfn.CONCAT(MID(_xlpm.big,7,2),MID(_xlpm.big,5,2),MID(_xlpm.big,3,2),MID(_xlpm.big,1,2)))</f>
        <v>#NUM!</v>
      </c>
      <c r="J873" s="2" t="str">
        <f t="shared" si="52"/>
        <v>02000000</v>
      </c>
      <c r="K873" s="2" t="str">
        <f>_xlfn.LET(_xlpm.big,IF(H873,DEC2HEX(HEX2DEC(F873),8),DEC2HEX(N873-_xlfn.XLOOKUP(P873,Data!A:A,Data!F:F),8)),_xlfn.CONCAT(MID(_xlpm.big,7,2),MID(_xlpm.big,5,2),MID(_xlpm.big,3,2),MID(_xlpm.big,1,2)))</f>
        <v>FEFFFFFF</v>
      </c>
      <c r="L873" s="2">
        <f t="shared" si="53"/>
        <v>0</v>
      </c>
      <c r="M873" s="2">
        <f t="shared" si="54"/>
        <v>0</v>
      </c>
      <c r="N873" s="2">
        <f t="shared" si="55"/>
        <v>0</v>
      </c>
      <c r="O873" s="2" cm="1">
        <f t="array" ref="O873">_xlfn.IFS(M873&lt;Data!$F$3,0,M873&lt;Data!$F$4,1,TRUE,2)</f>
        <v>0</v>
      </c>
      <c r="P873" s="2" cm="1">
        <f t="array" ref="P873">_xlfn.IFS(H873,3,N873&lt;Data!$F$3,0,N873&lt;Data!$F$4,1,TRUE,2)</f>
        <v>0</v>
      </c>
    </row>
    <row r="874" spans="5:16">
      <c r="G874" s="2" t="str" cm="1">
        <f t="array" ref="G874">_xlfn.CONCAT(IFERROR(I874:K874,""))</f>
        <v>02000000FEFFFFFF</v>
      </c>
      <c r="I874" s="2" t="e">
        <f>_xlfn.LET(_xlpm.big,DEC2HEX(_xlfn.BITLSHIFT(M874-_xlfn.XLOOKUP(O874,Data!A:A,Data!F:F),4)+O874,8),_xlfn.CONCAT(MID(_xlpm.big,7,2),MID(_xlpm.big,5,2),MID(_xlpm.big,3,2),MID(_xlpm.big,1,2)))</f>
        <v>#NUM!</v>
      </c>
      <c r="J874" s="2" t="str">
        <f t="shared" si="52"/>
        <v>02000000</v>
      </c>
      <c r="K874" s="2" t="str">
        <f>_xlfn.LET(_xlpm.big,IF(H874,DEC2HEX(HEX2DEC(F874),8),DEC2HEX(N874-_xlfn.XLOOKUP(P874,Data!A:A,Data!F:F),8)),_xlfn.CONCAT(MID(_xlpm.big,7,2),MID(_xlpm.big,5,2),MID(_xlpm.big,3,2),MID(_xlpm.big,1,2)))</f>
        <v>FEFFFFFF</v>
      </c>
      <c r="L874" s="2">
        <f t="shared" si="53"/>
        <v>0</v>
      </c>
      <c r="M874" s="2">
        <f t="shared" si="54"/>
        <v>0</v>
      </c>
      <c r="N874" s="2">
        <f t="shared" si="55"/>
        <v>0</v>
      </c>
      <c r="O874" s="2" cm="1">
        <f t="array" ref="O874">_xlfn.IFS(M874&lt;Data!$F$3,0,M874&lt;Data!$F$4,1,TRUE,2)</f>
        <v>0</v>
      </c>
      <c r="P874" s="2" cm="1">
        <f t="array" ref="P874">_xlfn.IFS(H874,3,N874&lt;Data!$F$3,0,N874&lt;Data!$F$4,1,TRUE,2)</f>
        <v>0</v>
      </c>
    </row>
    <row r="875" spans="5:16">
      <c r="E875" s="16"/>
      <c r="G875" s="2" t="str" cm="1">
        <f t="array" ref="G875">_xlfn.CONCAT(IFERROR(I875:K875,""))</f>
        <v>02000000FEFFFFFF</v>
      </c>
      <c r="I875" s="2" t="e">
        <f>_xlfn.LET(_xlpm.big,DEC2HEX(_xlfn.BITLSHIFT(M875-_xlfn.XLOOKUP(O875,Data!A:A,Data!F:F),4)+O875,8),_xlfn.CONCAT(MID(_xlpm.big,7,2),MID(_xlpm.big,5,2),MID(_xlpm.big,3,2),MID(_xlpm.big,1,2)))</f>
        <v>#NUM!</v>
      </c>
      <c r="J875" s="2" t="str">
        <f t="shared" si="52"/>
        <v>02000000</v>
      </c>
      <c r="K875" s="2" t="str">
        <f>_xlfn.LET(_xlpm.big,IF(H875,DEC2HEX(HEX2DEC(F875),8),DEC2HEX(N875-_xlfn.XLOOKUP(P875,Data!A:A,Data!F:F),8)),_xlfn.CONCAT(MID(_xlpm.big,7,2),MID(_xlpm.big,5,2),MID(_xlpm.big,3,2),MID(_xlpm.big,1,2)))</f>
        <v>FEFFFFFF</v>
      </c>
      <c r="L875" s="2">
        <f t="shared" si="53"/>
        <v>0</v>
      </c>
      <c r="M875" s="2">
        <f t="shared" si="54"/>
        <v>0</v>
      </c>
      <c r="N875" s="2">
        <f t="shared" si="55"/>
        <v>0</v>
      </c>
      <c r="O875" s="2" cm="1">
        <f t="array" ref="O875">_xlfn.IFS(M875&lt;Data!$F$3,0,M875&lt;Data!$F$4,1,TRUE,2)</f>
        <v>0</v>
      </c>
      <c r="P875" s="2" cm="1">
        <f t="array" ref="P875">_xlfn.IFS(H875,3,N875&lt;Data!$F$3,0,N875&lt;Data!$F$4,1,TRUE,2)</f>
        <v>0</v>
      </c>
    </row>
    <row r="876" spans="5:16">
      <c r="E876" s="16"/>
      <c r="G876" s="2" t="str" cm="1">
        <f t="array" ref="G876">_xlfn.CONCAT(IFERROR(I876:K876,""))</f>
        <v>02000000FEFFFFFF</v>
      </c>
      <c r="I876" s="2" t="e">
        <f>_xlfn.LET(_xlpm.big,DEC2HEX(_xlfn.BITLSHIFT(M876-_xlfn.XLOOKUP(O876,Data!A:A,Data!F:F),4)+O876,8),_xlfn.CONCAT(MID(_xlpm.big,7,2),MID(_xlpm.big,5,2),MID(_xlpm.big,3,2),MID(_xlpm.big,1,2)))</f>
        <v>#NUM!</v>
      </c>
      <c r="J876" s="2" t="str">
        <f t="shared" si="52"/>
        <v>02000000</v>
      </c>
      <c r="K876" s="2" t="str">
        <f>_xlfn.LET(_xlpm.big,IF(H876,DEC2HEX(HEX2DEC(F876),8),DEC2HEX(N876-_xlfn.XLOOKUP(P876,Data!A:A,Data!F:F),8)),_xlfn.CONCAT(MID(_xlpm.big,7,2),MID(_xlpm.big,5,2),MID(_xlpm.big,3,2),MID(_xlpm.big,1,2)))</f>
        <v>FEFFFFFF</v>
      </c>
      <c r="L876" s="2">
        <f t="shared" si="53"/>
        <v>0</v>
      </c>
      <c r="M876" s="2">
        <f t="shared" si="54"/>
        <v>0</v>
      </c>
      <c r="N876" s="2">
        <f t="shared" si="55"/>
        <v>0</v>
      </c>
      <c r="O876" s="2" cm="1">
        <f t="array" ref="O876">_xlfn.IFS(M876&lt;Data!$F$3,0,M876&lt;Data!$F$4,1,TRUE,2)</f>
        <v>0</v>
      </c>
      <c r="P876" s="2" cm="1">
        <f t="array" ref="P876">_xlfn.IFS(H876,3,N876&lt;Data!$F$3,0,N876&lt;Data!$F$4,1,TRUE,2)</f>
        <v>0</v>
      </c>
    </row>
    <row r="877" spans="5:16">
      <c r="E877" s="16"/>
      <c r="G877" s="2" t="str" cm="1">
        <f t="array" ref="G877">_xlfn.CONCAT(IFERROR(I877:K877,""))</f>
        <v>02000000FEFFFFFF</v>
      </c>
      <c r="I877" s="2" t="e">
        <f>_xlfn.LET(_xlpm.big,DEC2HEX(_xlfn.BITLSHIFT(M877-_xlfn.XLOOKUP(O877,Data!A:A,Data!F:F),4)+O877,8),_xlfn.CONCAT(MID(_xlpm.big,7,2),MID(_xlpm.big,5,2),MID(_xlpm.big,3,2),MID(_xlpm.big,1,2)))</f>
        <v>#NUM!</v>
      </c>
      <c r="J877" s="2" t="str">
        <f t="shared" si="52"/>
        <v>02000000</v>
      </c>
      <c r="K877" s="2" t="str">
        <f>_xlfn.LET(_xlpm.big,IF(H877,DEC2HEX(HEX2DEC(F877),8),DEC2HEX(N877-_xlfn.XLOOKUP(P877,Data!A:A,Data!F:F),8)),_xlfn.CONCAT(MID(_xlpm.big,7,2),MID(_xlpm.big,5,2),MID(_xlpm.big,3,2),MID(_xlpm.big,1,2)))</f>
        <v>FEFFFFFF</v>
      </c>
      <c r="L877" s="2">
        <f t="shared" si="53"/>
        <v>0</v>
      </c>
      <c r="M877" s="2">
        <f t="shared" si="54"/>
        <v>0</v>
      </c>
      <c r="N877" s="2">
        <f t="shared" si="55"/>
        <v>0</v>
      </c>
      <c r="O877" s="2" cm="1">
        <f t="array" ref="O877">_xlfn.IFS(M877&lt;Data!$F$3,0,M877&lt;Data!$F$4,1,TRUE,2)</f>
        <v>0</v>
      </c>
      <c r="P877" s="2" cm="1">
        <f t="array" ref="P877">_xlfn.IFS(H877,3,N877&lt;Data!$F$3,0,N877&lt;Data!$F$4,1,TRUE,2)</f>
        <v>0</v>
      </c>
    </row>
    <row r="878" spans="5:16">
      <c r="E878" s="16"/>
      <c r="G878" s="2" t="str" cm="1">
        <f t="array" ref="G878">_xlfn.CONCAT(IFERROR(I878:K878,""))</f>
        <v>02000000FEFFFFFF</v>
      </c>
      <c r="I878" s="2" t="e">
        <f>_xlfn.LET(_xlpm.big,DEC2HEX(_xlfn.BITLSHIFT(M878-_xlfn.XLOOKUP(O878,Data!A:A,Data!F:F),4)+O878,8),_xlfn.CONCAT(MID(_xlpm.big,7,2),MID(_xlpm.big,5,2),MID(_xlpm.big,3,2),MID(_xlpm.big,1,2)))</f>
        <v>#NUM!</v>
      </c>
      <c r="J878" s="2" t="str">
        <f t="shared" si="52"/>
        <v>02000000</v>
      </c>
      <c r="K878" s="2" t="str">
        <f>_xlfn.LET(_xlpm.big,IF(H878,DEC2HEX(HEX2DEC(F878),8),DEC2HEX(N878-_xlfn.XLOOKUP(P878,Data!A:A,Data!F:F),8)),_xlfn.CONCAT(MID(_xlpm.big,7,2),MID(_xlpm.big,5,2),MID(_xlpm.big,3,2),MID(_xlpm.big,1,2)))</f>
        <v>FEFFFFFF</v>
      </c>
      <c r="L878" s="2">
        <f t="shared" si="53"/>
        <v>0</v>
      </c>
      <c r="M878" s="2">
        <f t="shared" si="54"/>
        <v>0</v>
      </c>
      <c r="N878" s="2">
        <f t="shared" si="55"/>
        <v>0</v>
      </c>
      <c r="O878" s="2" cm="1">
        <f t="array" ref="O878">_xlfn.IFS(M878&lt;Data!$F$3,0,M878&lt;Data!$F$4,1,TRUE,2)</f>
        <v>0</v>
      </c>
      <c r="P878" s="2" cm="1">
        <f t="array" ref="P878">_xlfn.IFS(H878,3,N878&lt;Data!$F$3,0,N878&lt;Data!$F$4,1,TRUE,2)</f>
        <v>0</v>
      </c>
    </row>
    <row r="879" spans="5:16">
      <c r="E879" s="16"/>
      <c r="G879" s="2" t="str" cm="1">
        <f t="array" ref="G879">_xlfn.CONCAT(IFERROR(I879:K879,""))</f>
        <v>02000000FEFFFFFF</v>
      </c>
      <c r="I879" s="2" t="e">
        <f>_xlfn.LET(_xlpm.big,DEC2HEX(_xlfn.BITLSHIFT(M879-_xlfn.XLOOKUP(O879,Data!A:A,Data!F:F),4)+O879,8),_xlfn.CONCAT(MID(_xlpm.big,7,2),MID(_xlpm.big,5,2),MID(_xlpm.big,3,2),MID(_xlpm.big,1,2)))</f>
        <v>#NUM!</v>
      </c>
      <c r="J879" s="2" t="str">
        <f t="shared" si="52"/>
        <v>02000000</v>
      </c>
      <c r="K879" s="2" t="str">
        <f>_xlfn.LET(_xlpm.big,IF(H879,DEC2HEX(HEX2DEC(F879),8),DEC2HEX(N879-_xlfn.XLOOKUP(P879,Data!A:A,Data!F:F),8)),_xlfn.CONCAT(MID(_xlpm.big,7,2),MID(_xlpm.big,5,2),MID(_xlpm.big,3,2),MID(_xlpm.big,1,2)))</f>
        <v>FEFFFFFF</v>
      </c>
      <c r="L879" s="2">
        <f t="shared" si="53"/>
        <v>0</v>
      </c>
      <c r="M879" s="2">
        <f t="shared" si="54"/>
        <v>0</v>
      </c>
      <c r="N879" s="2">
        <f t="shared" si="55"/>
        <v>0</v>
      </c>
      <c r="O879" s="2" cm="1">
        <f t="array" ref="O879">_xlfn.IFS(M879&lt;Data!$F$3,0,M879&lt;Data!$F$4,1,TRUE,2)</f>
        <v>0</v>
      </c>
      <c r="P879" s="2" cm="1">
        <f t="array" ref="P879">_xlfn.IFS(H879,3,N879&lt;Data!$F$3,0,N879&lt;Data!$F$4,1,TRUE,2)</f>
        <v>0</v>
      </c>
    </row>
    <row r="880" spans="5:16">
      <c r="G880" s="2" t="str" cm="1">
        <f t="array" ref="G880">_xlfn.CONCAT(IFERROR(I880:K880,""))</f>
        <v>02000000FEFFFFFF</v>
      </c>
      <c r="I880" s="2" t="e">
        <f>_xlfn.LET(_xlpm.big,DEC2HEX(_xlfn.BITLSHIFT(M880-_xlfn.XLOOKUP(O880,Data!A:A,Data!F:F),4)+O880,8),_xlfn.CONCAT(MID(_xlpm.big,7,2),MID(_xlpm.big,5,2),MID(_xlpm.big,3,2),MID(_xlpm.big,1,2)))</f>
        <v>#NUM!</v>
      </c>
      <c r="J880" s="2" t="str">
        <f t="shared" si="52"/>
        <v>02000000</v>
      </c>
      <c r="K880" s="2" t="str">
        <f>_xlfn.LET(_xlpm.big,IF(H880,DEC2HEX(HEX2DEC(F880),8),DEC2HEX(N880-_xlfn.XLOOKUP(P880,Data!A:A,Data!F:F),8)),_xlfn.CONCAT(MID(_xlpm.big,7,2),MID(_xlpm.big,5,2),MID(_xlpm.big,3,2),MID(_xlpm.big,1,2)))</f>
        <v>FEFFFFFF</v>
      </c>
      <c r="L880" s="2">
        <f t="shared" si="53"/>
        <v>0</v>
      </c>
      <c r="M880" s="2">
        <f t="shared" si="54"/>
        <v>0</v>
      </c>
      <c r="N880" s="2">
        <f t="shared" si="55"/>
        <v>0</v>
      </c>
      <c r="O880" s="2" cm="1">
        <f t="array" ref="O880">_xlfn.IFS(M880&lt;Data!$F$3,0,M880&lt;Data!$F$4,1,TRUE,2)</f>
        <v>0</v>
      </c>
      <c r="P880" s="2" cm="1">
        <f t="array" ref="P880">_xlfn.IFS(H880,3,N880&lt;Data!$F$3,0,N880&lt;Data!$F$4,1,TRUE,2)</f>
        <v>0</v>
      </c>
    </row>
    <row r="881" spans="4:16">
      <c r="E881" s="16"/>
      <c r="G881" s="2" t="str" cm="1">
        <f t="array" ref="G881">_xlfn.CONCAT(IFERROR(I881:K881,""))</f>
        <v>02000000FEFFFFFF</v>
      </c>
      <c r="I881" s="2" t="e">
        <f>_xlfn.LET(_xlpm.big,DEC2HEX(_xlfn.BITLSHIFT(M881-_xlfn.XLOOKUP(O881,Data!A:A,Data!F:F),4)+O881,8),_xlfn.CONCAT(MID(_xlpm.big,7,2),MID(_xlpm.big,5,2),MID(_xlpm.big,3,2),MID(_xlpm.big,1,2)))</f>
        <v>#NUM!</v>
      </c>
      <c r="J881" s="2" t="str">
        <f t="shared" si="52"/>
        <v>02000000</v>
      </c>
      <c r="K881" s="2" t="str">
        <f>_xlfn.LET(_xlpm.big,IF(H881,DEC2HEX(HEX2DEC(F881),8),DEC2HEX(N881-_xlfn.XLOOKUP(P881,Data!A:A,Data!F:F),8)),_xlfn.CONCAT(MID(_xlpm.big,7,2),MID(_xlpm.big,5,2),MID(_xlpm.big,3,2),MID(_xlpm.big,1,2)))</f>
        <v>FEFFFFFF</v>
      </c>
      <c r="L881" s="2">
        <f t="shared" si="53"/>
        <v>0</v>
      </c>
      <c r="M881" s="2">
        <f t="shared" si="54"/>
        <v>0</v>
      </c>
      <c r="N881" s="2">
        <f t="shared" si="55"/>
        <v>0</v>
      </c>
      <c r="O881" s="2" cm="1">
        <f t="array" ref="O881">_xlfn.IFS(M881&lt;Data!$F$3,0,M881&lt;Data!$F$4,1,TRUE,2)</f>
        <v>0</v>
      </c>
      <c r="P881" s="2" cm="1">
        <f t="array" ref="P881">_xlfn.IFS(H881,3,N881&lt;Data!$F$3,0,N881&lt;Data!$F$4,1,TRUE,2)</f>
        <v>0</v>
      </c>
    </row>
    <row r="882" spans="4:16">
      <c r="E882" s="16"/>
      <c r="G882" s="2" t="str" cm="1">
        <f t="array" ref="G882">_xlfn.CONCAT(IFERROR(I882:K882,""))</f>
        <v>02000000FEFFFFFF</v>
      </c>
      <c r="I882" s="2" t="e">
        <f>_xlfn.LET(_xlpm.big,DEC2HEX(_xlfn.BITLSHIFT(M882-_xlfn.XLOOKUP(O882,Data!A:A,Data!F:F),4)+O882,8),_xlfn.CONCAT(MID(_xlpm.big,7,2),MID(_xlpm.big,5,2),MID(_xlpm.big,3,2),MID(_xlpm.big,1,2)))</f>
        <v>#NUM!</v>
      </c>
      <c r="J882" s="2" t="str">
        <f t="shared" si="52"/>
        <v>02000000</v>
      </c>
      <c r="K882" s="2" t="str">
        <f>_xlfn.LET(_xlpm.big,IF(H882,DEC2HEX(HEX2DEC(F882),8),DEC2HEX(N882-_xlfn.XLOOKUP(P882,Data!A:A,Data!F:F),8)),_xlfn.CONCAT(MID(_xlpm.big,7,2),MID(_xlpm.big,5,2),MID(_xlpm.big,3,2),MID(_xlpm.big,1,2)))</f>
        <v>FEFFFFFF</v>
      </c>
      <c r="L882" s="2">
        <f t="shared" si="53"/>
        <v>0</v>
      </c>
      <c r="M882" s="2">
        <f t="shared" si="54"/>
        <v>0</v>
      </c>
      <c r="N882" s="2">
        <f t="shared" si="55"/>
        <v>0</v>
      </c>
      <c r="O882" s="2" cm="1">
        <f t="array" ref="O882">_xlfn.IFS(M882&lt;Data!$F$3,0,M882&lt;Data!$F$4,1,TRUE,2)</f>
        <v>0</v>
      </c>
      <c r="P882" s="2" cm="1">
        <f t="array" ref="P882">_xlfn.IFS(H882,3,N882&lt;Data!$F$3,0,N882&lt;Data!$F$4,1,TRUE,2)</f>
        <v>0</v>
      </c>
    </row>
    <row r="883" spans="4:16">
      <c r="E883" s="16"/>
      <c r="G883" s="2" t="str" cm="1">
        <f t="array" ref="G883">_xlfn.CONCAT(IFERROR(I883:K883,""))</f>
        <v>02000000FEFFFFFF</v>
      </c>
      <c r="I883" s="2" t="e">
        <f>_xlfn.LET(_xlpm.big,DEC2HEX(_xlfn.BITLSHIFT(M883-_xlfn.XLOOKUP(O883,Data!A:A,Data!F:F),4)+O883,8),_xlfn.CONCAT(MID(_xlpm.big,7,2),MID(_xlpm.big,5,2),MID(_xlpm.big,3,2),MID(_xlpm.big,1,2)))</f>
        <v>#NUM!</v>
      </c>
      <c r="J883" s="2" t="str">
        <f t="shared" si="52"/>
        <v>02000000</v>
      </c>
      <c r="K883" s="2" t="str">
        <f>_xlfn.LET(_xlpm.big,IF(H883,DEC2HEX(HEX2DEC(F883),8),DEC2HEX(N883-_xlfn.XLOOKUP(P883,Data!A:A,Data!F:F),8)),_xlfn.CONCAT(MID(_xlpm.big,7,2),MID(_xlpm.big,5,2),MID(_xlpm.big,3,2),MID(_xlpm.big,1,2)))</f>
        <v>FEFFFFFF</v>
      </c>
      <c r="L883" s="2">
        <f t="shared" si="53"/>
        <v>0</v>
      </c>
      <c r="M883" s="2">
        <f t="shared" si="54"/>
        <v>0</v>
      </c>
      <c r="N883" s="2">
        <f t="shared" si="55"/>
        <v>0</v>
      </c>
      <c r="O883" s="2" cm="1">
        <f t="array" ref="O883">_xlfn.IFS(M883&lt;Data!$F$3,0,M883&lt;Data!$F$4,1,TRUE,2)</f>
        <v>0</v>
      </c>
      <c r="P883" s="2" cm="1">
        <f t="array" ref="P883">_xlfn.IFS(H883,3,N883&lt;Data!$F$3,0,N883&lt;Data!$F$4,1,TRUE,2)</f>
        <v>0</v>
      </c>
    </row>
    <row r="884" spans="4:16">
      <c r="E884" s="16"/>
      <c r="G884" s="2" t="str" cm="1">
        <f t="array" ref="G884">_xlfn.CONCAT(IFERROR(I884:K884,""))</f>
        <v>02000000FEFFFFFF</v>
      </c>
      <c r="I884" s="2" t="e">
        <f>_xlfn.LET(_xlpm.big,DEC2HEX(_xlfn.BITLSHIFT(M884-_xlfn.XLOOKUP(O884,Data!A:A,Data!F:F),4)+O884,8),_xlfn.CONCAT(MID(_xlpm.big,7,2),MID(_xlpm.big,5,2),MID(_xlpm.big,3,2),MID(_xlpm.big,1,2)))</f>
        <v>#NUM!</v>
      </c>
      <c r="J884" s="2" t="str">
        <f t="shared" si="52"/>
        <v>02000000</v>
      </c>
      <c r="K884" s="2" t="str">
        <f>_xlfn.LET(_xlpm.big,IF(H884,DEC2HEX(HEX2DEC(F884),8),DEC2HEX(N884-_xlfn.XLOOKUP(P884,Data!A:A,Data!F:F),8)),_xlfn.CONCAT(MID(_xlpm.big,7,2),MID(_xlpm.big,5,2),MID(_xlpm.big,3,2),MID(_xlpm.big,1,2)))</f>
        <v>FEFFFFFF</v>
      </c>
      <c r="L884" s="2">
        <f t="shared" si="53"/>
        <v>0</v>
      </c>
      <c r="M884" s="2">
        <f t="shared" si="54"/>
        <v>0</v>
      </c>
      <c r="N884" s="2">
        <f t="shared" si="55"/>
        <v>0</v>
      </c>
      <c r="O884" s="2" cm="1">
        <f t="array" ref="O884">_xlfn.IFS(M884&lt;Data!$F$3,0,M884&lt;Data!$F$4,1,TRUE,2)</f>
        <v>0</v>
      </c>
      <c r="P884" s="2" cm="1">
        <f t="array" ref="P884">_xlfn.IFS(H884,3,N884&lt;Data!$F$3,0,N884&lt;Data!$F$4,1,TRUE,2)</f>
        <v>0</v>
      </c>
    </row>
    <row r="885" spans="4:16">
      <c r="D885" s="3"/>
      <c r="E885" s="3"/>
      <c r="G885" s="2" t="str" cm="1">
        <f t="array" ref="G885">_xlfn.CONCAT(IFERROR(I885:K885,""))</f>
        <v>02000000FEFFFFFF</v>
      </c>
      <c r="I885" s="2" t="e">
        <f>_xlfn.LET(_xlpm.big,DEC2HEX(_xlfn.BITLSHIFT(M885-_xlfn.XLOOKUP(O885,Data!A:A,Data!F:F),4)+O885,8),_xlfn.CONCAT(MID(_xlpm.big,7,2),MID(_xlpm.big,5,2),MID(_xlpm.big,3,2),MID(_xlpm.big,1,2)))</f>
        <v>#NUM!</v>
      </c>
      <c r="J885" s="2" t="str">
        <f t="shared" si="52"/>
        <v>02000000</v>
      </c>
      <c r="K885" s="2" t="str">
        <f>_xlfn.LET(_xlpm.big,IF(H885,DEC2HEX(HEX2DEC(F885),8),DEC2HEX(N885-_xlfn.XLOOKUP(P885,Data!A:A,Data!F:F),8)),_xlfn.CONCAT(MID(_xlpm.big,7,2),MID(_xlpm.big,5,2),MID(_xlpm.big,3,2),MID(_xlpm.big,1,2)))</f>
        <v>FEFFFFFF</v>
      </c>
      <c r="L885" s="2">
        <f t="shared" si="53"/>
        <v>0</v>
      </c>
      <c r="M885" s="2">
        <f t="shared" si="54"/>
        <v>0</v>
      </c>
      <c r="N885" s="2">
        <f t="shared" si="55"/>
        <v>0</v>
      </c>
      <c r="O885" s="2" cm="1">
        <f t="array" ref="O885">_xlfn.IFS(M885&lt;Data!$F$3,0,M885&lt;Data!$F$4,1,TRUE,2)</f>
        <v>0</v>
      </c>
      <c r="P885" s="2" cm="1">
        <f t="array" ref="P885">_xlfn.IFS(H885,3,N885&lt;Data!$F$3,0,N885&lt;Data!$F$4,1,TRUE,2)</f>
        <v>0</v>
      </c>
    </row>
    <row r="886" spans="4:16">
      <c r="E886" s="16"/>
      <c r="G886" s="2" t="str" cm="1">
        <f t="array" ref="G886">_xlfn.CONCAT(IFERROR(I886:K886,""))</f>
        <v>02000000FEFFFFFF</v>
      </c>
      <c r="I886" s="2" t="e">
        <f>_xlfn.LET(_xlpm.big,DEC2HEX(_xlfn.BITLSHIFT(M886-_xlfn.XLOOKUP(O886,Data!A:A,Data!F:F),4)+O886,8),_xlfn.CONCAT(MID(_xlpm.big,7,2),MID(_xlpm.big,5,2),MID(_xlpm.big,3,2),MID(_xlpm.big,1,2)))</f>
        <v>#NUM!</v>
      </c>
      <c r="J886" s="2" t="str">
        <f t="shared" si="52"/>
        <v>02000000</v>
      </c>
      <c r="K886" s="2" t="str">
        <f>_xlfn.LET(_xlpm.big,IF(H886,DEC2HEX(HEX2DEC(F886),8),DEC2HEX(N886-_xlfn.XLOOKUP(P886,Data!A:A,Data!F:F),8)),_xlfn.CONCAT(MID(_xlpm.big,7,2),MID(_xlpm.big,5,2),MID(_xlpm.big,3,2),MID(_xlpm.big,1,2)))</f>
        <v>FEFFFFFF</v>
      </c>
      <c r="L886" s="2">
        <f t="shared" si="53"/>
        <v>0</v>
      </c>
      <c r="M886" s="2">
        <f t="shared" si="54"/>
        <v>0</v>
      </c>
      <c r="N886" s="2">
        <f t="shared" si="55"/>
        <v>0</v>
      </c>
      <c r="O886" s="2" cm="1">
        <f t="array" ref="O886">_xlfn.IFS(M886&lt;Data!$F$3,0,M886&lt;Data!$F$4,1,TRUE,2)</f>
        <v>0</v>
      </c>
      <c r="P886" s="2" cm="1">
        <f t="array" ref="P886">_xlfn.IFS(H886,3,N886&lt;Data!$F$3,0,N886&lt;Data!$F$4,1,TRUE,2)</f>
        <v>0</v>
      </c>
    </row>
    <row r="887" spans="4:16">
      <c r="E887" s="16"/>
      <c r="G887" s="2" t="str" cm="1">
        <f t="array" ref="G887">_xlfn.CONCAT(IFERROR(I887:K887,""))</f>
        <v>02000000FEFFFFFF</v>
      </c>
      <c r="I887" s="2" t="e">
        <f>_xlfn.LET(_xlpm.big,DEC2HEX(_xlfn.BITLSHIFT(M887-_xlfn.XLOOKUP(O887,Data!A:A,Data!F:F),4)+O887,8),_xlfn.CONCAT(MID(_xlpm.big,7,2),MID(_xlpm.big,5,2),MID(_xlpm.big,3,2),MID(_xlpm.big,1,2)))</f>
        <v>#NUM!</v>
      </c>
      <c r="J887" s="2" t="str">
        <f t="shared" si="52"/>
        <v>02000000</v>
      </c>
      <c r="K887" s="2" t="str">
        <f>_xlfn.LET(_xlpm.big,IF(H887,DEC2HEX(HEX2DEC(F887),8),DEC2HEX(N887-_xlfn.XLOOKUP(P887,Data!A:A,Data!F:F),8)),_xlfn.CONCAT(MID(_xlpm.big,7,2),MID(_xlpm.big,5,2),MID(_xlpm.big,3,2),MID(_xlpm.big,1,2)))</f>
        <v>FEFFFFFF</v>
      </c>
      <c r="L887" s="2">
        <f t="shared" si="53"/>
        <v>0</v>
      </c>
      <c r="M887" s="2">
        <f t="shared" si="54"/>
        <v>0</v>
      </c>
      <c r="N887" s="2">
        <f t="shared" si="55"/>
        <v>0</v>
      </c>
      <c r="O887" s="2" cm="1">
        <f t="array" ref="O887">_xlfn.IFS(M887&lt;Data!$F$3,0,M887&lt;Data!$F$4,1,TRUE,2)</f>
        <v>0</v>
      </c>
      <c r="P887" s="2" cm="1">
        <f t="array" ref="P887">_xlfn.IFS(H887,3,N887&lt;Data!$F$3,0,N887&lt;Data!$F$4,1,TRUE,2)</f>
        <v>0</v>
      </c>
    </row>
    <row r="888" spans="4:16">
      <c r="E888" s="16"/>
      <c r="G888" s="2" t="str" cm="1">
        <f t="array" ref="G888">_xlfn.CONCAT(IFERROR(I888:K888,""))</f>
        <v>02000000FEFFFFFF</v>
      </c>
      <c r="I888" s="2" t="e">
        <f>_xlfn.LET(_xlpm.big,DEC2HEX(_xlfn.BITLSHIFT(M888-_xlfn.XLOOKUP(O888,Data!A:A,Data!F:F),4)+O888,8),_xlfn.CONCAT(MID(_xlpm.big,7,2),MID(_xlpm.big,5,2),MID(_xlpm.big,3,2),MID(_xlpm.big,1,2)))</f>
        <v>#NUM!</v>
      </c>
      <c r="J888" s="2" t="str">
        <f t="shared" si="52"/>
        <v>02000000</v>
      </c>
      <c r="K888" s="2" t="str">
        <f>_xlfn.LET(_xlpm.big,IF(H888,DEC2HEX(HEX2DEC(F888),8),DEC2HEX(N888-_xlfn.XLOOKUP(P888,Data!A:A,Data!F:F),8)),_xlfn.CONCAT(MID(_xlpm.big,7,2),MID(_xlpm.big,5,2),MID(_xlpm.big,3,2),MID(_xlpm.big,1,2)))</f>
        <v>FEFFFFFF</v>
      </c>
      <c r="L888" s="2">
        <f t="shared" si="53"/>
        <v>0</v>
      </c>
      <c r="M888" s="2">
        <f t="shared" si="54"/>
        <v>0</v>
      </c>
      <c r="N888" s="2">
        <f t="shared" si="55"/>
        <v>0</v>
      </c>
      <c r="O888" s="2" cm="1">
        <f t="array" ref="O888">_xlfn.IFS(M888&lt;Data!$F$3,0,M888&lt;Data!$F$4,1,TRUE,2)</f>
        <v>0</v>
      </c>
      <c r="P888" s="2" cm="1">
        <f t="array" ref="P888">_xlfn.IFS(H888,3,N888&lt;Data!$F$3,0,N888&lt;Data!$F$4,1,TRUE,2)</f>
        <v>0</v>
      </c>
    </row>
    <row r="889" spans="4:16">
      <c r="G889" s="2" t="str" cm="1">
        <f t="array" ref="G889">_xlfn.CONCAT(IFERROR(I889:K889,""))</f>
        <v>02000000FEFFFFFF</v>
      </c>
      <c r="I889" s="2" t="e">
        <f>_xlfn.LET(_xlpm.big,DEC2HEX(_xlfn.BITLSHIFT(M889-_xlfn.XLOOKUP(O889,Data!A:A,Data!F:F),4)+O889,8),_xlfn.CONCAT(MID(_xlpm.big,7,2),MID(_xlpm.big,5,2),MID(_xlpm.big,3,2),MID(_xlpm.big,1,2)))</f>
        <v>#NUM!</v>
      </c>
      <c r="J889" s="2" t="str">
        <f t="shared" si="52"/>
        <v>02000000</v>
      </c>
      <c r="K889" s="2" t="str">
        <f>_xlfn.LET(_xlpm.big,IF(H889,DEC2HEX(HEX2DEC(F889),8),DEC2HEX(N889-_xlfn.XLOOKUP(P889,Data!A:A,Data!F:F),8)),_xlfn.CONCAT(MID(_xlpm.big,7,2),MID(_xlpm.big,5,2),MID(_xlpm.big,3,2),MID(_xlpm.big,1,2)))</f>
        <v>FEFFFFFF</v>
      </c>
      <c r="L889" s="2">
        <f t="shared" si="53"/>
        <v>0</v>
      </c>
      <c r="M889" s="2">
        <f t="shared" si="54"/>
        <v>0</v>
      </c>
      <c r="N889" s="2">
        <f t="shared" si="55"/>
        <v>0</v>
      </c>
      <c r="O889" s="2" cm="1">
        <f t="array" ref="O889">_xlfn.IFS(M889&lt;Data!$F$3,0,M889&lt;Data!$F$4,1,TRUE,2)</f>
        <v>0</v>
      </c>
      <c r="P889" s="2" cm="1">
        <f t="array" ref="P889">_xlfn.IFS(H889,3,N889&lt;Data!$F$3,0,N889&lt;Data!$F$4,1,TRUE,2)</f>
        <v>0</v>
      </c>
    </row>
    <row r="890" spans="4:16">
      <c r="E890" s="16"/>
      <c r="G890" s="2" t="str" cm="1">
        <f t="array" ref="G890">_xlfn.CONCAT(IFERROR(I890:K890,""))</f>
        <v>02000000FEFFFFFF</v>
      </c>
      <c r="I890" s="2" t="e">
        <f>_xlfn.LET(_xlpm.big,DEC2HEX(_xlfn.BITLSHIFT(M890-_xlfn.XLOOKUP(O890,Data!A:A,Data!F:F),4)+O890,8),_xlfn.CONCAT(MID(_xlpm.big,7,2),MID(_xlpm.big,5,2),MID(_xlpm.big,3,2),MID(_xlpm.big,1,2)))</f>
        <v>#NUM!</v>
      </c>
      <c r="J890" s="2" t="str">
        <f t="shared" si="52"/>
        <v>02000000</v>
      </c>
      <c r="K890" s="2" t="str">
        <f>_xlfn.LET(_xlpm.big,IF(H890,DEC2HEX(HEX2DEC(F890),8),DEC2HEX(N890-_xlfn.XLOOKUP(P890,Data!A:A,Data!F:F),8)),_xlfn.CONCAT(MID(_xlpm.big,7,2),MID(_xlpm.big,5,2),MID(_xlpm.big,3,2),MID(_xlpm.big,1,2)))</f>
        <v>FEFFFFFF</v>
      </c>
      <c r="L890" s="2">
        <f t="shared" si="53"/>
        <v>0</v>
      </c>
      <c r="M890" s="2">
        <f t="shared" si="54"/>
        <v>0</v>
      </c>
      <c r="N890" s="2">
        <f t="shared" si="55"/>
        <v>0</v>
      </c>
      <c r="O890" s="2" cm="1">
        <f t="array" ref="O890">_xlfn.IFS(M890&lt;Data!$F$3,0,M890&lt;Data!$F$4,1,TRUE,2)</f>
        <v>0</v>
      </c>
      <c r="P890" s="2" cm="1">
        <f t="array" ref="P890">_xlfn.IFS(H890,3,N890&lt;Data!$F$3,0,N890&lt;Data!$F$4,1,TRUE,2)</f>
        <v>0</v>
      </c>
    </row>
    <row r="891" spans="4:16">
      <c r="G891" s="2" t="str" cm="1">
        <f t="array" ref="G891">_xlfn.CONCAT(IFERROR(I891:K891,""))</f>
        <v>02000000FEFFFFFF</v>
      </c>
      <c r="I891" s="2" t="e">
        <f>_xlfn.LET(_xlpm.big,DEC2HEX(_xlfn.BITLSHIFT(M891-_xlfn.XLOOKUP(O891,Data!A:A,Data!F:F),4)+O891,8),_xlfn.CONCAT(MID(_xlpm.big,7,2),MID(_xlpm.big,5,2),MID(_xlpm.big,3,2),MID(_xlpm.big,1,2)))</f>
        <v>#NUM!</v>
      </c>
      <c r="J891" s="2" t="str">
        <f t="shared" si="52"/>
        <v>02000000</v>
      </c>
      <c r="K891" s="2" t="str">
        <f>_xlfn.LET(_xlpm.big,IF(H891,DEC2HEX(HEX2DEC(F891),8),DEC2HEX(N891-_xlfn.XLOOKUP(P891,Data!A:A,Data!F:F),8)),_xlfn.CONCAT(MID(_xlpm.big,7,2),MID(_xlpm.big,5,2),MID(_xlpm.big,3,2),MID(_xlpm.big,1,2)))</f>
        <v>FEFFFFFF</v>
      </c>
      <c r="L891" s="2">
        <f t="shared" si="53"/>
        <v>0</v>
      </c>
      <c r="M891" s="2">
        <f t="shared" si="54"/>
        <v>0</v>
      </c>
      <c r="N891" s="2">
        <f t="shared" si="55"/>
        <v>0</v>
      </c>
      <c r="O891" s="2" cm="1">
        <f t="array" ref="O891">_xlfn.IFS(M891&lt;Data!$F$3,0,M891&lt;Data!$F$4,1,TRUE,2)</f>
        <v>0</v>
      </c>
      <c r="P891" s="2" cm="1">
        <f t="array" ref="P891">_xlfn.IFS(H891,3,N891&lt;Data!$F$3,0,N891&lt;Data!$F$4,1,TRUE,2)</f>
        <v>0</v>
      </c>
    </row>
    <row r="892" spans="4:16">
      <c r="E892" s="16"/>
      <c r="G892" s="2" t="str" cm="1">
        <f t="array" ref="G892">_xlfn.CONCAT(IFERROR(I892:K892,""))</f>
        <v>02000000FEFFFFFF</v>
      </c>
      <c r="I892" s="2" t="e">
        <f>_xlfn.LET(_xlpm.big,DEC2HEX(_xlfn.BITLSHIFT(M892-_xlfn.XLOOKUP(O892,Data!A:A,Data!F:F),4)+O892,8),_xlfn.CONCAT(MID(_xlpm.big,7,2),MID(_xlpm.big,5,2),MID(_xlpm.big,3,2),MID(_xlpm.big,1,2)))</f>
        <v>#NUM!</v>
      </c>
      <c r="J892" s="2" t="str">
        <f t="shared" si="52"/>
        <v>02000000</v>
      </c>
      <c r="K892" s="2" t="str">
        <f>_xlfn.LET(_xlpm.big,IF(H892,DEC2HEX(HEX2DEC(F892),8),DEC2HEX(N892-_xlfn.XLOOKUP(P892,Data!A:A,Data!F:F),8)),_xlfn.CONCAT(MID(_xlpm.big,7,2),MID(_xlpm.big,5,2),MID(_xlpm.big,3,2),MID(_xlpm.big,1,2)))</f>
        <v>FEFFFFFF</v>
      </c>
      <c r="L892" s="2">
        <f t="shared" si="53"/>
        <v>0</v>
      </c>
      <c r="M892" s="2">
        <f t="shared" si="54"/>
        <v>0</v>
      </c>
      <c r="N892" s="2">
        <f t="shared" si="55"/>
        <v>0</v>
      </c>
      <c r="O892" s="2" cm="1">
        <f t="array" ref="O892">_xlfn.IFS(M892&lt;Data!$F$3,0,M892&lt;Data!$F$4,1,TRUE,2)</f>
        <v>0</v>
      </c>
      <c r="P892" s="2" cm="1">
        <f t="array" ref="P892">_xlfn.IFS(H892,3,N892&lt;Data!$F$3,0,N892&lt;Data!$F$4,1,TRUE,2)</f>
        <v>0</v>
      </c>
    </row>
    <row r="893" spans="4:16">
      <c r="E893" s="16"/>
      <c r="G893" s="2" t="str" cm="1">
        <f t="array" ref="G893">_xlfn.CONCAT(IFERROR(I893:K893,""))</f>
        <v>02000000FEFFFFFF</v>
      </c>
      <c r="I893" s="2" t="e">
        <f>_xlfn.LET(_xlpm.big,DEC2HEX(_xlfn.BITLSHIFT(M893-_xlfn.XLOOKUP(O893,Data!A:A,Data!F:F),4)+O893,8),_xlfn.CONCAT(MID(_xlpm.big,7,2),MID(_xlpm.big,5,2),MID(_xlpm.big,3,2),MID(_xlpm.big,1,2)))</f>
        <v>#NUM!</v>
      </c>
      <c r="J893" s="2" t="str">
        <f t="shared" si="52"/>
        <v>02000000</v>
      </c>
      <c r="K893" s="2" t="str">
        <f>_xlfn.LET(_xlpm.big,IF(H893,DEC2HEX(HEX2DEC(F893),8),DEC2HEX(N893-_xlfn.XLOOKUP(P893,Data!A:A,Data!F:F),8)),_xlfn.CONCAT(MID(_xlpm.big,7,2),MID(_xlpm.big,5,2),MID(_xlpm.big,3,2),MID(_xlpm.big,1,2)))</f>
        <v>FEFFFFFF</v>
      </c>
      <c r="L893" s="2">
        <f t="shared" si="53"/>
        <v>0</v>
      </c>
      <c r="M893" s="2">
        <f t="shared" si="54"/>
        <v>0</v>
      </c>
      <c r="N893" s="2">
        <f t="shared" si="55"/>
        <v>0</v>
      </c>
      <c r="O893" s="2" cm="1">
        <f t="array" ref="O893">_xlfn.IFS(M893&lt;Data!$F$3,0,M893&lt;Data!$F$4,1,TRUE,2)</f>
        <v>0</v>
      </c>
      <c r="P893" s="2" cm="1">
        <f t="array" ref="P893">_xlfn.IFS(H893,3,N893&lt;Data!$F$3,0,N893&lt;Data!$F$4,1,TRUE,2)</f>
        <v>0</v>
      </c>
    </row>
    <row r="894" spans="4:16">
      <c r="E894" s="16"/>
      <c r="G894" s="2" t="str" cm="1">
        <f t="array" ref="G894">_xlfn.CONCAT(IFERROR(I894:K894,""))</f>
        <v>02000000FEFFFFFF</v>
      </c>
      <c r="I894" s="2" t="e">
        <f>_xlfn.LET(_xlpm.big,DEC2HEX(_xlfn.BITLSHIFT(M894-_xlfn.XLOOKUP(O894,Data!A:A,Data!F:F),4)+O894,8),_xlfn.CONCAT(MID(_xlpm.big,7,2),MID(_xlpm.big,5,2),MID(_xlpm.big,3,2),MID(_xlpm.big,1,2)))</f>
        <v>#NUM!</v>
      </c>
      <c r="J894" s="2" t="str">
        <f t="shared" si="52"/>
        <v>02000000</v>
      </c>
      <c r="K894" s="2" t="str">
        <f>_xlfn.LET(_xlpm.big,IF(H894,DEC2HEX(HEX2DEC(F894),8),DEC2HEX(N894-_xlfn.XLOOKUP(P894,Data!A:A,Data!F:F),8)),_xlfn.CONCAT(MID(_xlpm.big,7,2),MID(_xlpm.big,5,2),MID(_xlpm.big,3,2),MID(_xlpm.big,1,2)))</f>
        <v>FEFFFFFF</v>
      </c>
      <c r="L894" s="2">
        <f t="shared" si="53"/>
        <v>0</v>
      </c>
      <c r="M894" s="2">
        <f t="shared" si="54"/>
        <v>0</v>
      </c>
      <c r="N894" s="2">
        <f t="shared" si="55"/>
        <v>0</v>
      </c>
      <c r="O894" s="2" cm="1">
        <f t="array" ref="O894">_xlfn.IFS(M894&lt;Data!$F$3,0,M894&lt;Data!$F$4,1,TRUE,2)</f>
        <v>0</v>
      </c>
      <c r="P894" s="2" cm="1">
        <f t="array" ref="P894">_xlfn.IFS(H894,3,N894&lt;Data!$F$3,0,N894&lt;Data!$F$4,1,TRUE,2)</f>
        <v>0</v>
      </c>
    </row>
    <row r="895" spans="4:16">
      <c r="E895" s="16"/>
      <c r="G895" s="2" t="str" cm="1">
        <f t="array" ref="G895">_xlfn.CONCAT(IFERROR(I895:K895,""))</f>
        <v>02000000FEFFFFFF</v>
      </c>
      <c r="I895" s="2" t="e">
        <f>_xlfn.LET(_xlpm.big,DEC2HEX(_xlfn.BITLSHIFT(M895-_xlfn.XLOOKUP(O895,Data!A:A,Data!F:F),4)+O895,8),_xlfn.CONCAT(MID(_xlpm.big,7,2),MID(_xlpm.big,5,2),MID(_xlpm.big,3,2),MID(_xlpm.big,1,2)))</f>
        <v>#NUM!</v>
      </c>
      <c r="J895" s="2" t="str">
        <f t="shared" si="52"/>
        <v>02000000</v>
      </c>
      <c r="K895" s="2" t="str">
        <f>_xlfn.LET(_xlpm.big,IF(H895,DEC2HEX(HEX2DEC(F895),8),DEC2HEX(N895-_xlfn.XLOOKUP(P895,Data!A:A,Data!F:F),8)),_xlfn.CONCAT(MID(_xlpm.big,7,2),MID(_xlpm.big,5,2),MID(_xlpm.big,3,2),MID(_xlpm.big,1,2)))</f>
        <v>FEFFFFFF</v>
      </c>
      <c r="L895" s="2">
        <f t="shared" si="53"/>
        <v>0</v>
      </c>
      <c r="M895" s="2">
        <f t="shared" si="54"/>
        <v>0</v>
      </c>
      <c r="N895" s="2">
        <f t="shared" si="55"/>
        <v>0</v>
      </c>
      <c r="O895" s="2" cm="1">
        <f t="array" ref="O895">_xlfn.IFS(M895&lt;Data!$F$3,0,M895&lt;Data!$F$4,1,TRUE,2)</f>
        <v>0</v>
      </c>
      <c r="P895" s="2" cm="1">
        <f t="array" ref="P895">_xlfn.IFS(H895,3,N895&lt;Data!$F$3,0,N895&lt;Data!$F$4,1,TRUE,2)</f>
        <v>0</v>
      </c>
    </row>
    <row r="896" spans="4:16">
      <c r="G896" s="2" t="str" cm="1">
        <f t="array" ref="G896">_xlfn.CONCAT(IFERROR(I896:K896,""))</f>
        <v>02000000FEFFFFFF</v>
      </c>
      <c r="I896" s="2" t="e">
        <f>_xlfn.LET(_xlpm.big,DEC2HEX(_xlfn.BITLSHIFT(M896-_xlfn.XLOOKUP(O896,Data!A:A,Data!F:F),4)+O896,8),_xlfn.CONCAT(MID(_xlpm.big,7,2),MID(_xlpm.big,5,2),MID(_xlpm.big,3,2),MID(_xlpm.big,1,2)))</f>
        <v>#NUM!</v>
      </c>
      <c r="J896" s="2" t="str">
        <f t="shared" si="52"/>
        <v>02000000</v>
      </c>
      <c r="K896" s="2" t="str">
        <f>_xlfn.LET(_xlpm.big,IF(H896,DEC2HEX(HEX2DEC(F896),8),DEC2HEX(N896-_xlfn.XLOOKUP(P896,Data!A:A,Data!F:F),8)),_xlfn.CONCAT(MID(_xlpm.big,7,2),MID(_xlpm.big,5,2),MID(_xlpm.big,3,2),MID(_xlpm.big,1,2)))</f>
        <v>FEFFFFFF</v>
      </c>
      <c r="L896" s="2">
        <f t="shared" si="53"/>
        <v>0</v>
      </c>
      <c r="M896" s="2">
        <f t="shared" si="54"/>
        <v>0</v>
      </c>
      <c r="N896" s="2">
        <f t="shared" si="55"/>
        <v>0</v>
      </c>
      <c r="O896" s="2" cm="1">
        <f t="array" ref="O896">_xlfn.IFS(M896&lt;Data!$F$3,0,M896&lt;Data!$F$4,1,TRUE,2)</f>
        <v>0</v>
      </c>
      <c r="P896" s="2" cm="1">
        <f t="array" ref="P896">_xlfn.IFS(H896,3,N896&lt;Data!$F$3,0,N896&lt;Data!$F$4,1,TRUE,2)</f>
        <v>0</v>
      </c>
    </row>
    <row r="897" spans="4:16">
      <c r="E897" s="16"/>
      <c r="G897" s="2" t="str" cm="1">
        <f t="array" ref="G897">_xlfn.CONCAT(IFERROR(I897:K897,""))</f>
        <v>02000000FEFFFFFF</v>
      </c>
      <c r="I897" s="2" t="e">
        <f>_xlfn.LET(_xlpm.big,DEC2HEX(_xlfn.BITLSHIFT(M897-_xlfn.XLOOKUP(O897,Data!A:A,Data!F:F),4)+O897,8),_xlfn.CONCAT(MID(_xlpm.big,7,2),MID(_xlpm.big,5,2),MID(_xlpm.big,3,2),MID(_xlpm.big,1,2)))</f>
        <v>#NUM!</v>
      </c>
      <c r="J897" s="2" t="str">
        <f t="shared" si="52"/>
        <v>02000000</v>
      </c>
      <c r="K897" s="2" t="str">
        <f>_xlfn.LET(_xlpm.big,IF(H897,DEC2HEX(HEX2DEC(F897),8),DEC2HEX(N897-_xlfn.XLOOKUP(P897,Data!A:A,Data!F:F),8)),_xlfn.CONCAT(MID(_xlpm.big,7,2),MID(_xlpm.big,5,2),MID(_xlpm.big,3,2),MID(_xlpm.big,1,2)))</f>
        <v>FEFFFFFF</v>
      </c>
      <c r="L897" s="2">
        <f t="shared" si="53"/>
        <v>0</v>
      </c>
      <c r="M897" s="2">
        <f t="shared" si="54"/>
        <v>0</v>
      </c>
      <c r="N897" s="2">
        <f t="shared" si="55"/>
        <v>0</v>
      </c>
      <c r="O897" s="2" cm="1">
        <f t="array" ref="O897">_xlfn.IFS(M897&lt;Data!$F$3,0,M897&lt;Data!$F$4,1,TRUE,2)</f>
        <v>0</v>
      </c>
      <c r="P897" s="2" cm="1">
        <f t="array" ref="P897">_xlfn.IFS(H897,3,N897&lt;Data!$F$3,0,N897&lt;Data!$F$4,1,TRUE,2)</f>
        <v>0</v>
      </c>
    </row>
    <row r="898" spans="4:16">
      <c r="E898" s="16"/>
      <c r="G898" s="2" t="str" cm="1">
        <f t="array" ref="G898">_xlfn.CONCAT(IFERROR(I898:K898,""))</f>
        <v>02000000FEFFFFFF</v>
      </c>
      <c r="I898" s="2" t="e">
        <f>_xlfn.LET(_xlpm.big,DEC2HEX(_xlfn.BITLSHIFT(M898-_xlfn.XLOOKUP(O898,Data!A:A,Data!F:F),4)+O898,8),_xlfn.CONCAT(MID(_xlpm.big,7,2),MID(_xlpm.big,5,2),MID(_xlpm.big,3,2),MID(_xlpm.big,1,2)))</f>
        <v>#NUM!</v>
      </c>
      <c r="J898" s="2" t="str">
        <f t="shared" ref="J898:J962" si="56">_xlfn.CONCAT("02",DEC2HEX(P898,2),"0000")</f>
        <v>02000000</v>
      </c>
      <c r="K898" s="2" t="str">
        <f>_xlfn.LET(_xlpm.big,IF(H898,DEC2HEX(HEX2DEC(F898),8),DEC2HEX(N898-_xlfn.XLOOKUP(P898,Data!A:A,Data!F:F),8)),_xlfn.CONCAT(MID(_xlpm.big,7,2),MID(_xlpm.big,5,2),MID(_xlpm.big,3,2),MID(_xlpm.big,1,2)))</f>
        <v>FEFFFFFF</v>
      </c>
      <c r="L898" s="2">
        <f t="shared" ref="L898:L962" si="57">HEX2DEC(D898)</f>
        <v>0</v>
      </c>
      <c r="M898" s="2">
        <f t="shared" ref="M898:M962" si="58">HEX2DEC(E898)</f>
        <v>0</v>
      </c>
      <c r="N898" s="2">
        <f t="shared" ref="N898:N962" si="59">HEX2DEC(F898)</f>
        <v>0</v>
      </c>
      <c r="O898" s="2" cm="1">
        <f t="array" ref="O898">_xlfn.IFS(M898&lt;Data!$F$3,0,M898&lt;Data!$F$4,1,TRUE,2)</f>
        <v>0</v>
      </c>
      <c r="P898" s="2" cm="1">
        <f t="array" ref="P898">_xlfn.IFS(H898,3,N898&lt;Data!$F$3,0,N898&lt;Data!$F$4,1,TRUE,2)</f>
        <v>0</v>
      </c>
    </row>
    <row r="899" spans="4:16">
      <c r="E899" s="16"/>
      <c r="F899" s="3"/>
      <c r="G899" s="2" t="str" cm="1">
        <f t="array" ref="G899">_xlfn.CONCAT(IFERROR(I899:K899,""))</f>
        <v>02000000FEFFFFFF</v>
      </c>
      <c r="I899" s="2" t="e">
        <f>_xlfn.LET(_xlpm.big,DEC2HEX(_xlfn.BITLSHIFT(M899-_xlfn.XLOOKUP(O899,Data!A:A,Data!F:F),4)+O899,8),_xlfn.CONCAT(MID(_xlpm.big,7,2),MID(_xlpm.big,5,2),MID(_xlpm.big,3,2),MID(_xlpm.big,1,2)))</f>
        <v>#NUM!</v>
      </c>
      <c r="J899" s="2" t="str">
        <f t="shared" si="56"/>
        <v>02000000</v>
      </c>
      <c r="K899" s="2" t="str">
        <f>_xlfn.LET(_xlpm.big,IF(H899,DEC2HEX(HEX2DEC(F899),8),DEC2HEX(N899-_xlfn.XLOOKUP(P899,Data!A:A,Data!F:F),8)),_xlfn.CONCAT(MID(_xlpm.big,7,2),MID(_xlpm.big,5,2),MID(_xlpm.big,3,2),MID(_xlpm.big,1,2)))</f>
        <v>FEFFFFFF</v>
      </c>
      <c r="L899" s="2">
        <f t="shared" si="57"/>
        <v>0</v>
      </c>
      <c r="M899" s="2">
        <f t="shared" si="58"/>
        <v>0</v>
      </c>
      <c r="N899" s="2">
        <f t="shared" si="59"/>
        <v>0</v>
      </c>
      <c r="O899" s="2" cm="1">
        <f t="array" ref="O899">_xlfn.IFS(M899&lt;Data!$F$3,0,M899&lt;Data!$F$4,1,TRUE,2)</f>
        <v>0</v>
      </c>
      <c r="P899" s="2" cm="1">
        <f t="array" ref="P899">_xlfn.IFS(H899,3,N899&lt;Data!$F$3,0,N899&lt;Data!$F$4,1,TRUE,2)</f>
        <v>0</v>
      </c>
    </row>
    <row r="900" spans="4:16">
      <c r="E900" s="16"/>
      <c r="G900" s="2" t="str" cm="1">
        <f t="array" ref="G900">_xlfn.CONCAT(IFERROR(I900:K900,""))</f>
        <v>02000000FEFFFFFF</v>
      </c>
      <c r="I900" s="2" t="e">
        <f>_xlfn.LET(_xlpm.big,DEC2HEX(_xlfn.BITLSHIFT(M900-_xlfn.XLOOKUP(O900,Data!A:A,Data!F:F),4)+O900,8),_xlfn.CONCAT(MID(_xlpm.big,7,2),MID(_xlpm.big,5,2),MID(_xlpm.big,3,2),MID(_xlpm.big,1,2)))</f>
        <v>#NUM!</v>
      </c>
      <c r="J900" s="2" t="str">
        <f t="shared" si="56"/>
        <v>02000000</v>
      </c>
      <c r="K900" s="2" t="str">
        <f>_xlfn.LET(_xlpm.big,IF(H900,DEC2HEX(HEX2DEC(F900),8),DEC2HEX(N900-_xlfn.XLOOKUP(P900,Data!A:A,Data!F:F),8)),_xlfn.CONCAT(MID(_xlpm.big,7,2),MID(_xlpm.big,5,2),MID(_xlpm.big,3,2),MID(_xlpm.big,1,2)))</f>
        <v>FEFFFFFF</v>
      </c>
      <c r="L900" s="2">
        <f t="shared" si="57"/>
        <v>0</v>
      </c>
      <c r="M900" s="2">
        <f t="shared" si="58"/>
        <v>0</v>
      </c>
      <c r="N900" s="2">
        <f t="shared" si="59"/>
        <v>0</v>
      </c>
      <c r="O900" s="2" cm="1">
        <f t="array" ref="O900">_xlfn.IFS(M900&lt;Data!$F$3,0,M900&lt;Data!$F$4,1,TRUE,2)</f>
        <v>0</v>
      </c>
      <c r="P900" s="2" cm="1">
        <f t="array" ref="P900">_xlfn.IFS(H900,3,N900&lt;Data!$F$3,0,N900&lt;Data!$F$4,1,TRUE,2)</f>
        <v>0</v>
      </c>
    </row>
    <row r="901" spans="4:16">
      <c r="E901" s="16"/>
      <c r="G901" s="2" t="str" cm="1">
        <f t="array" ref="G901">_xlfn.CONCAT(IFERROR(I901:K901,""))</f>
        <v>02000000FEFFFFFF</v>
      </c>
      <c r="I901" s="2" t="e">
        <f>_xlfn.LET(_xlpm.big,DEC2HEX(_xlfn.BITLSHIFT(M901-_xlfn.XLOOKUP(O901,Data!A:A,Data!F:F),4)+O901,8),_xlfn.CONCAT(MID(_xlpm.big,7,2),MID(_xlpm.big,5,2),MID(_xlpm.big,3,2),MID(_xlpm.big,1,2)))</f>
        <v>#NUM!</v>
      </c>
      <c r="J901" s="2" t="str">
        <f t="shared" si="56"/>
        <v>02000000</v>
      </c>
      <c r="K901" s="2" t="str">
        <f>_xlfn.LET(_xlpm.big,IF(H901,DEC2HEX(HEX2DEC(F901),8),DEC2HEX(N901-_xlfn.XLOOKUP(P901,Data!A:A,Data!F:F),8)),_xlfn.CONCAT(MID(_xlpm.big,7,2),MID(_xlpm.big,5,2),MID(_xlpm.big,3,2),MID(_xlpm.big,1,2)))</f>
        <v>FEFFFFFF</v>
      </c>
      <c r="L901" s="2">
        <f t="shared" si="57"/>
        <v>0</v>
      </c>
      <c r="M901" s="2">
        <f t="shared" si="58"/>
        <v>0</v>
      </c>
      <c r="N901" s="2">
        <f t="shared" si="59"/>
        <v>0</v>
      </c>
      <c r="O901" s="2" cm="1">
        <f t="array" ref="O901">_xlfn.IFS(M901&lt;Data!$F$3,0,M901&lt;Data!$F$4,1,TRUE,2)</f>
        <v>0</v>
      </c>
      <c r="P901" s="2" cm="1">
        <f t="array" ref="P901">_xlfn.IFS(H901,3,N901&lt;Data!$F$3,0,N901&lt;Data!$F$4,1,TRUE,2)</f>
        <v>0</v>
      </c>
    </row>
    <row r="902" spans="4:16">
      <c r="E902" s="16"/>
      <c r="G902" s="2" t="str" cm="1">
        <f t="array" ref="G902">_xlfn.CONCAT(IFERROR(I902:K902,""))</f>
        <v>0203000000000000</v>
      </c>
      <c r="H902" s="2" t="b">
        <v>1</v>
      </c>
      <c r="I902" s="2" t="e">
        <f>_xlfn.LET(_xlpm.big,DEC2HEX(_xlfn.BITLSHIFT(M902-_xlfn.XLOOKUP(O902,Data!A:A,Data!F:F),4)+O902,8),_xlfn.CONCAT(MID(_xlpm.big,7,2),MID(_xlpm.big,5,2),MID(_xlpm.big,3,2),MID(_xlpm.big,1,2)))</f>
        <v>#NUM!</v>
      </c>
      <c r="J902" s="2" t="str">
        <f t="shared" si="56"/>
        <v>02030000</v>
      </c>
      <c r="K902" s="2" t="str">
        <f>_xlfn.LET(_xlpm.big,IF(H902,DEC2HEX(HEX2DEC(F902),8),DEC2HEX(N902-_xlfn.XLOOKUP(P902,Data!A:A,Data!F:F),8)),_xlfn.CONCAT(MID(_xlpm.big,7,2),MID(_xlpm.big,5,2),MID(_xlpm.big,3,2),MID(_xlpm.big,1,2)))</f>
        <v>00000000</v>
      </c>
      <c r="L902" s="2">
        <f t="shared" si="57"/>
        <v>0</v>
      </c>
      <c r="M902" s="2">
        <f t="shared" si="58"/>
        <v>0</v>
      </c>
      <c r="N902" s="2">
        <f t="shared" si="59"/>
        <v>0</v>
      </c>
      <c r="O902" s="2" cm="1">
        <f t="array" ref="O902">_xlfn.IFS(M902&lt;Data!$F$3,0,M902&lt;Data!$F$4,1,TRUE,2)</f>
        <v>0</v>
      </c>
      <c r="P902" s="2" cm="1">
        <f t="array" ref="P902">_xlfn.IFS(H902,3,N902&lt;Data!$F$3,0,N902&lt;Data!$F$4,1,TRUE,2)</f>
        <v>3</v>
      </c>
    </row>
    <row r="903" spans="4:16">
      <c r="E903" s="16"/>
      <c r="G903" s="2" t="str" cm="1">
        <f t="array" ref="G903">_xlfn.CONCAT(IFERROR(I903:K903,""))</f>
        <v>0203000000000000</v>
      </c>
      <c r="H903" s="2" t="b">
        <v>1</v>
      </c>
      <c r="I903" s="2" t="e">
        <f>_xlfn.LET(_xlpm.big,DEC2HEX(_xlfn.BITLSHIFT(M903-_xlfn.XLOOKUP(O903,Data!A:A,Data!F:F),4)+O903,8),_xlfn.CONCAT(MID(_xlpm.big,7,2),MID(_xlpm.big,5,2),MID(_xlpm.big,3,2),MID(_xlpm.big,1,2)))</f>
        <v>#NUM!</v>
      </c>
      <c r="J903" s="2" t="str">
        <f t="shared" si="56"/>
        <v>02030000</v>
      </c>
      <c r="K903" s="2" t="str">
        <f>_xlfn.LET(_xlpm.big,IF(H903,DEC2HEX(HEX2DEC(F903),8),DEC2HEX(N903-_xlfn.XLOOKUP(P903,Data!A:A,Data!F:F),8)),_xlfn.CONCAT(MID(_xlpm.big,7,2),MID(_xlpm.big,5,2),MID(_xlpm.big,3,2),MID(_xlpm.big,1,2)))</f>
        <v>00000000</v>
      </c>
      <c r="L903" s="2">
        <f t="shared" si="57"/>
        <v>0</v>
      </c>
      <c r="M903" s="2">
        <f t="shared" si="58"/>
        <v>0</v>
      </c>
      <c r="N903" s="2">
        <f t="shared" si="59"/>
        <v>0</v>
      </c>
      <c r="O903" s="2" cm="1">
        <f t="array" ref="O903">_xlfn.IFS(M903&lt;Data!$F$3,0,M903&lt;Data!$F$4,1,TRUE,2)</f>
        <v>0</v>
      </c>
      <c r="P903" s="2" cm="1">
        <f t="array" ref="P903">_xlfn.IFS(H903,3,N903&lt;Data!$F$3,0,N903&lt;Data!$F$4,1,TRUE,2)</f>
        <v>3</v>
      </c>
    </row>
    <row r="904" spans="4:16">
      <c r="D904" s="3"/>
      <c r="E904" s="3"/>
      <c r="F904" s="3"/>
      <c r="G904" s="2" t="str" cm="1">
        <f t="array" ref="G904">_xlfn.CONCAT(IFERROR(I904:K904,""))</f>
        <v>02000000FEFFFFFF</v>
      </c>
      <c r="I904" s="2" t="e">
        <f>_xlfn.LET(_xlpm.big,DEC2HEX(_xlfn.BITLSHIFT(M904-_xlfn.XLOOKUP(O904,Data!A:A,Data!F:F),4)+O904,8),_xlfn.CONCAT(MID(_xlpm.big,7,2),MID(_xlpm.big,5,2),MID(_xlpm.big,3,2),MID(_xlpm.big,1,2)))</f>
        <v>#NUM!</v>
      </c>
      <c r="J904" s="2" t="str">
        <f t="shared" si="56"/>
        <v>02000000</v>
      </c>
      <c r="K904" s="2" t="str">
        <f>_xlfn.LET(_xlpm.big,IF(H904,DEC2HEX(HEX2DEC(F904),8),DEC2HEX(N904-_xlfn.XLOOKUP(P904,Data!A:A,Data!F:F),8)),_xlfn.CONCAT(MID(_xlpm.big,7,2),MID(_xlpm.big,5,2),MID(_xlpm.big,3,2),MID(_xlpm.big,1,2)))</f>
        <v>FEFFFFFF</v>
      </c>
      <c r="L904" s="2">
        <f t="shared" si="57"/>
        <v>0</v>
      </c>
      <c r="M904" s="2">
        <f t="shared" si="58"/>
        <v>0</v>
      </c>
      <c r="N904" s="2">
        <f t="shared" si="59"/>
        <v>0</v>
      </c>
      <c r="O904" s="2" cm="1">
        <f t="array" ref="O904">_xlfn.IFS(M904&lt;Data!$F$3,0,M904&lt;Data!$F$4,1,TRUE,2)</f>
        <v>0</v>
      </c>
      <c r="P904" s="2" cm="1">
        <f t="array" ref="P904">_xlfn.IFS(H904,3,N904&lt;Data!$F$3,0,N904&lt;Data!$F$4,1,TRUE,2)</f>
        <v>0</v>
      </c>
    </row>
    <row r="905" spans="4:16">
      <c r="D905" s="3"/>
      <c r="E905" s="3"/>
      <c r="F905" s="3"/>
      <c r="G905" s="2" t="str" cm="1">
        <f t="array" ref="G905">_xlfn.CONCAT(IFERROR(I905:K905,""))</f>
        <v>02000000FEFFFFFF</v>
      </c>
      <c r="I905" s="2" t="e">
        <f>_xlfn.LET(_xlpm.big,DEC2HEX(_xlfn.BITLSHIFT(M905-_xlfn.XLOOKUP(O905,Data!A:A,Data!F:F),4)+O905,8),_xlfn.CONCAT(MID(_xlpm.big,7,2),MID(_xlpm.big,5,2),MID(_xlpm.big,3,2),MID(_xlpm.big,1,2)))</f>
        <v>#NUM!</v>
      </c>
      <c r="J905" s="2" t="str">
        <f t="shared" si="56"/>
        <v>02000000</v>
      </c>
      <c r="K905" s="2" t="str">
        <f>_xlfn.LET(_xlpm.big,IF(H905,DEC2HEX(HEX2DEC(F905),8),DEC2HEX(N905-_xlfn.XLOOKUP(P905,Data!A:A,Data!F:F),8)),_xlfn.CONCAT(MID(_xlpm.big,7,2),MID(_xlpm.big,5,2),MID(_xlpm.big,3,2),MID(_xlpm.big,1,2)))</f>
        <v>FEFFFFFF</v>
      </c>
      <c r="L905" s="2">
        <f t="shared" si="57"/>
        <v>0</v>
      </c>
      <c r="M905" s="2">
        <f t="shared" si="58"/>
        <v>0</v>
      </c>
      <c r="N905" s="2">
        <f t="shared" si="59"/>
        <v>0</v>
      </c>
      <c r="O905" s="2" cm="1">
        <f t="array" ref="O905">_xlfn.IFS(M905&lt;Data!$F$3,0,M905&lt;Data!$F$4,1,TRUE,2)</f>
        <v>0</v>
      </c>
      <c r="P905" s="2" cm="1">
        <f t="array" ref="P905">_xlfn.IFS(H905,3,N905&lt;Data!$F$3,0,N905&lt;Data!$F$4,1,TRUE,2)</f>
        <v>0</v>
      </c>
    </row>
    <row r="906" spans="4:16">
      <c r="D906" s="3"/>
      <c r="E906" s="3"/>
      <c r="F906" s="3"/>
      <c r="G906" s="2" t="str" cm="1">
        <f t="array" ref="G906">_xlfn.CONCAT(IFERROR(I906:K906,""))</f>
        <v>02000000FEFFFFFF</v>
      </c>
      <c r="I906" s="2" t="e">
        <f>_xlfn.LET(_xlpm.big,DEC2HEX(_xlfn.BITLSHIFT(M906-_xlfn.XLOOKUP(O906,Data!A:A,Data!F:F),4)+O906,8),_xlfn.CONCAT(MID(_xlpm.big,7,2),MID(_xlpm.big,5,2),MID(_xlpm.big,3,2),MID(_xlpm.big,1,2)))</f>
        <v>#NUM!</v>
      </c>
      <c r="J906" s="2" t="str">
        <f t="shared" si="56"/>
        <v>02000000</v>
      </c>
      <c r="K906" s="2" t="str">
        <f>_xlfn.LET(_xlpm.big,IF(H906,DEC2HEX(HEX2DEC(F906),8),DEC2HEX(N906-_xlfn.XLOOKUP(P906,Data!A:A,Data!F:F),8)),_xlfn.CONCAT(MID(_xlpm.big,7,2),MID(_xlpm.big,5,2),MID(_xlpm.big,3,2),MID(_xlpm.big,1,2)))</f>
        <v>FEFFFFFF</v>
      </c>
      <c r="L906" s="2">
        <f t="shared" si="57"/>
        <v>0</v>
      </c>
      <c r="M906" s="2">
        <f t="shared" si="58"/>
        <v>0</v>
      </c>
      <c r="N906" s="2">
        <f t="shared" si="59"/>
        <v>0</v>
      </c>
      <c r="O906" s="2" cm="1">
        <f t="array" ref="O906">_xlfn.IFS(M906&lt;Data!$F$3,0,M906&lt;Data!$F$4,1,TRUE,2)</f>
        <v>0</v>
      </c>
      <c r="P906" s="2" cm="1">
        <f t="array" ref="P906">_xlfn.IFS(H906,3,N906&lt;Data!$F$3,0,N906&lt;Data!$F$4,1,TRUE,2)</f>
        <v>0</v>
      </c>
    </row>
    <row r="907" spans="4:16">
      <c r="D907" s="3"/>
      <c r="E907" s="3"/>
      <c r="F907" s="3"/>
      <c r="G907" s="2" t="str" cm="1">
        <f t="array" ref="G907">_xlfn.CONCAT(IFERROR(I907:K907,""))</f>
        <v>02000000FEFFFFFF</v>
      </c>
      <c r="I907" s="2" t="e">
        <f>_xlfn.LET(_xlpm.big,DEC2HEX(_xlfn.BITLSHIFT(M907-_xlfn.XLOOKUP(O907,Data!A:A,Data!F:F),4)+O907,8),_xlfn.CONCAT(MID(_xlpm.big,7,2),MID(_xlpm.big,5,2),MID(_xlpm.big,3,2),MID(_xlpm.big,1,2)))</f>
        <v>#NUM!</v>
      </c>
      <c r="J907" s="2" t="str">
        <f t="shared" si="56"/>
        <v>02000000</v>
      </c>
      <c r="K907" s="2" t="str">
        <f>_xlfn.LET(_xlpm.big,IF(H907,DEC2HEX(HEX2DEC(F907),8),DEC2HEX(N907-_xlfn.XLOOKUP(P907,Data!A:A,Data!F:F),8)),_xlfn.CONCAT(MID(_xlpm.big,7,2),MID(_xlpm.big,5,2),MID(_xlpm.big,3,2),MID(_xlpm.big,1,2)))</f>
        <v>FEFFFFFF</v>
      </c>
      <c r="L907" s="2">
        <f t="shared" si="57"/>
        <v>0</v>
      </c>
      <c r="M907" s="2">
        <f t="shared" si="58"/>
        <v>0</v>
      </c>
      <c r="N907" s="2">
        <f t="shared" si="59"/>
        <v>0</v>
      </c>
      <c r="O907" s="2" cm="1">
        <f t="array" ref="O907">_xlfn.IFS(M907&lt;Data!$F$3,0,M907&lt;Data!$F$4,1,TRUE,2)</f>
        <v>0</v>
      </c>
      <c r="P907" s="2" cm="1">
        <f t="array" ref="P907">_xlfn.IFS(H907,3,N907&lt;Data!$F$3,0,N907&lt;Data!$F$4,1,TRUE,2)</f>
        <v>0</v>
      </c>
    </row>
    <row r="908" spans="4:16">
      <c r="D908" s="3"/>
      <c r="E908" s="3"/>
      <c r="F908" s="3"/>
      <c r="G908" s="2" t="str" cm="1">
        <f t="array" ref="G908">_xlfn.CONCAT(IFERROR(I908:K908,""))</f>
        <v>02000000FEFFFFFF</v>
      </c>
      <c r="I908" s="2" t="e">
        <f>_xlfn.LET(_xlpm.big,DEC2HEX(_xlfn.BITLSHIFT(M908-_xlfn.XLOOKUP(O908,Data!A:A,Data!F:F),4)+O908,8),_xlfn.CONCAT(MID(_xlpm.big,7,2),MID(_xlpm.big,5,2),MID(_xlpm.big,3,2),MID(_xlpm.big,1,2)))</f>
        <v>#NUM!</v>
      </c>
      <c r="J908" s="2" t="str">
        <f t="shared" si="56"/>
        <v>02000000</v>
      </c>
      <c r="K908" s="2" t="str">
        <f>_xlfn.LET(_xlpm.big,IF(H908,DEC2HEX(HEX2DEC(F908),8),DEC2HEX(N908-_xlfn.XLOOKUP(P908,Data!A:A,Data!F:F),8)),_xlfn.CONCAT(MID(_xlpm.big,7,2),MID(_xlpm.big,5,2),MID(_xlpm.big,3,2),MID(_xlpm.big,1,2)))</f>
        <v>FEFFFFFF</v>
      </c>
      <c r="L908" s="2">
        <f t="shared" si="57"/>
        <v>0</v>
      </c>
      <c r="M908" s="2">
        <f t="shared" si="58"/>
        <v>0</v>
      </c>
      <c r="N908" s="2">
        <f t="shared" si="59"/>
        <v>0</v>
      </c>
      <c r="O908" s="2" cm="1">
        <f t="array" ref="O908">_xlfn.IFS(M908&lt;Data!$F$3,0,M908&lt;Data!$F$4,1,TRUE,2)</f>
        <v>0</v>
      </c>
      <c r="P908" s="2" cm="1">
        <f t="array" ref="P908">_xlfn.IFS(H908,3,N908&lt;Data!$F$3,0,N908&lt;Data!$F$4,1,TRUE,2)</f>
        <v>0</v>
      </c>
    </row>
    <row r="909" spans="4:16">
      <c r="D909" s="3"/>
      <c r="E909" s="3"/>
      <c r="F909" s="3"/>
      <c r="G909" s="2" t="str" cm="1">
        <f t="array" ref="G909">_xlfn.CONCAT(IFERROR(I909:K909,""))</f>
        <v>02000000FEFFFFFF</v>
      </c>
      <c r="I909" s="2" t="e">
        <f>_xlfn.LET(_xlpm.big,DEC2HEX(_xlfn.BITLSHIFT(M909-_xlfn.XLOOKUP(O909,Data!A:A,Data!F:F),4)+O909,8),_xlfn.CONCAT(MID(_xlpm.big,7,2),MID(_xlpm.big,5,2),MID(_xlpm.big,3,2),MID(_xlpm.big,1,2)))</f>
        <v>#NUM!</v>
      </c>
      <c r="J909" s="2" t="str">
        <f t="shared" si="56"/>
        <v>02000000</v>
      </c>
      <c r="K909" s="2" t="str">
        <f>_xlfn.LET(_xlpm.big,IF(H909,DEC2HEX(HEX2DEC(F909),8),DEC2HEX(N909-_xlfn.XLOOKUP(P909,Data!A:A,Data!F:F),8)),_xlfn.CONCAT(MID(_xlpm.big,7,2),MID(_xlpm.big,5,2),MID(_xlpm.big,3,2),MID(_xlpm.big,1,2)))</f>
        <v>FEFFFFFF</v>
      </c>
      <c r="L909" s="2">
        <f t="shared" si="57"/>
        <v>0</v>
      </c>
      <c r="M909" s="2">
        <f t="shared" si="58"/>
        <v>0</v>
      </c>
      <c r="N909" s="2">
        <f t="shared" si="59"/>
        <v>0</v>
      </c>
      <c r="O909" s="2" cm="1">
        <f t="array" ref="O909">_xlfn.IFS(M909&lt;Data!$F$3,0,M909&lt;Data!$F$4,1,TRUE,2)</f>
        <v>0</v>
      </c>
      <c r="P909" s="2" cm="1">
        <f t="array" ref="P909">_xlfn.IFS(H909,3,N909&lt;Data!$F$3,0,N909&lt;Data!$F$4,1,TRUE,2)</f>
        <v>0</v>
      </c>
    </row>
    <row r="910" spans="4:16">
      <c r="E910" s="16"/>
      <c r="G910" s="2" t="str" cm="1">
        <f t="array" ref="G910">_xlfn.CONCAT(IFERROR(I910:K910,""))</f>
        <v>02000000FEFFFFFF</v>
      </c>
      <c r="I910" s="2" t="e">
        <f>_xlfn.LET(_xlpm.big,DEC2HEX(_xlfn.BITLSHIFT(M910-_xlfn.XLOOKUP(O910,Data!A:A,Data!F:F),4)+O910,8),_xlfn.CONCAT(MID(_xlpm.big,7,2),MID(_xlpm.big,5,2),MID(_xlpm.big,3,2),MID(_xlpm.big,1,2)))</f>
        <v>#NUM!</v>
      </c>
      <c r="J910" s="2" t="str">
        <f t="shared" si="56"/>
        <v>02000000</v>
      </c>
      <c r="K910" s="2" t="str">
        <f>_xlfn.LET(_xlpm.big,IF(H910,DEC2HEX(HEX2DEC(F910),8),DEC2HEX(N910-_xlfn.XLOOKUP(P910,Data!A:A,Data!F:F),8)),_xlfn.CONCAT(MID(_xlpm.big,7,2),MID(_xlpm.big,5,2),MID(_xlpm.big,3,2),MID(_xlpm.big,1,2)))</f>
        <v>FEFFFFFF</v>
      </c>
      <c r="L910" s="2">
        <f t="shared" si="57"/>
        <v>0</v>
      </c>
      <c r="M910" s="2">
        <f t="shared" si="58"/>
        <v>0</v>
      </c>
      <c r="N910" s="2">
        <f t="shared" si="59"/>
        <v>0</v>
      </c>
      <c r="O910" s="2" cm="1">
        <f t="array" ref="O910">_xlfn.IFS(M910&lt;Data!$F$3,0,M910&lt;Data!$F$4,1,TRUE,2)</f>
        <v>0</v>
      </c>
      <c r="P910" s="2" cm="1">
        <f t="array" ref="P910">_xlfn.IFS(H910,3,N910&lt;Data!$F$3,0,N910&lt;Data!$F$4,1,TRUE,2)</f>
        <v>0</v>
      </c>
    </row>
    <row r="911" spans="4:16">
      <c r="E911" s="16"/>
      <c r="G911" s="2" t="str" cm="1">
        <f t="array" ref="G911">_xlfn.CONCAT(IFERROR(I911:K911,""))</f>
        <v>02000000FEFFFFFF</v>
      </c>
      <c r="I911" s="2" t="e">
        <f>_xlfn.LET(_xlpm.big,DEC2HEX(_xlfn.BITLSHIFT(M911-_xlfn.XLOOKUP(O911,Data!A:A,Data!F:F),4)+O911,8),_xlfn.CONCAT(MID(_xlpm.big,7,2),MID(_xlpm.big,5,2),MID(_xlpm.big,3,2),MID(_xlpm.big,1,2)))</f>
        <v>#NUM!</v>
      </c>
      <c r="J911" s="2" t="str">
        <f t="shared" si="56"/>
        <v>02000000</v>
      </c>
      <c r="K911" s="2" t="str">
        <f>_xlfn.LET(_xlpm.big,IF(H911,DEC2HEX(HEX2DEC(F911),8),DEC2HEX(N911-_xlfn.XLOOKUP(P911,Data!A:A,Data!F:F),8)),_xlfn.CONCAT(MID(_xlpm.big,7,2),MID(_xlpm.big,5,2),MID(_xlpm.big,3,2),MID(_xlpm.big,1,2)))</f>
        <v>FEFFFFFF</v>
      </c>
      <c r="L911" s="2">
        <f t="shared" si="57"/>
        <v>0</v>
      </c>
      <c r="M911" s="2">
        <f t="shared" si="58"/>
        <v>0</v>
      </c>
      <c r="N911" s="2">
        <f t="shared" si="59"/>
        <v>0</v>
      </c>
      <c r="O911" s="2" cm="1">
        <f t="array" ref="O911">_xlfn.IFS(M911&lt;Data!$F$3,0,M911&lt;Data!$F$4,1,TRUE,2)</f>
        <v>0</v>
      </c>
      <c r="P911" s="2" cm="1">
        <f t="array" ref="P911">_xlfn.IFS(H911,3,N911&lt;Data!$F$3,0,N911&lt;Data!$F$4,1,TRUE,2)</f>
        <v>0</v>
      </c>
    </row>
    <row r="912" spans="4:16">
      <c r="E912" s="16"/>
      <c r="G912" s="2" t="str" cm="1">
        <f t="array" ref="G912">_xlfn.CONCAT(IFERROR(I912:K912,""))</f>
        <v>02000000FEFFFFFF</v>
      </c>
      <c r="I912" s="2" t="e">
        <f>_xlfn.LET(_xlpm.big,DEC2HEX(_xlfn.BITLSHIFT(M912-_xlfn.XLOOKUP(O912,Data!A:A,Data!F:F),4)+O912,8),_xlfn.CONCAT(MID(_xlpm.big,7,2),MID(_xlpm.big,5,2),MID(_xlpm.big,3,2),MID(_xlpm.big,1,2)))</f>
        <v>#NUM!</v>
      </c>
      <c r="J912" s="2" t="str">
        <f t="shared" si="56"/>
        <v>02000000</v>
      </c>
      <c r="K912" s="2" t="str">
        <f>_xlfn.LET(_xlpm.big,IF(H912,DEC2HEX(HEX2DEC(F912),8),DEC2HEX(N912-_xlfn.XLOOKUP(P912,Data!A:A,Data!F:F),8)),_xlfn.CONCAT(MID(_xlpm.big,7,2),MID(_xlpm.big,5,2),MID(_xlpm.big,3,2),MID(_xlpm.big,1,2)))</f>
        <v>FEFFFFFF</v>
      </c>
      <c r="L912" s="2">
        <f t="shared" si="57"/>
        <v>0</v>
      </c>
      <c r="M912" s="2">
        <f t="shared" si="58"/>
        <v>0</v>
      </c>
      <c r="N912" s="2">
        <f t="shared" si="59"/>
        <v>0</v>
      </c>
      <c r="O912" s="2" cm="1">
        <f t="array" ref="O912">_xlfn.IFS(M912&lt;Data!$F$3,0,M912&lt;Data!$F$4,1,TRUE,2)</f>
        <v>0</v>
      </c>
      <c r="P912" s="2" cm="1">
        <f t="array" ref="P912">_xlfn.IFS(H912,3,N912&lt;Data!$F$3,0,N912&lt;Data!$F$4,1,TRUE,2)</f>
        <v>0</v>
      </c>
    </row>
    <row r="913" spans="4:16">
      <c r="G913" s="2" t="str" cm="1">
        <f t="array" ref="G913">_xlfn.CONCAT(IFERROR(I913:K913,""))</f>
        <v>02000000FEFFFFFF</v>
      </c>
      <c r="I913" s="2" t="e">
        <f>_xlfn.LET(_xlpm.big,DEC2HEX(_xlfn.BITLSHIFT(M913-_xlfn.XLOOKUP(O913,Data!A:A,Data!F:F),4)+O913,8),_xlfn.CONCAT(MID(_xlpm.big,7,2),MID(_xlpm.big,5,2),MID(_xlpm.big,3,2),MID(_xlpm.big,1,2)))</f>
        <v>#NUM!</v>
      </c>
      <c r="J913" s="2" t="str">
        <f t="shared" si="56"/>
        <v>02000000</v>
      </c>
      <c r="K913" s="2" t="str">
        <f>_xlfn.LET(_xlpm.big,IF(H913,DEC2HEX(HEX2DEC(F913),8),DEC2HEX(N913-_xlfn.XLOOKUP(P913,Data!A:A,Data!F:F),8)),_xlfn.CONCAT(MID(_xlpm.big,7,2),MID(_xlpm.big,5,2),MID(_xlpm.big,3,2),MID(_xlpm.big,1,2)))</f>
        <v>FEFFFFFF</v>
      </c>
      <c r="L913" s="2">
        <f t="shared" si="57"/>
        <v>0</v>
      </c>
      <c r="M913" s="2">
        <f t="shared" si="58"/>
        <v>0</v>
      </c>
      <c r="N913" s="2">
        <f t="shared" si="59"/>
        <v>0</v>
      </c>
      <c r="O913" s="2" cm="1">
        <f t="array" ref="O913">_xlfn.IFS(M913&lt;Data!$F$3,0,M913&lt;Data!$F$4,1,TRUE,2)</f>
        <v>0</v>
      </c>
      <c r="P913" s="2" cm="1">
        <f t="array" ref="P913">_xlfn.IFS(H913,3,N913&lt;Data!$F$3,0,N913&lt;Data!$F$4,1,TRUE,2)</f>
        <v>0</v>
      </c>
    </row>
    <row r="914" spans="4:16">
      <c r="D914" s="3"/>
      <c r="E914" s="3"/>
      <c r="G914" s="2" t="str" cm="1">
        <f t="array" ref="G914">_xlfn.CONCAT(IFERROR(I914:K914,""))</f>
        <v>02000000FEFFFFFF</v>
      </c>
      <c r="I914" s="2" t="e">
        <f>_xlfn.LET(_xlpm.big,DEC2HEX(_xlfn.BITLSHIFT(M914-_xlfn.XLOOKUP(O914,Data!A:A,Data!F:F),4)+O914,8),_xlfn.CONCAT(MID(_xlpm.big,7,2),MID(_xlpm.big,5,2),MID(_xlpm.big,3,2),MID(_xlpm.big,1,2)))</f>
        <v>#NUM!</v>
      </c>
      <c r="J914" s="2" t="str">
        <f t="shared" si="56"/>
        <v>02000000</v>
      </c>
      <c r="K914" s="2" t="str">
        <f>_xlfn.LET(_xlpm.big,IF(H914,DEC2HEX(HEX2DEC(F914),8),DEC2HEX(N914-_xlfn.XLOOKUP(P914,Data!A:A,Data!F:F),8)),_xlfn.CONCAT(MID(_xlpm.big,7,2),MID(_xlpm.big,5,2),MID(_xlpm.big,3,2),MID(_xlpm.big,1,2)))</f>
        <v>FEFFFFFF</v>
      </c>
      <c r="L914" s="2">
        <f t="shared" si="57"/>
        <v>0</v>
      </c>
      <c r="M914" s="2">
        <f t="shared" si="58"/>
        <v>0</v>
      </c>
      <c r="N914" s="2">
        <f t="shared" si="59"/>
        <v>0</v>
      </c>
      <c r="O914" s="2" cm="1">
        <f t="array" ref="O914">_xlfn.IFS(M914&lt;Data!$F$3,0,M914&lt;Data!$F$4,1,TRUE,2)</f>
        <v>0</v>
      </c>
      <c r="P914" s="2" cm="1">
        <f t="array" ref="P914">_xlfn.IFS(H914,3,N914&lt;Data!$F$3,0,N914&lt;Data!$F$4,1,TRUE,2)</f>
        <v>0</v>
      </c>
    </row>
    <row r="915" spans="4:16">
      <c r="G915" s="2" t="str" cm="1">
        <f t="array" ref="G915">_xlfn.CONCAT(IFERROR(I915:K915,""))</f>
        <v>02000000FEFFFFFF</v>
      </c>
      <c r="I915" s="2" t="e">
        <f>_xlfn.LET(_xlpm.big,DEC2HEX(_xlfn.BITLSHIFT(M915-_xlfn.XLOOKUP(O915,Data!A:A,Data!F:F),4)+O915,8),_xlfn.CONCAT(MID(_xlpm.big,7,2),MID(_xlpm.big,5,2),MID(_xlpm.big,3,2),MID(_xlpm.big,1,2)))</f>
        <v>#NUM!</v>
      </c>
      <c r="J915" s="2" t="str">
        <f t="shared" si="56"/>
        <v>02000000</v>
      </c>
      <c r="K915" s="2" t="str">
        <f>_xlfn.LET(_xlpm.big,IF(H915,DEC2HEX(HEX2DEC(F915),8),DEC2HEX(N915-_xlfn.XLOOKUP(P915,Data!A:A,Data!F:F),8)),_xlfn.CONCAT(MID(_xlpm.big,7,2),MID(_xlpm.big,5,2),MID(_xlpm.big,3,2),MID(_xlpm.big,1,2)))</f>
        <v>FEFFFFFF</v>
      </c>
      <c r="L915" s="2">
        <f t="shared" si="57"/>
        <v>0</v>
      </c>
      <c r="M915" s="2">
        <f t="shared" si="58"/>
        <v>0</v>
      </c>
      <c r="N915" s="2">
        <f t="shared" si="59"/>
        <v>0</v>
      </c>
      <c r="O915" s="2" cm="1">
        <f t="array" ref="O915">_xlfn.IFS(M915&lt;Data!$F$3,0,M915&lt;Data!$F$4,1,TRUE,2)</f>
        <v>0</v>
      </c>
      <c r="P915" s="2" cm="1">
        <f t="array" ref="P915">_xlfn.IFS(H915,3,N915&lt;Data!$F$3,0,N915&lt;Data!$F$4,1,TRUE,2)</f>
        <v>0</v>
      </c>
    </row>
    <row r="916" spans="4:16">
      <c r="E916" s="16"/>
      <c r="G916" s="2" t="str" cm="1">
        <f t="array" ref="G916">_xlfn.CONCAT(IFERROR(I916:K916,""))</f>
        <v>02000000FEFFFFFF</v>
      </c>
      <c r="I916" s="2" t="e">
        <f>_xlfn.LET(_xlpm.big,DEC2HEX(_xlfn.BITLSHIFT(M916-_xlfn.XLOOKUP(O916,Data!A:A,Data!F:F),4)+O916,8),_xlfn.CONCAT(MID(_xlpm.big,7,2),MID(_xlpm.big,5,2),MID(_xlpm.big,3,2),MID(_xlpm.big,1,2)))</f>
        <v>#NUM!</v>
      </c>
      <c r="J916" s="2" t="str">
        <f t="shared" si="56"/>
        <v>02000000</v>
      </c>
      <c r="K916" s="2" t="str">
        <f>_xlfn.LET(_xlpm.big,IF(H916,DEC2HEX(HEX2DEC(F916),8),DEC2HEX(N916-_xlfn.XLOOKUP(P916,Data!A:A,Data!F:F),8)),_xlfn.CONCAT(MID(_xlpm.big,7,2),MID(_xlpm.big,5,2),MID(_xlpm.big,3,2),MID(_xlpm.big,1,2)))</f>
        <v>FEFFFFFF</v>
      </c>
      <c r="L916" s="2">
        <f t="shared" si="57"/>
        <v>0</v>
      </c>
      <c r="M916" s="2">
        <f t="shared" si="58"/>
        <v>0</v>
      </c>
      <c r="N916" s="2">
        <f t="shared" si="59"/>
        <v>0</v>
      </c>
      <c r="O916" s="2" cm="1">
        <f t="array" ref="O916">_xlfn.IFS(M916&lt;Data!$F$3,0,M916&lt;Data!$F$4,1,TRUE,2)</f>
        <v>0</v>
      </c>
      <c r="P916" s="2" cm="1">
        <f t="array" ref="P916">_xlfn.IFS(H916,3,N916&lt;Data!$F$3,0,N916&lt;Data!$F$4,1,TRUE,2)</f>
        <v>0</v>
      </c>
    </row>
    <row r="917" spans="4:16">
      <c r="E917" s="16"/>
      <c r="G917" s="2" t="str" cm="1">
        <f t="array" ref="G917">_xlfn.CONCAT(IFERROR(I917:K917,""))</f>
        <v>02000000FEFFFFFF</v>
      </c>
      <c r="I917" s="2" t="e">
        <f>_xlfn.LET(_xlpm.big,DEC2HEX(_xlfn.BITLSHIFT(M917-_xlfn.XLOOKUP(O917,Data!A:A,Data!F:F),4)+O917,8),_xlfn.CONCAT(MID(_xlpm.big,7,2),MID(_xlpm.big,5,2),MID(_xlpm.big,3,2),MID(_xlpm.big,1,2)))</f>
        <v>#NUM!</v>
      </c>
      <c r="J917" s="2" t="str">
        <f t="shared" si="56"/>
        <v>02000000</v>
      </c>
      <c r="K917" s="2" t="str">
        <f>_xlfn.LET(_xlpm.big,IF(H917,DEC2HEX(HEX2DEC(F917),8),DEC2HEX(N917-_xlfn.XLOOKUP(P917,Data!A:A,Data!F:F),8)),_xlfn.CONCAT(MID(_xlpm.big,7,2),MID(_xlpm.big,5,2),MID(_xlpm.big,3,2),MID(_xlpm.big,1,2)))</f>
        <v>FEFFFFFF</v>
      </c>
      <c r="L917" s="2">
        <f t="shared" si="57"/>
        <v>0</v>
      </c>
      <c r="M917" s="2">
        <f t="shared" si="58"/>
        <v>0</v>
      </c>
      <c r="N917" s="2">
        <f t="shared" si="59"/>
        <v>0</v>
      </c>
      <c r="O917" s="2" cm="1">
        <f t="array" ref="O917">_xlfn.IFS(M917&lt;Data!$F$3,0,M917&lt;Data!$F$4,1,TRUE,2)</f>
        <v>0</v>
      </c>
      <c r="P917" s="2" cm="1">
        <f t="array" ref="P917">_xlfn.IFS(H917,3,N917&lt;Data!$F$3,0,N917&lt;Data!$F$4,1,TRUE,2)</f>
        <v>0</v>
      </c>
    </row>
    <row r="918" spans="4:16">
      <c r="E918" s="16"/>
      <c r="G918" s="2" t="str" cm="1">
        <f t="array" ref="G918">_xlfn.CONCAT(IFERROR(I918:K918,""))</f>
        <v>02000000FEFFFFFF</v>
      </c>
      <c r="I918" s="2" t="e">
        <f>_xlfn.LET(_xlpm.big,DEC2HEX(_xlfn.BITLSHIFT(M918-_xlfn.XLOOKUP(O918,Data!A:A,Data!F:F),4)+O918,8),_xlfn.CONCAT(MID(_xlpm.big,7,2),MID(_xlpm.big,5,2),MID(_xlpm.big,3,2),MID(_xlpm.big,1,2)))</f>
        <v>#NUM!</v>
      </c>
      <c r="J918" s="2" t="str">
        <f t="shared" si="56"/>
        <v>02000000</v>
      </c>
      <c r="K918" s="2" t="str">
        <f>_xlfn.LET(_xlpm.big,IF(H918,DEC2HEX(HEX2DEC(F918),8),DEC2HEX(N918-_xlfn.XLOOKUP(P918,Data!A:A,Data!F:F),8)),_xlfn.CONCAT(MID(_xlpm.big,7,2),MID(_xlpm.big,5,2),MID(_xlpm.big,3,2),MID(_xlpm.big,1,2)))</f>
        <v>FEFFFFFF</v>
      </c>
      <c r="L918" s="2">
        <f t="shared" si="57"/>
        <v>0</v>
      </c>
      <c r="M918" s="2">
        <f t="shared" si="58"/>
        <v>0</v>
      </c>
      <c r="N918" s="2">
        <f t="shared" si="59"/>
        <v>0</v>
      </c>
      <c r="O918" s="2" cm="1">
        <f t="array" ref="O918">_xlfn.IFS(M918&lt;Data!$F$3,0,M918&lt;Data!$F$4,1,TRUE,2)</f>
        <v>0</v>
      </c>
      <c r="P918" s="2" cm="1">
        <f t="array" ref="P918">_xlfn.IFS(H918,3,N918&lt;Data!$F$3,0,N918&lt;Data!$F$4,1,TRUE,2)</f>
        <v>0</v>
      </c>
    </row>
    <row r="919" spans="4:16">
      <c r="E919" s="16"/>
      <c r="G919" s="2" t="str" cm="1">
        <f t="array" ref="G919">_xlfn.CONCAT(IFERROR(I919:K919,""))</f>
        <v>02000000FEFFFFFF</v>
      </c>
      <c r="I919" s="2" t="e">
        <f>_xlfn.LET(_xlpm.big,DEC2HEX(_xlfn.BITLSHIFT(M919-_xlfn.XLOOKUP(O919,Data!A:A,Data!F:F),4)+O919,8),_xlfn.CONCAT(MID(_xlpm.big,7,2),MID(_xlpm.big,5,2),MID(_xlpm.big,3,2),MID(_xlpm.big,1,2)))</f>
        <v>#NUM!</v>
      </c>
      <c r="J919" s="2" t="str">
        <f t="shared" si="56"/>
        <v>02000000</v>
      </c>
      <c r="K919" s="2" t="str">
        <f>_xlfn.LET(_xlpm.big,IF(H919,DEC2HEX(HEX2DEC(F919),8),DEC2HEX(N919-_xlfn.XLOOKUP(P919,Data!A:A,Data!F:F),8)),_xlfn.CONCAT(MID(_xlpm.big,7,2),MID(_xlpm.big,5,2),MID(_xlpm.big,3,2),MID(_xlpm.big,1,2)))</f>
        <v>FEFFFFFF</v>
      </c>
      <c r="L919" s="2">
        <f t="shared" si="57"/>
        <v>0</v>
      </c>
      <c r="M919" s="2">
        <f t="shared" si="58"/>
        <v>0</v>
      </c>
      <c r="N919" s="2">
        <f t="shared" si="59"/>
        <v>0</v>
      </c>
      <c r="O919" s="2" cm="1">
        <f t="array" ref="O919">_xlfn.IFS(M919&lt;Data!$F$3,0,M919&lt;Data!$F$4,1,TRUE,2)</f>
        <v>0</v>
      </c>
      <c r="P919" s="2" cm="1">
        <f t="array" ref="P919">_xlfn.IFS(H919,3,N919&lt;Data!$F$3,0,N919&lt;Data!$F$4,1,TRUE,2)</f>
        <v>0</v>
      </c>
    </row>
    <row r="920" spans="4:16">
      <c r="E920" s="16"/>
      <c r="G920" s="2" t="str" cm="1">
        <f t="array" ref="G920">_xlfn.CONCAT(IFERROR(I920:K920,""))</f>
        <v>02000000FEFFFFFF</v>
      </c>
      <c r="I920" s="2" t="e">
        <f>_xlfn.LET(_xlpm.big,DEC2HEX(_xlfn.BITLSHIFT(M920-_xlfn.XLOOKUP(O920,Data!A:A,Data!F:F),4)+O920,8),_xlfn.CONCAT(MID(_xlpm.big,7,2),MID(_xlpm.big,5,2),MID(_xlpm.big,3,2),MID(_xlpm.big,1,2)))</f>
        <v>#NUM!</v>
      </c>
      <c r="J920" s="2" t="str">
        <f t="shared" si="56"/>
        <v>02000000</v>
      </c>
      <c r="K920" s="2" t="str">
        <f>_xlfn.LET(_xlpm.big,IF(H920,DEC2HEX(HEX2DEC(F920),8),DEC2HEX(N920-_xlfn.XLOOKUP(P920,Data!A:A,Data!F:F),8)),_xlfn.CONCAT(MID(_xlpm.big,7,2),MID(_xlpm.big,5,2),MID(_xlpm.big,3,2),MID(_xlpm.big,1,2)))</f>
        <v>FEFFFFFF</v>
      </c>
      <c r="L920" s="2">
        <f t="shared" si="57"/>
        <v>0</v>
      </c>
      <c r="M920" s="2">
        <f t="shared" si="58"/>
        <v>0</v>
      </c>
      <c r="N920" s="2">
        <f t="shared" si="59"/>
        <v>0</v>
      </c>
      <c r="O920" s="2" cm="1">
        <f t="array" ref="O920">_xlfn.IFS(M920&lt;Data!$F$3,0,M920&lt;Data!$F$4,1,TRUE,2)</f>
        <v>0</v>
      </c>
      <c r="P920" s="2" cm="1">
        <f t="array" ref="P920">_xlfn.IFS(H920,3,N920&lt;Data!$F$3,0,N920&lt;Data!$F$4,1,TRUE,2)</f>
        <v>0</v>
      </c>
    </row>
    <row r="921" spans="4:16">
      <c r="E921" s="16"/>
      <c r="G921" s="2" t="str" cm="1">
        <f t="array" ref="G921">_xlfn.CONCAT(IFERROR(I921:K921,""))</f>
        <v>02000000FEFFFFFF</v>
      </c>
      <c r="I921" s="2" t="e">
        <f>_xlfn.LET(_xlpm.big,DEC2HEX(_xlfn.BITLSHIFT(M921-_xlfn.XLOOKUP(O921,Data!A:A,Data!F:F),4)+O921,8),_xlfn.CONCAT(MID(_xlpm.big,7,2),MID(_xlpm.big,5,2),MID(_xlpm.big,3,2),MID(_xlpm.big,1,2)))</f>
        <v>#NUM!</v>
      </c>
      <c r="J921" s="2" t="str">
        <f t="shared" si="56"/>
        <v>02000000</v>
      </c>
      <c r="K921" s="2" t="str">
        <f>_xlfn.LET(_xlpm.big,IF(H921,DEC2HEX(HEX2DEC(F921),8),DEC2HEX(N921-_xlfn.XLOOKUP(P921,Data!A:A,Data!F:F),8)),_xlfn.CONCAT(MID(_xlpm.big,7,2),MID(_xlpm.big,5,2),MID(_xlpm.big,3,2),MID(_xlpm.big,1,2)))</f>
        <v>FEFFFFFF</v>
      </c>
      <c r="L921" s="2">
        <f t="shared" si="57"/>
        <v>0</v>
      </c>
      <c r="M921" s="2">
        <f t="shared" si="58"/>
        <v>0</v>
      </c>
      <c r="N921" s="2">
        <f t="shared" si="59"/>
        <v>0</v>
      </c>
      <c r="O921" s="2" cm="1">
        <f t="array" ref="O921">_xlfn.IFS(M921&lt;Data!$F$3,0,M921&lt;Data!$F$4,1,TRUE,2)</f>
        <v>0</v>
      </c>
      <c r="P921" s="2" cm="1">
        <f t="array" ref="P921">_xlfn.IFS(H921,3,N921&lt;Data!$F$3,0,N921&lt;Data!$F$4,1,TRUE,2)</f>
        <v>0</v>
      </c>
    </row>
    <row r="922" spans="4:16">
      <c r="E922" s="16"/>
      <c r="G922" s="2" t="str" cm="1">
        <f t="array" ref="G922">_xlfn.CONCAT(IFERROR(I922:K922,""))</f>
        <v>02000000FEFFFFFF</v>
      </c>
      <c r="I922" s="2" t="e">
        <f>_xlfn.LET(_xlpm.big,DEC2HEX(_xlfn.BITLSHIFT(M922-_xlfn.XLOOKUP(O922,Data!A:A,Data!F:F),4)+O922,8),_xlfn.CONCAT(MID(_xlpm.big,7,2),MID(_xlpm.big,5,2),MID(_xlpm.big,3,2),MID(_xlpm.big,1,2)))</f>
        <v>#NUM!</v>
      </c>
      <c r="J922" s="2" t="str">
        <f t="shared" si="56"/>
        <v>02000000</v>
      </c>
      <c r="K922" s="2" t="str">
        <f>_xlfn.LET(_xlpm.big,IF(H922,DEC2HEX(HEX2DEC(F922),8),DEC2HEX(N922-_xlfn.XLOOKUP(P922,Data!A:A,Data!F:F),8)),_xlfn.CONCAT(MID(_xlpm.big,7,2),MID(_xlpm.big,5,2),MID(_xlpm.big,3,2),MID(_xlpm.big,1,2)))</f>
        <v>FEFFFFFF</v>
      </c>
      <c r="L922" s="2">
        <f t="shared" si="57"/>
        <v>0</v>
      </c>
      <c r="M922" s="2">
        <f t="shared" si="58"/>
        <v>0</v>
      </c>
      <c r="N922" s="2">
        <f t="shared" si="59"/>
        <v>0</v>
      </c>
      <c r="O922" s="2" cm="1">
        <f t="array" ref="O922">_xlfn.IFS(M922&lt;Data!$F$3,0,M922&lt;Data!$F$4,1,TRUE,2)</f>
        <v>0</v>
      </c>
      <c r="P922" s="2" cm="1">
        <f t="array" ref="P922">_xlfn.IFS(H922,3,N922&lt;Data!$F$3,0,N922&lt;Data!$F$4,1,TRUE,2)</f>
        <v>0</v>
      </c>
    </row>
    <row r="923" spans="4:16">
      <c r="E923" s="16"/>
      <c r="G923" s="2" t="str" cm="1">
        <f t="array" ref="G923">_xlfn.CONCAT(IFERROR(I923:K923,""))</f>
        <v>02000000FEFFFFFF</v>
      </c>
      <c r="I923" s="2" t="e">
        <f>_xlfn.LET(_xlpm.big,DEC2HEX(_xlfn.BITLSHIFT(M923-_xlfn.XLOOKUP(O923,Data!A:A,Data!F:F),4)+O923,8),_xlfn.CONCAT(MID(_xlpm.big,7,2),MID(_xlpm.big,5,2),MID(_xlpm.big,3,2),MID(_xlpm.big,1,2)))</f>
        <v>#NUM!</v>
      </c>
      <c r="J923" s="2" t="str">
        <f t="shared" si="56"/>
        <v>02000000</v>
      </c>
      <c r="K923" s="2" t="str">
        <f>_xlfn.LET(_xlpm.big,IF(H923,DEC2HEX(HEX2DEC(F923),8),DEC2HEX(N923-_xlfn.XLOOKUP(P923,Data!A:A,Data!F:F),8)),_xlfn.CONCAT(MID(_xlpm.big,7,2),MID(_xlpm.big,5,2),MID(_xlpm.big,3,2),MID(_xlpm.big,1,2)))</f>
        <v>FEFFFFFF</v>
      </c>
      <c r="L923" s="2">
        <f t="shared" si="57"/>
        <v>0</v>
      </c>
      <c r="M923" s="2">
        <f t="shared" si="58"/>
        <v>0</v>
      </c>
      <c r="N923" s="2">
        <f t="shared" si="59"/>
        <v>0</v>
      </c>
      <c r="O923" s="2" cm="1">
        <f t="array" ref="O923">_xlfn.IFS(M923&lt;Data!$F$3,0,M923&lt;Data!$F$4,1,TRUE,2)</f>
        <v>0</v>
      </c>
      <c r="P923" s="2" cm="1">
        <f t="array" ref="P923">_xlfn.IFS(H923,3,N923&lt;Data!$F$3,0,N923&lt;Data!$F$4,1,TRUE,2)</f>
        <v>0</v>
      </c>
    </row>
    <row r="924" spans="4:16">
      <c r="G924" s="2" t="str" cm="1">
        <f t="array" ref="G924">_xlfn.CONCAT(IFERROR(I924:K924,""))</f>
        <v>02000000FEFFFFFF</v>
      </c>
      <c r="I924" s="2" t="e">
        <f>_xlfn.LET(_xlpm.big,DEC2HEX(_xlfn.BITLSHIFT(M924-_xlfn.XLOOKUP(O924,Data!A:A,Data!F:F),4)+O924,8),_xlfn.CONCAT(MID(_xlpm.big,7,2),MID(_xlpm.big,5,2),MID(_xlpm.big,3,2),MID(_xlpm.big,1,2)))</f>
        <v>#NUM!</v>
      </c>
      <c r="J924" s="2" t="str">
        <f t="shared" si="56"/>
        <v>02000000</v>
      </c>
      <c r="K924" s="2" t="str">
        <f>_xlfn.LET(_xlpm.big,IF(H924,DEC2HEX(HEX2DEC(F924),8),DEC2HEX(N924-_xlfn.XLOOKUP(P924,Data!A:A,Data!F:F),8)),_xlfn.CONCAT(MID(_xlpm.big,7,2),MID(_xlpm.big,5,2),MID(_xlpm.big,3,2),MID(_xlpm.big,1,2)))</f>
        <v>FEFFFFFF</v>
      </c>
      <c r="L924" s="2">
        <f t="shared" si="57"/>
        <v>0</v>
      </c>
      <c r="M924" s="2">
        <f t="shared" si="58"/>
        <v>0</v>
      </c>
      <c r="N924" s="2">
        <f t="shared" si="59"/>
        <v>0</v>
      </c>
      <c r="O924" s="2" cm="1">
        <f t="array" ref="O924">_xlfn.IFS(M924&lt;Data!$F$3,0,M924&lt;Data!$F$4,1,TRUE,2)</f>
        <v>0</v>
      </c>
      <c r="P924" s="2" cm="1">
        <f t="array" ref="P924">_xlfn.IFS(H924,3,N924&lt;Data!$F$3,0,N924&lt;Data!$F$4,1,TRUE,2)</f>
        <v>0</v>
      </c>
    </row>
    <row r="925" spans="4:16">
      <c r="G925" s="2" t="str" cm="1">
        <f t="array" ref="G925">_xlfn.CONCAT(IFERROR(I925:K925,""))</f>
        <v>02000000FEFFFFFF</v>
      </c>
      <c r="I925" s="2" t="e">
        <f>_xlfn.LET(_xlpm.big,DEC2HEX(_xlfn.BITLSHIFT(M925-_xlfn.XLOOKUP(O925,Data!A:A,Data!F:F),4)+O925,8),_xlfn.CONCAT(MID(_xlpm.big,7,2),MID(_xlpm.big,5,2),MID(_xlpm.big,3,2),MID(_xlpm.big,1,2)))</f>
        <v>#NUM!</v>
      </c>
      <c r="J925" s="2" t="str">
        <f t="shared" si="56"/>
        <v>02000000</v>
      </c>
      <c r="K925" s="2" t="str">
        <f>_xlfn.LET(_xlpm.big,IF(H925,DEC2HEX(HEX2DEC(F925),8),DEC2HEX(N925-_xlfn.XLOOKUP(P925,Data!A:A,Data!F:F),8)),_xlfn.CONCAT(MID(_xlpm.big,7,2),MID(_xlpm.big,5,2),MID(_xlpm.big,3,2),MID(_xlpm.big,1,2)))</f>
        <v>FEFFFFFF</v>
      </c>
      <c r="L925" s="2">
        <f t="shared" si="57"/>
        <v>0</v>
      </c>
      <c r="M925" s="2">
        <f t="shared" si="58"/>
        <v>0</v>
      </c>
      <c r="N925" s="2">
        <f t="shared" si="59"/>
        <v>0</v>
      </c>
      <c r="O925" s="2" cm="1">
        <f t="array" ref="O925">_xlfn.IFS(M925&lt;Data!$F$3,0,M925&lt;Data!$F$4,1,TRUE,2)</f>
        <v>0</v>
      </c>
      <c r="P925" s="2" cm="1">
        <f t="array" ref="P925">_xlfn.IFS(H925,3,N925&lt;Data!$F$3,0,N925&lt;Data!$F$4,1,TRUE,2)</f>
        <v>0</v>
      </c>
    </row>
    <row r="926" spans="4:16">
      <c r="F926" s="3"/>
      <c r="G926" s="2" t="str" cm="1">
        <f t="array" ref="G926">_xlfn.CONCAT(IFERROR(I926:K926,""))</f>
        <v>02000000FEFFFFFF</v>
      </c>
      <c r="I926" s="2" t="e">
        <f>_xlfn.LET(_xlpm.big,DEC2HEX(_xlfn.BITLSHIFT(M926-_xlfn.XLOOKUP(O926,Data!A:A,Data!F:F),4)+O926,8),_xlfn.CONCAT(MID(_xlpm.big,7,2),MID(_xlpm.big,5,2),MID(_xlpm.big,3,2),MID(_xlpm.big,1,2)))</f>
        <v>#NUM!</v>
      </c>
      <c r="J926" s="2" t="str">
        <f t="shared" si="56"/>
        <v>02000000</v>
      </c>
      <c r="K926" s="2" t="str">
        <f>_xlfn.LET(_xlpm.big,IF(H926,DEC2HEX(HEX2DEC(F926),8),DEC2HEX(N926-_xlfn.XLOOKUP(P926,Data!A:A,Data!F:F),8)),_xlfn.CONCAT(MID(_xlpm.big,7,2),MID(_xlpm.big,5,2),MID(_xlpm.big,3,2),MID(_xlpm.big,1,2)))</f>
        <v>FEFFFFFF</v>
      </c>
      <c r="L926" s="2">
        <f t="shared" si="57"/>
        <v>0</v>
      </c>
      <c r="M926" s="2">
        <f t="shared" si="58"/>
        <v>0</v>
      </c>
      <c r="N926" s="2">
        <f t="shared" si="59"/>
        <v>0</v>
      </c>
      <c r="O926" s="2" cm="1">
        <f t="array" ref="O926">_xlfn.IFS(M926&lt;Data!$F$3,0,M926&lt;Data!$F$4,1,TRUE,2)</f>
        <v>0</v>
      </c>
      <c r="P926" s="2" cm="1">
        <f t="array" ref="P926">_xlfn.IFS(H926,3,N926&lt;Data!$F$3,0,N926&lt;Data!$F$4,1,TRUE,2)</f>
        <v>0</v>
      </c>
    </row>
    <row r="927" spans="4:16">
      <c r="F927" s="3"/>
      <c r="G927" s="2" t="str" cm="1">
        <f t="array" ref="G927">_xlfn.CONCAT(IFERROR(I927:K927,""))</f>
        <v>02000000FEFFFFFF</v>
      </c>
      <c r="I927" s="2" t="e">
        <f>_xlfn.LET(_xlpm.big,DEC2HEX(_xlfn.BITLSHIFT(M927-_xlfn.XLOOKUP(O927,Data!A:A,Data!F:F),4)+O927,8),_xlfn.CONCAT(MID(_xlpm.big,7,2),MID(_xlpm.big,5,2),MID(_xlpm.big,3,2),MID(_xlpm.big,1,2)))</f>
        <v>#NUM!</v>
      </c>
      <c r="J927" s="2" t="str">
        <f t="shared" si="56"/>
        <v>02000000</v>
      </c>
      <c r="K927" s="2" t="str">
        <f>_xlfn.LET(_xlpm.big,IF(H927,DEC2HEX(HEX2DEC(F927),8),DEC2HEX(N927-_xlfn.XLOOKUP(P927,Data!A:A,Data!F:F),8)),_xlfn.CONCAT(MID(_xlpm.big,7,2),MID(_xlpm.big,5,2),MID(_xlpm.big,3,2),MID(_xlpm.big,1,2)))</f>
        <v>FEFFFFFF</v>
      </c>
      <c r="L927" s="2">
        <f t="shared" si="57"/>
        <v>0</v>
      </c>
      <c r="M927" s="2">
        <f t="shared" si="58"/>
        <v>0</v>
      </c>
      <c r="N927" s="2">
        <f t="shared" si="59"/>
        <v>0</v>
      </c>
      <c r="O927" s="2" cm="1">
        <f t="array" ref="O927">_xlfn.IFS(M927&lt;Data!$F$3,0,M927&lt;Data!$F$4,1,TRUE,2)</f>
        <v>0</v>
      </c>
      <c r="P927" s="2" cm="1">
        <f t="array" ref="P927">_xlfn.IFS(H927,3,N927&lt;Data!$F$3,0,N927&lt;Data!$F$4,1,TRUE,2)</f>
        <v>0</v>
      </c>
    </row>
    <row r="928" spans="4:16">
      <c r="F928" s="3"/>
      <c r="G928" s="2" t="str" cm="1">
        <f t="array" ref="G928">_xlfn.CONCAT(IFERROR(I928:K928,""))</f>
        <v>02000000FEFFFFFF</v>
      </c>
      <c r="I928" s="2" t="e">
        <f>_xlfn.LET(_xlpm.big,DEC2HEX(_xlfn.BITLSHIFT(M928-_xlfn.XLOOKUP(O928,Data!A:A,Data!F:F),4)+O928,8),_xlfn.CONCAT(MID(_xlpm.big,7,2),MID(_xlpm.big,5,2),MID(_xlpm.big,3,2),MID(_xlpm.big,1,2)))</f>
        <v>#NUM!</v>
      </c>
      <c r="J928" s="2" t="str">
        <f t="shared" si="56"/>
        <v>02000000</v>
      </c>
      <c r="K928" s="2" t="str">
        <f>_xlfn.LET(_xlpm.big,IF(H928,DEC2HEX(HEX2DEC(F928),8),DEC2HEX(N928-_xlfn.XLOOKUP(P928,Data!A:A,Data!F:F),8)),_xlfn.CONCAT(MID(_xlpm.big,7,2),MID(_xlpm.big,5,2),MID(_xlpm.big,3,2),MID(_xlpm.big,1,2)))</f>
        <v>FEFFFFFF</v>
      </c>
      <c r="L928" s="2">
        <f t="shared" si="57"/>
        <v>0</v>
      </c>
      <c r="M928" s="2">
        <f t="shared" si="58"/>
        <v>0</v>
      </c>
      <c r="N928" s="2">
        <f t="shared" si="59"/>
        <v>0</v>
      </c>
      <c r="O928" s="2" cm="1">
        <f t="array" ref="O928">_xlfn.IFS(M928&lt;Data!$F$3,0,M928&lt;Data!$F$4,1,TRUE,2)</f>
        <v>0</v>
      </c>
      <c r="P928" s="2" cm="1">
        <f t="array" ref="P928">_xlfn.IFS(H928,3,N928&lt;Data!$F$3,0,N928&lt;Data!$F$4,1,TRUE,2)</f>
        <v>0</v>
      </c>
    </row>
    <row r="929" spans="4:16">
      <c r="G929" s="2" t="str" cm="1">
        <f t="array" ref="G929">_xlfn.CONCAT(IFERROR(I929:K929,""))</f>
        <v>02000000FEFFFFFF</v>
      </c>
      <c r="I929" s="2" t="e">
        <f>_xlfn.LET(_xlpm.big,DEC2HEX(_xlfn.BITLSHIFT(M929-_xlfn.XLOOKUP(O929,Data!A:A,Data!F:F),4)+O929,8),_xlfn.CONCAT(MID(_xlpm.big,7,2),MID(_xlpm.big,5,2),MID(_xlpm.big,3,2),MID(_xlpm.big,1,2)))</f>
        <v>#NUM!</v>
      </c>
      <c r="J929" s="2" t="str">
        <f t="shared" si="56"/>
        <v>02000000</v>
      </c>
      <c r="K929" s="2" t="str">
        <f>_xlfn.LET(_xlpm.big,IF(H929,DEC2HEX(HEX2DEC(F929),8),DEC2HEX(N929-_xlfn.XLOOKUP(P929,Data!A:A,Data!F:F),8)),_xlfn.CONCAT(MID(_xlpm.big,7,2),MID(_xlpm.big,5,2),MID(_xlpm.big,3,2),MID(_xlpm.big,1,2)))</f>
        <v>FEFFFFFF</v>
      </c>
      <c r="L929" s="2">
        <f t="shared" si="57"/>
        <v>0</v>
      </c>
      <c r="M929" s="2">
        <f t="shared" si="58"/>
        <v>0</v>
      </c>
      <c r="N929" s="2">
        <f t="shared" si="59"/>
        <v>0</v>
      </c>
      <c r="O929" s="2" cm="1">
        <f t="array" ref="O929">_xlfn.IFS(M929&lt;Data!$F$3,0,M929&lt;Data!$F$4,1,TRUE,2)</f>
        <v>0</v>
      </c>
      <c r="P929" s="2" cm="1">
        <f t="array" ref="P929">_xlfn.IFS(H929,3,N929&lt;Data!$F$3,0,N929&lt;Data!$F$4,1,TRUE,2)</f>
        <v>0</v>
      </c>
    </row>
    <row r="930" spans="4:16">
      <c r="G930" s="2" t="str" cm="1">
        <f t="array" ref="G930">_xlfn.CONCAT(IFERROR(I930:K930,""))</f>
        <v>02000000FEFFFFFF</v>
      </c>
      <c r="I930" s="2" t="e">
        <f>_xlfn.LET(_xlpm.big,DEC2HEX(_xlfn.BITLSHIFT(M930-_xlfn.XLOOKUP(O930,Data!A:A,Data!F:F),4)+O930,8),_xlfn.CONCAT(MID(_xlpm.big,7,2),MID(_xlpm.big,5,2),MID(_xlpm.big,3,2),MID(_xlpm.big,1,2)))</f>
        <v>#NUM!</v>
      </c>
      <c r="J930" s="2" t="str">
        <f t="shared" si="56"/>
        <v>02000000</v>
      </c>
      <c r="K930" s="2" t="str">
        <f>_xlfn.LET(_xlpm.big,IF(H930,DEC2HEX(HEX2DEC(F930),8),DEC2HEX(N930-_xlfn.XLOOKUP(P930,Data!A:A,Data!F:F),8)),_xlfn.CONCAT(MID(_xlpm.big,7,2),MID(_xlpm.big,5,2),MID(_xlpm.big,3,2),MID(_xlpm.big,1,2)))</f>
        <v>FEFFFFFF</v>
      </c>
      <c r="L930" s="2">
        <f t="shared" si="57"/>
        <v>0</v>
      </c>
      <c r="M930" s="2">
        <f t="shared" si="58"/>
        <v>0</v>
      </c>
      <c r="N930" s="2">
        <f t="shared" si="59"/>
        <v>0</v>
      </c>
      <c r="O930" s="2" cm="1">
        <f t="array" ref="O930">_xlfn.IFS(M930&lt;Data!$F$3,0,M930&lt;Data!$F$4,1,TRUE,2)</f>
        <v>0</v>
      </c>
      <c r="P930" s="2" cm="1">
        <f t="array" ref="P930">_xlfn.IFS(H930,3,N930&lt;Data!$F$3,0,N930&lt;Data!$F$4,1,TRUE,2)</f>
        <v>0</v>
      </c>
    </row>
    <row r="931" spans="4:16">
      <c r="G931" s="2" t="str" cm="1">
        <f t="array" ref="G931">_xlfn.CONCAT(IFERROR(I931:K931,""))</f>
        <v>02000000FEFFFFFF</v>
      </c>
      <c r="I931" s="2" t="e">
        <f>_xlfn.LET(_xlpm.big,DEC2HEX(_xlfn.BITLSHIFT(M931-_xlfn.XLOOKUP(O931,Data!A:A,Data!F:F),4)+O931,8),_xlfn.CONCAT(MID(_xlpm.big,7,2),MID(_xlpm.big,5,2),MID(_xlpm.big,3,2),MID(_xlpm.big,1,2)))</f>
        <v>#NUM!</v>
      </c>
      <c r="J931" s="2" t="str">
        <f t="shared" si="56"/>
        <v>02000000</v>
      </c>
      <c r="K931" s="2" t="str">
        <f>_xlfn.LET(_xlpm.big,IF(H931,DEC2HEX(HEX2DEC(F931),8),DEC2HEX(N931-_xlfn.XLOOKUP(P931,Data!A:A,Data!F:F),8)),_xlfn.CONCAT(MID(_xlpm.big,7,2),MID(_xlpm.big,5,2),MID(_xlpm.big,3,2),MID(_xlpm.big,1,2)))</f>
        <v>FEFFFFFF</v>
      </c>
      <c r="L931" s="2">
        <f t="shared" si="57"/>
        <v>0</v>
      </c>
      <c r="M931" s="2">
        <f t="shared" si="58"/>
        <v>0</v>
      </c>
      <c r="N931" s="2">
        <f t="shared" si="59"/>
        <v>0</v>
      </c>
      <c r="O931" s="2" cm="1">
        <f t="array" ref="O931">_xlfn.IFS(M931&lt;Data!$F$3,0,M931&lt;Data!$F$4,1,TRUE,2)</f>
        <v>0</v>
      </c>
      <c r="P931" s="2" cm="1">
        <f t="array" ref="P931">_xlfn.IFS(H931,3,N931&lt;Data!$F$3,0,N931&lt;Data!$F$4,1,TRUE,2)</f>
        <v>0</v>
      </c>
    </row>
    <row r="932" spans="4:16">
      <c r="G932" s="2" t="str" cm="1">
        <f t="array" ref="G932">_xlfn.CONCAT(IFERROR(I932:K932,""))</f>
        <v>02000000FEFFFFFF</v>
      </c>
      <c r="I932" s="2" t="e">
        <f>_xlfn.LET(_xlpm.big,DEC2HEX(_xlfn.BITLSHIFT(M932-_xlfn.XLOOKUP(O932,Data!A:A,Data!F:F),4)+O932,8),_xlfn.CONCAT(MID(_xlpm.big,7,2),MID(_xlpm.big,5,2),MID(_xlpm.big,3,2),MID(_xlpm.big,1,2)))</f>
        <v>#NUM!</v>
      </c>
      <c r="J932" s="2" t="str">
        <f t="shared" si="56"/>
        <v>02000000</v>
      </c>
      <c r="K932" s="2" t="str">
        <f>_xlfn.LET(_xlpm.big,IF(H932,DEC2HEX(HEX2DEC(F932),8),DEC2HEX(N932-_xlfn.XLOOKUP(P932,Data!A:A,Data!F:F),8)),_xlfn.CONCAT(MID(_xlpm.big,7,2),MID(_xlpm.big,5,2),MID(_xlpm.big,3,2),MID(_xlpm.big,1,2)))</f>
        <v>FEFFFFFF</v>
      </c>
      <c r="L932" s="2">
        <f t="shared" si="57"/>
        <v>0</v>
      </c>
      <c r="M932" s="2">
        <f t="shared" si="58"/>
        <v>0</v>
      </c>
      <c r="N932" s="2">
        <f t="shared" si="59"/>
        <v>0</v>
      </c>
      <c r="O932" s="2" cm="1">
        <f t="array" ref="O932">_xlfn.IFS(M932&lt;Data!$F$3,0,M932&lt;Data!$F$4,1,TRUE,2)</f>
        <v>0</v>
      </c>
      <c r="P932" s="2" cm="1">
        <f t="array" ref="P932">_xlfn.IFS(H932,3,N932&lt;Data!$F$3,0,N932&lt;Data!$F$4,1,TRUE,2)</f>
        <v>0</v>
      </c>
    </row>
    <row r="933" spans="4:16">
      <c r="G933" s="2" t="str" cm="1">
        <f t="array" ref="G933">_xlfn.CONCAT(IFERROR(I933:K933,""))</f>
        <v>02000000FEFFFFFF</v>
      </c>
      <c r="I933" s="2" t="e">
        <f>_xlfn.LET(_xlpm.big,DEC2HEX(_xlfn.BITLSHIFT(M933-_xlfn.XLOOKUP(O933,Data!A:A,Data!F:F),4)+O933,8),_xlfn.CONCAT(MID(_xlpm.big,7,2),MID(_xlpm.big,5,2),MID(_xlpm.big,3,2),MID(_xlpm.big,1,2)))</f>
        <v>#NUM!</v>
      </c>
      <c r="J933" s="2" t="str">
        <f t="shared" si="56"/>
        <v>02000000</v>
      </c>
      <c r="K933" s="2" t="str">
        <f>_xlfn.LET(_xlpm.big,IF(H933,DEC2HEX(HEX2DEC(F933),8),DEC2HEX(N933-_xlfn.XLOOKUP(P933,Data!A:A,Data!F:F),8)),_xlfn.CONCAT(MID(_xlpm.big,7,2),MID(_xlpm.big,5,2),MID(_xlpm.big,3,2),MID(_xlpm.big,1,2)))</f>
        <v>FEFFFFFF</v>
      </c>
      <c r="L933" s="2">
        <f t="shared" si="57"/>
        <v>0</v>
      </c>
      <c r="M933" s="2">
        <f t="shared" si="58"/>
        <v>0</v>
      </c>
      <c r="N933" s="2">
        <f t="shared" si="59"/>
        <v>0</v>
      </c>
      <c r="O933" s="2" cm="1">
        <f t="array" ref="O933">_xlfn.IFS(M933&lt;Data!$F$3,0,M933&lt;Data!$F$4,1,TRUE,2)</f>
        <v>0</v>
      </c>
      <c r="P933" s="2" cm="1">
        <f t="array" ref="P933">_xlfn.IFS(H933,3,N933&lt;Data!$F$3,0,N933&lt;Data!$F$4,1,TRUE,2)</f>
        <v>0</v>
      </c>
    </row>
    <row r="934" spans="4:16">
      <c r="G934" s="2" t="str" cm="1">
        <f t="array" ref="G934">_xlfn.CONCAT(IFERROR(I934:K934,""))</f>
        <v>02000000FEFFFFFF</v>
      </c>
      <c r="I934" s="2" t="e">
        <f>_xlfn.LET(_xlpm.big,DEC2HEX(_xlfn.BITLSHIFT(M934-_xlfn.XLOOKUP(O934,Data!A:A,Data!F:F),4)+O934,8),_xlfn.CONCAT(MID(_xlpm.big,7,2),MID(_xlpm.big,5,2),MID(_xlpm.big,3,2),MID(_xlpm.big,1,2)))</f>
        <v>#NUM!</v>
      </c>
      <c r="J934" s="2" t="str">
        <f t="shared" si="56"/>
        <v>02000000</v>
      </c>
      <c r="K934" s="2" t="str">
        <f>_xlfn.LET(_xlpm.big,IF(H934,DEC2HEX(HEX2DEC(F934),8),DEC2HEX(N934-_xlfn.XLOOKUP(P934,Data!A:A,Data!F:F),8)),_xlfn.CONCAT(MID(_xlpm.big,7,2),MID(_xlpm.big,5,2),MID(_xlpm.big,3,2),MID(_xlpm.big,1,2)))</f>
        <v>FEFFFFFF</v>
      </c>
      <c r="L934" s="2">
        <f t="shared" si="57"/>
        <v>0</v>
      </c>
      <c r="M934" s="2">
        <f t="shared" si="58"/>
        <v>0</v>
      </c>
      <c r="N934" s="2">
        <f t="shared" si="59"/>
        <v>0</v>
      </c>
      <c r="O934" s="2" cm="1">
        <f t="array" ref="O934">_xlfn.IFS(M934&lt;Data!$F$3,0,M934&lt;Data!$F$4,1,TRUE,2)</f>
        <v>0</v>
      </c>
      <c r="P934" s="2" cm="1">
        <f t="array" ref="P934">_xlfn.IFS(H934,3,N934&lt;Data!$F$3,0,N934&lt;Data!$F$4,1,TRUE,2)</f>
        <v>0</v>
      </c>
    </row>
    <row r="935" spans="4:16">
      <c r="G935" s="2" t="str" cm="1">
        <f t="array" ref="G935">_xlfn.CONCAT(IFERROR(I935:K935,""))</f>
        <v>02000000FEFFFFFF</v>
      </c>
      <c r="I935" s="2" t="e">
        <f>_xlfn.LET(_xlpm.big,DEC2HEX(_xlfn.BITLSHIFT(M935-_xlfn.XLOOKUP(O935,Data!A:A,Data!F:F),4)+O935,8),_xlfn.CONCAT(MID(_xlpm.big,7,2),MID(_xlpm.big,5,2),MID(_xlpm.big,3,2),MID(_xlpm.big,1,2)))</f>
        <v>#NUM!</v>
      </c>
      <c r="J935" s="2" t="str">
        <f t="shared" si="56"/>
        <v>02000000</v>
      </c>
      <c r="K935" s="2" t="str">
        <f>_xlfn.LET(_xlpm.big,IF(H935,DEC2HEX(HEX2DEC(F935),8),DEC2HEX(N935-_xlfn.XLOOKUP(P935,Data!A:A,Data!F:F),8)),_xlfn.CONCAT(MID(_xlpm.big,7,2),MID(_xlpm.big,5,2),MID(_xlpm.big,3,2),MID(_xlpm.big,1,2)))</f>
        <v>FEFFFFFF</v>
      </c>
      <c r="L935" s="2">
        <f t="shared" si="57"/>
        <v>0</v>
      </c>
      <c r="M935" s="2">
        <f t="shared" si="58"/>
        <v>0</v>
      </c>
      <c r="N935" s="2">
        <f t="shared" si="59"/>
        <v>0</v>
      </c>
      <c r="O935" s="2" cm="1">
        <f t="array" ref="O935">_xlfn.IFS(M935&lt;Data!$F$3,0,M935&lt;Data!$F$4,1,TRUE,2)</f>
        <v>0</v>
      </c>
      <c r="P935" s="2" cm="1">
        <f t="array" ref="P935">_xlfn.IFS(H935,3,N935&lt;Data!$F$3,0,N935&lt;Data!$F$4,1,TRUE,2)</f>
        <v>0</v>
      </c>
    </row>
    <row r="936" spans="4:16">
      <c r="G936" s="2" t="str" cm="1">
        <f t="array" ref="G936">_xlfn.CONCAT(IFERROR(I936:K936,""))</f>
        <v>02000000FEFFFFFF</v>
      </c>
      <c r="I936" s="2" t="e">
        <f>_xlfn.LET(_xlpm.big,DEC2HEX(_xlfn.BITLSHIFT(M936-_xlfn.XLOOKUP(O936,Data!A:A,Data!F:F),4)+O936,8),_xlfn.CONCAT(MID(_xlpm.big,7,2),MID(_xlpm.big,5,2),MID(_xlpm.big,3,2),MID(_xlpm.big,1,2)))</f>
        <v>#NUM!</v>
      </c>
      <c r="J936" s="2" t="str">
        <f t="shared" si="56"/>
        <v>02000000</v>
      </c>
      <c r="K936" s="2" t="str">
        <f>_xlfn.LET(_xlpm.big,IF(H936,DEC2HEX(HEX2DEC(F936),8),DEC2HEX(N936-_xlfn.XLOOKUP(P936,Data!A:A,Data!F:F),8)),_xlfn.CONCAT(MID(_xlpm.big,7,2),MID(_xlpm.big,5,2),MID(_xlpm.big,3,2),MID(_xlpm.big,1,2)))</f>
        <v>FEFFFFFF</v>
      </c>
      <c r="L936" s="2">
        <f t="shared" si="57"/>
        <v>0</v>
      </c>
      <c r="M936" s="2">
        <f t="shared" si="58"/>
        <v>0</v>
      </c>
      <c r="N936" s="2">
        <f t="shared" si="59"/>
        <v>0</v>
      </c>
      <c r="O936" s="2" cm="1">
        <f t="array" ref="O936">_xlfn.IFS(M936&lt;Data!$F$3,0,M936&lt;Data!$F$4,1,TRUE,2)</f>
        <v>0</v>
      </c>
      <c r="P936" s="2" cm="1">
        <f t="array" ref="P936">_xlfn.IFS(H936,3,N936&lt;Data!$F$3,0,N936&lt;Data!$F$4,1,TRUE,2)</f>
        <v>0</v>
      </c>
    </row>
    <row r="937" spans="4:16">
      <c r="G937" s="2" t="str" cm="1">
        <f t="array" ref="G937">_xlfn.CONCAT(IFERROR(I937:K937,""))</f>
        <v>02000000FEFFFFFF</v>
      </c>
      <c r="I937" s="2" t="e">
        <f>_xlfn.LET(_xlpm.big,DEC2HEX(_xlfn.BITLSHIFT(M937-_xlfn.XLOOKUP(O937,Data!A:A,Data!F:F),4)+O937,8),_xlfn.CONCAT(MID(_xlpm.big,7,2),MID(_xlpm.big,5,2),MID(_xlpm.big,3,2),MID(_xlpm.big,1,2)))</f>
        <v>#NUM!</v>
      </c>
      <c r="J937" s="2" t="str">
        <f t="shared" si="56"/>
        <v>02000000</v>
      </c>
      <c r="K937" s="2" t="str">
        <f>_xlfn.LET(_xlpm.big,IF(H937,DEC2HEX(HEX2DEC(F937),8),DEC2HEX(N937-_xlfn.XLOOKUP(P937,Data!A:A,Data!F:F),8)),_xlfn.CONCAT(MID(_xlpm.big,7,2),MID(_xlpm.big,5,2),MID(_xlpm.big,3,2),MID(_xlpm.big,1,2)))</f>
        <v>FEFFFFFF</v>
      </c>
      <c r="L937" s="2">
        <f t="shared" si="57"/>
        <v>0</v>
      </c>
      <c r="M937" s="2">
        <f t="shared" si="58"/>
        <v>0</v>
      </c>
      <c r="N937" s="2">
        <f t="shared" si="59"/>
        <v>0</v>
      </c>
      <c r="O937" s="2" cm="1">
        <f t="array" ref="O937">_xlfn.IFS(M937&lt;Data!$F$3,0,M937&lt;Data!$F$4,1,TRUE,2)</f>
        <v>0</v>
      </c>
      <c r="P937" s="2" cm="1">
        <f t="array" ref="P937">_xlfn.IFS(H937,3,N937&lt;Data!$F$3,0,N937&lt;Data!$F$4,1,TRUE,2)</f>
        <v>0</v>
      </c>
    </row>
    <row r="938" spans="4:16">
      <c r="E938" s="16"/>
      <c r="G938" s="2" t="str" cm="1">
        <f t="array" ref="G938">_xlfn.CONCAT(IFERROR(I938:K938,""))</f>
        <v>0203000000000000</v>
      </c>
      <c r="H938" s="2" t="b">
        <v>1</v>
      </c>
      <c r="I938" s="2" t="e">
        <f>_xlfn.LET(_xlpm.big,DEC2HEX(_xlfn.BITLSHIFT(M938-_xlfn.XLOOKUP(O938,Data!A:A,Data!F:F),4)+O938,8),_xlfn.CONCAT(MID(_xlpm.big,7,2),MID(_xlpm.big,5,2),MID(_xlpm.big,3,2),MID(_xlpm.big,1,2)))</f>
        <v>#NUM!</v>
      </c>
      <c r="J938" s="2" t="str">
        <f t="shared" si="56"/>
        <v>02030000</v>
      </c>
      <c r="K938" s="2" t="str">
        <f>_xlfn.LET(_xlpm.big,IF(H938,DEC2HEX(HEX2DEC(F938),8),DEC2HEX(N938-_xlfn.XLOOKUP(P938,Data!A:A,Data!F:F),8)),_xlfn.CONCAT(MID(_xlpm.big,7,2),MID(_xlpm.big,5,2),MID(_xlpm.big,3,2),MID(_xlpm.big,1,2)))</f>
        <v>00000000</v>
      </c>
      <c r="L938" s="2">
        <f t="shared" si="57"/>
        <v>0</v>
      </c>
      <c r="M938" s="2">
        <f t="shared" si="58"/>
        <v>0</v>
      </c>
      <c r="N938" s="2">
        <f t="shared" si="59"/>
        <v>0</v>
      </c>
      <c r="O938" s="2" cm="1">
        <f t="array" ref="O938">_xlfn.IFS(M938&lt;Data!$F$3,0,M938&lt;Data!$F$4,1,TRUE,2)</f>
        <v>0</v>
      </c>
      <c r="P938" s="2" cm="1">
        <f t="array" ref="P938">_xlfn.IFS(H938,3,N938&lt;Data!$F$3,0,N938&lt;Data!$F$4,1,TRUE,2)</f>
        <v>3</v>
      </c>
    </row>
    <row r="939" spans="4:16">
      <c r="D939" s="3"/>
      <c r="E939" s="3"/>
      <c r="F939" s="3"/>
      <c r="G939" s="2" t="str" cm="1">
        <f t="array" ref="G939">_xlfn.CONCAT(IFERROR(I939:K939,""))</f>
        <v>02000000FEFFFFFF</v>
      </c>
      <c r="I939" s="2" t="e">
        <f>_xlfn.LET(_xlpm.big,DEC2HEX(_xlfn.BITLSHIFT(M939-_xlfn.XLOOKUP(O939,Data!A:A,Data!F:F),4)+O939,8),_xlfn.CONCAT(MID(_xlpm.big,7,2),MID(_xlpm.big,5,2),MID(_xlpm.big,3,2),MID(_xlpm.big,1,2)))</f>
        <v>#NUM!</v>
      </c>
      <c r="J939" s="2" t="str">
        <f t="shared" si="56"/>
        <v>02000000</v>
      </c>
      <c r="K939" s="2" t="str">
        <f>_xlfn.LET(_xlpm.big,IF(H939,DEC2HEX(HEX2DEC(F939),8),DEC2HEX(N939-_xlfn.XLOOKUP(P939,Data!A:A,Data!F:F),8)),_xlfn.CONCAT(MID(_xlpm.big,7,2),MID(_xlpm.big,5,2),MID(_xlpm.big,3,2),MID(_xlpm.big,1,2)))</f>
        <v>FEFFFFFF</v>
      </c>
      <c r="L939" s="2">
        <f t="shared" si="57"/>
        <v>0</v>
      </c>
      <c r="M939" s="2">
        <f t="shared" si="58"/>
        <v>0</v>
      </c>
      <c r="N939" s="2">
        <f t="shared" si="59"/>
        <v>0</v>
      </c>
      <c r="O939" s="2" cm="1">
        <f t="array" ref="O939">_xlfn.IFS(M939&lt;Data!$F$3,0,M939&lt;Data!$F$4,1,TRUE,2)</f>
        <v>0</v>
      </c>
      <c r="P939" s="2" cm="1">
        <f t="array" ref="P939">_xlfn.IFS(H939,3,N939&lt;Data!$F$3,0,N939&lt;Data!$F$4,1,TRUE,2)</f>
        <v>0</v>
      </c>
    </row>
    <row r="940" spans="4:16">
      <c r="G940" s="2" t="str" cm="1">
        <f t="array" ref="G940">_xlfn.CONCAT(IFERROR(I940:K940,""))</f>
        <v>02000000FEFFFFFF</v>
      </c>
      <c r="I940" s="2" t="e">
        <f>_xlfn.LET(_xlpm.big,DEC2HEX(_xlfn.BITLSHIFT(M940-_xlfn.XLOOKUP(O940,Data!A:A,Data!F:F),4)+O940,8),_xlfn.CONCAT(MID(_xlpm.big,7,2),MID(_xlpm.big,5,2),MID(_xlpm.big,3,2),MID(_xlpm.big,1,2)))</f>
        <v>#NUM!</v>
      </c>
      <c r="J940" s="2" t="str">
        <f t="shared" si="56"/>
        <v>02000000</v>
      </c>
      <c r="K940" s="2" t="str">
        <f>_xlfn.LET(_xlpm.big,IF(H940,DEC2HEX(HEX2DEC(F940),8),DEC2HEX(N940-_xlfn.XLOOKUP(P940,Data!A:A,Data!F:F),8)),_xlfn.CONCAT(MID(_xlpm.big,7,2),MID(_xlpm.big,5,2),MID(_xlpm.big,3,2),MID(_xlpm.big,1,2)))</f>
        <v>FEFFFFFF</v>
      </c>
      <c r="L940" s="2">
        <f t="shared" si="57"/>
        <v>0</v>
      </c>
      <c r="M940" s="2">
        <f t="shared" si="58"/>
        <v>0</v>
      </c>
      <c r="N940" s="2">
        <f t="shared" si="59"/>
        <v>0</v>
      </c>
      <c r="O940" s="2" cm="1">
        <f t="array" ref="O940">_xlfn.IFS(M940&lt;Data!$F$3,0,M940&lt;Data!$F$4,1,TRUE,2)</f>
        <v>0</v>
      </c>
      <c r="P940" s="2" cm="1">
        <f t="array" ref="P940">_xlfn.IFS(H940,3,N940&lt;Data!$F$3,0,N940&lt;Data!$F$4,1,TRUE,2)</f>
        <v>0</v>
      </c>
    </row>
    <row r="941" spans="4:16">
      <c r="E941" s="16"/>
      <c r="G941" s="2" t="str" cm="1">
        <f t="array" ref="G941">_xlfn.CONCAT(IFERROR(I941:K941,""))</f>
        <v>02000000FEFFFFFF</v>
      </c>
      <c r="I941" s="2" t="e">
        <f>_xlfn.LET(_xlpm.big,DEC2HEX(_xlfn.BITLSHIFT(M941-_xlfn.XLOOKUP(O941,Data!A:A,Data!F:F),4)+O941,8),_xlfn.CONCAT(MID(_xlpm.big,7,2),MID(_xlpm.big,5,2),MID(_xlpm.big,3,2),MID(_xlpm.big,1,2)))</f>
        <v>#NUM!</v>
      </c>
      <c r="J941" s="2" t="str">
        <f t="shared" si="56"/>
        <v>02000000</v>
      </c>
      <c r="K941" s="2" t="str">
        <f>_xlfn.LET(_xlpm.big,IF(H941,DEC2HEX(HEX2DEC(F941),8),DEC2HEX(N941-_xlfn.XLOOKUP(P941,Data!A:A,Data!F:F),8)),_xlfn.CONCAT(MID(_xlpm.big,7,2),MID(_xlpm.big,5,2),MID(_xlpm.big,3,2),MID(_xlpm.big,1,2)))</f>
        <v>FEFFFFFF</v>
      </c>
      <c r="L941" s="2">
        <f t="shared" si="57"/>
        <v>0</v>
      </c>
      <c r="M941" s="2">
        <f t="shared" si="58"/>
        <v>0</v>
      </c>
      <c r="N941" s="2">
        <f t="shared" si="59"/>
        <v>0</v>
      </c>
      <c r="O941" s="2" cm="1">
        <f t="array" ref="O941">_xlfn.IFS(M941&lt;Data!$F$3,0,M941&lt;Data!$F$4,1,TRUE,2)</f>
        <v>0</v>
      </c>
      <c r="P941" s="2" cm="1">
        <f t="array" ref="P941">_xlfn.IFS(H941,3,N941&lt;Data!$F$3,0,N941&lt;Data!$F$4,1,TRUE,2)</f>
        <v>0</v>
      </c>
    </row>
    <row r="942" spans="4:16">
      <c r="G942" s="2" t="str" cm="1">
        <f t="array" ref="G942">_xlfn.CONCAT(IFERROR(I942:K942,""))</f>
        <v>02000000FEFFFFFF</v>
      </c>
      <c r="I942" s="2" t="e">
        <f>_xlfn.LET(_xlpm.big,DEC2HEX(_xlfn.BITLSHIFT(M942-_xlfn.XLOOKUP(O942,Data!A:A,Data!F:F),4)+O942,8),_xlfn.CONCAT(MID(_xlpm.big,7,2),MID(_xlpm.big,5,2),MID(_xlpm.big,3,2),MID(_xlpm.big,1,2)))</f>
        <v>#NUM!</v>
      </c>
      <c r="J942" s="2" t="str">
        <f t="shared" si="56"/>
        <v>02000000</v>
      </c>
      <c r="K942" s="2" t="str">
        <f>_xlfn.LET(_xlpm.big,IF(H942,DEC2HEX(HEX2DEC(F942),8),DEC2HEX(N942-_xlfn.XLOOKUP(P942,Data!A:A,Data!F:F),8)),_xlfn.CONCAT(MID(_xlpm.big,7,2),MID(_xlpm.big,5,2),MID(_xlpm.big,3,2),MID(_xlpm.big,1,2)))</f>
        <v>FEFFFFFF</v>
      </c>
      <c r="L942" s="2">
        <f t="shared" si="57"/>
        <v>0</v>
      </c>
      <c r="M942" s="2">
        <f t="shared" si="58"/>
        <v>0</v>
      </c>
      <c r="N942" s="2">
        <f t="shared" si="59"/>
        <v>0</v>
      </c>
      <c r="O942" s="2" cm="1">
        <f t="array" ref="O942">_xlfn.IFS(M942&lt;Data!$F$3,0,M942&lt;Data!$F$4,1,TRUE,2)</f>
        <v>0</v>
      </c>
      <c r="P942" s="2" cm="1">
        <f t="array" ref="P942">_xlfn.IFS(H942,3,N942&lt;Data!$F$3,0,N942&lt;Data!$F$4,1,TRUE,2)</f>
        <v>0</v>
      </c>
    </row>
    <row r="943" spans="4:16">
      <c r="D943" s="3"/>
      <c r="E943" s="3"/>
      <c r="F943" s="3"/>
      <c r="G943" s="2" t="str" cm="1">
        <f t="array" ref="G943">_xlfn.CONCAT(IFERROR(I943:K943,""))</f>
        <v>02000000FEFFFFFF</v>
      </c>
      <c r="I943" s="2" t="e">
        <f>_xlfn.LET(_xlpm.big,DEC2HEX(_xlfn.BITLSHIFT(M943-_xlfn.XLOOKUP(O943,Data!A:A,Data!F:F),4)+O943,8),_xlfn.CONCAT(MID(_xlpm.big,7,2),MID(_xlpm.big,5,2),MID(_xlpm.big,3,2),MID(_xlpm.big,1,2)))</f>
        <v>#NUM!</v>
      </c>
      <c r="J943" s="2" t="str">
        <f t="shared" si="56"/>
        <v>02000000</v>
      </c>
      <c r="K943" s="2" t="str">
        <f>_xlfn.LET(_xlpm.big,IF(H943,DEC2HEX(HEX2DEC(F943),8),DEC2HEX(N943-_xlfn.XLOOKUP(P943,Data!A:A,Data!F:F),8)),_xlfn.CONCAT(MID(_xlpm.big,7,2),MID(_xlpm.big,5,2),MID(_xlpm.big,3,2),MID(_xlpm.big,1,2)))</f>
        <v>FEFFFFFF</v>
      </c>
      <c r="L943" s="2">
        <f t="shared" si="57"/>
        <v>0</v>
      </c>
      <c r="M943" s="2">
        <f t="shared" si="58"/>
        <v>0</v>
      </c>
      <c r="N943" s="2">
        <f t="shared" si="59"/>
        <v>0</v>
      </c>
      <c r="O943" s="2" cm="1">
        <f t="array" ref="O943">_xlfn.IFS(M943&lt;Data!$F$3,0,M943&lt;Data!$F$4,1,TRUE,2)</f>
        <v>0</v>
      </c>
      <c r="P943" s="2" cm="1">
        <f t="array" ref="P943">_xlfn.IFS(H943,3,N943&lt;Data!$F$3,0,N943&lt;Data!$F$4,1,TRUE,2)</f>
        <v>0</v>
      </c>
    </row>
    <row r="944" spans="4:16">
      <c r="G944" s="2" t="str" cm="1">
        <f t="array" ref="G944">_xlfn.CONCAT(IFERROR(I944:K944,""))</f>
        <v>02000000FEFFFFFF</v>
      </c>
      <c r="I944" s="2" t="e">
        <f>_xlfn.LET(_xlpm.big,DEC2HEX(_xlfn.BITLSHIFT(M944-_xlfn.XLOOKUP(O944,Data!A:A,Data!F:F),4)+O944,8),_xlfn.CONCAT(MID(_xlpm.big,7,2),MID(_xlpm.big,5,2),MID(_xlpm.big,3,2),MID(_xlpm.big,1,2)))</f>
        <v>#NUM!</v>
      </c>
      <c r="J944" s="2" t="str">
        <f t="shared" si="56"/>
        <v>02000000</v>
      </c>
      <c r="K944" s="2" t="str">
        <f>_xlfn.LET(_xlpm.big,IF(H944,DEC2HEX(HEX2DEC(F944),8),DEC2HEX(N944-_xlfn.XLOOKUP(P944,Data!A:A,Data!F:F),8)),_xlfn.CONCAT(MID(_xlpm.big,7,2),MID(_xlpm.big,5,2),MID(_xlpm.big,3,2),MID(_xlpm.big,1,2)))</f>
        <v>FEFFFFFF</v>
      </c>
      <c r="L944" s="2">
        <f t="shared" si="57"/>
        <v>0</v>
      </c>
      <c r="M944" s="2">
        <f t="shared" si="58"/>
        <v>0</v>
      </c>
      <c r="N944" s="2">
        <f t="shared" si="59"/>
        <v>0</v>
      </c>
      <c r="O944" s="2" cm="1">
        <f t="array" ref="O944">_xlfn.IFS(M944&lt;Data!$F$3,0,M944&lt;Data!$F$4,1,TRUE,2)</f>
        <v>0</v>
      </c>
      <c r="P944" s="2" cm="1">
        <f t="array" ref="P944">_xlfn.IFS(H944,3,N944&lt;Data!$F$3,0,N944&lt;Data!$F$4,1,TRUE,2)</f>
        <v>0</v>
      </c>
    </row>
    <row r="945" spans="5:16">
      <c r="G945" s="2" t="str" cm="1">
        <f t="array" ref="G945">_xlfn.CONCAT(IFERROR(I945:K945,""))</f>
        <v>02000000FEFFFFFF</v>
      </c>
      <c r="I945" s="2" t="e">
        <f>_xlfn.LET(_xlpm.big,DEC2HEX(_xlfn.BITLSHIFT(M945-_xlfn.XLOOKUP(O945,Data!A:A,Data!F:F),4)+O945,8),_xlfn.CONCAT(MID(_xlpm.big,7,2),MID(_xlpm.big,5,2),MID(_xlpm.big,3,2),MID(_xlpm.big,1,2)))</f>
        <v>#NUM!</v>
      </c>
      <c r="J945" s="2" t="str">
        <f t="shared" si="56"/>
        <v>02000000</v>
      </c>
      <c r="K945" s="2" t="str">
        <f>_xlfn.LET(_xlpm.big,IF(H945,DEC2HEX(HEX2DEC(F945),8),DEC2HEX(N945-_xlfn.XLOOKUP(P945,Data!A:A,Data!F:F),8)),_xlfn.CONCAT(MID(_xlpm.big,7,2),MID(_xlpm.big,5,2),MID(_xlpm.big,3,2),MID(_xlpm.big,1,2)))</f>
        <v>FEFFFFFF</v>
      </c>
      <c r="L945" s="2">
        <f t="shared" si="57"/>
        <v>0</v>
      </c>
      <c r="M945" s="2">
        <f t="shared" si="58"/>
        <v>0</v>
      </c>
      <c r="N945" s="2">
        <f t="shared" si="59"/>
        <v>0</v>
      </c>
      <c r="O945" s="2" cm="1">
        <f t="array" ref="O945">_xlfn.IFS(M945&lt;Data!$F$3,0,M945&lt;Data!$F$4,1,TRUE,2)</f>
        <v>0</v>
      </c>
      <c r="P945" s="2" cm="1">
        <f t="array" ref="P945">_xlfn.IFS(H945,3,N945&lt;Data!$F$3,0,N945&lt;Data!$F$4,1,TRUE,2)</f>
        <v>0</v>
      </c>
    </row>
    <row r="946" spans="5:16">
      <c r="E946" s="16"/>
      <c r="G946" s="2" t="str" cm="1">
        <f t="array" ref="G946">_xlfn.CONCAT(IFERROR(I946:K946,""))</f>
        <v>02000000FEFFFFFF</v>
      </c>
      <c r="I946" s="2" t="e">
        <f>_xlfn.LET(_xlpm.big,DEC2HEX(_xlfn.BITLSHIFT(M946-_xlfn.XLOOKUP(O946,Data!A:A,Data!F:F),4)+O946,8),_xlfn.CONCAT(MID(_xlpm.big,7,2),MID(_xlpm.big,5,2),MID(_xlpm.big,3,2),MID(_xlpm.big,1,2)))</f>
        <v>#NUM!</v>
      </c>
      <c r="J946" s="2" t="str">
        <f t="shared" si="56"/>
        <v>02000000</v>
      </c>
      <c r="K946" s="2" t="str">
        <f>_xlfn.LET(_xlpm.big,IF(H946,DEC2HEX(HEX2DEC(F946),8),DEC2HEX(N946-_xlfn.XLOOKUP(P946,Data!A:A,Data!F:F),8)),_xlfn.CONCAT(MID(_xlpm.big,7,2),MID(_xlpm.big,5,2),MID(_xlpm.big,3,2),MID(_xlpm.big,1,2)))</f>
        <v>FEFFFFFF</v>
      </c>
      <c r="L946" s="2">
        <f t="shared" si="57"/>
        <v>0</v>
      </c>
      <c r="M946" s="2">
        <f t="shared" si="58"/>
        <v>0</v>
      </c>
      <c r="N946" s="2">
        <f t="shared" si="59"/>
        <v>0</v>
      </c>
      <c r="O946" s="2" cm="1">
        <f t="array" ref="O946">_xlfn.IFS(M946&lt;Data!$F$3,0,M946&lt;Data!$F$4,1,TRUE,2)</f>
        <v>0</v>
      </c>
      <c r="P946" s="2" cm="1">
        <f t="array" ref="P946">_xlfn.IFS(H946,3,N946&lt;Data!$F$3,0,N946&lt;Data!$F$4,1,TRUE,2)</f>
        <v>0</v>
      </c>
    </row>
    <row r="947" spans="5:16">
      <c r="G947" s="2" t="str" cm="1">
        <f t="array" ref="G947">_xlfn.CONCAT(IFERROR(I947:K947,""))</f>
        <v>02000000FEFFFFFF</v>
      </c>
      <c r="I947" s="2" t="e">
        <f>_xlfn.LET(_xlpm.big,DEC2HEX(_xlfn.BITLSHIFT(M947-_xlfn.XLOOKUP(O947,Data!A:A,Data!F:F),4)+O947,8),_xlfn.CONCAT(MID(_xlpm.big,7,2),MID(_xlpm.big,5,2),MID(_xlpm.big,3,2),MID(_xlpm.big,1,2)))</f>
        <v>#NUM!</v>
      </c>
      <c r="J947" s="2" t="str">
        <f t="shared" si="56"/>
        <v>02000000</v>
      </c>
      <c r="K947" s="2" t="str">
        <f>_xlfn.LET(_xlpm.big,IF(H947,DEC2HEX(HEX2DEC(F947),8),DEC2HEX(N947-_xlfn.XLOOKUP(P947,Data!A:A,Data!F:F),8)),_xlfn.CONCAT(MID(_xlpm.big,7,2),MID(_xlpm.big,5,2),MID(_xlpm.big,3,2),MID(_xlpm.big,1,2)))</f>
        <v>FEFFFFFF</v>
      </c>
      <c r="L947" s="2">
        <f t="shared" si="57"/>
        <v>0</v>
      </c>
      <c r="M947" s="2">
        <f t="shared" si="58"/>
        <v>0</v>
      </c>
      <c r="N947" s="2">
        <f t="shared" si="59"/>
        <v>0</v>
      </c>
      <c r="O947" s="2" cm="1">
        <f t="array" ref="O947">_xlfn.IFS(M947&lt;Data!$F$3,0,M947&lt;Data!$F$4,1,TRUE,2)</f>
        <v>0</v>
      </c>
      <c r="P947" s="2" cm="1">
        <f t="array" ref="P947">_xlfn.IFS(H947,3,N947&lt;Data!$F$3,0,N947&lt;Data!$F$4,1,TRUE,2)</f>
        <v>0</v>
      </c>
    </row>
    <row r="948" spans="5:16">
      <c r="G948" s="2" t="str" cm="1">
        <f t="array" ref="G948">_xlfn.CONCAT(IFERROR(I948:K948,""))</f>
        <v>02000000FEFFFFFF</v>
      </c>
      <c r="I948" s="2" t="e">
        <f>_xlfn.LET(_xlpm.big,DEC2HEX(_xlfn.BITLSHIFT(M948-_xlfn.XLOOKUP(O948,Data!A:A,Data!F:F),4)+O948,8),_xlfn.CONCAT(MID(_xlpm.big,7,2),MID(_xlpm.big,5,2),MID(_xlpm.big,3,2),MID(_xlpm.big,1,2)))</f>
        <v>#NUM!</v>
      </c>
      <c r="J948" s="2" t="str">
        <f t="shared" si="56"/>
        <v>02000000</v>
      </c>
      <c r="K948" s="2" t="str">
        <f>_xlfn.LET(_xlpm.big,IF(H948,DEC2HEX(HEX2DEC(F948),8),DEC2HEX(N948-_xlfn.XLOOKUP(P948,Data!A:A,Data!F:F),8)),_xlfn.CONCAT(MID(_xlpm.big,7,2),MID(_xlpm.big,5,2),MID(_xlpm.big,3,2),MID(_xlpm.big,1,2)))</f>
        <v>FEFFFFFF</v>
      </c>
      <c r="L948" s="2">
        <f t="shared" si="57"/>
        <v>0</v>
      </c>
      <c r="M948" s="2">
        <f t="shared" si="58"/>
        <v>0</v>
      </c>
      <c r="N948" s="2">
        <f t="shared" si="59"/>
        <v>0</v>
      </c>
      <c r="O948" s="2" cm="1">
        <f t="array" ref="O948">_xlfn.IFS(M948&lt;Data!$F$3,0,M948&lt;Data!$F$4,1,TRUE,2)</f>
        <v>0</v>
      </c>
      <c r="P948" s="2" cm="1">
        <f t="array" ref="P948">_xlfn.IFS(H948,3,N948&lt;Data!$F$3,0,N948&lt;Data!$F$4,1,TRUE,2)</f>
        <v>0</v>
      </c>
    </row>
    <row r="949" spans="5:16">
      <c r="G949" s="2" t="str" cm="1">
        <f t="array" ref="G949">_xlfn.CONCAT(IFERROR(I949:K949,""))</f>
        <v>02000000FEFFFFFF</v>
      </c>
      <c r="I949" s="2" t="e">
        <f>_xlfn.LET(_xlpm.big,DEC2HEX(_xlfn.BITLSHIFT(M949-_xlfn.XLOOKUP(O949,Data!A:A,Data!F:F),4)+O949,8),_xlfn.CONCAT(MID(_xlpm.big,7,2),MID(_xlpm.big,5,2),MID(_xlpm.big,3,2),MID(_xlpm.big,1,2)))</f>
        <v>#NUM!</v>
      </c>
      <c r="J949" s="2" t="str">
        <f t="shared" si="56"/>
        <v>02000000</v>
      </c>
      <c r="K949" s="2" t="str">
        <f>_xlfn.LET(_xlpm.big,IF(H949,DEC2HEX(HEX2DEC(F949),8),DEC2HEX(N949-_xlfn.XLOOKUP(P949,Data!A:A,Data!F:F),8)),_xlfn.CONCAT(MID(_xlpm.big,7,2),MID(_xlpm.big,5,2),MID(_xlpm.big,3,2),MID(_xlpm.big,1,2)))</f>
        <v>FEFFFFFF</v>
      </c>
      <c r="L949" s="2">
        <f t="shared" si="57"/>
        <v>0</v>
      </c>
      <c r="M949" s="2">
        <f t="shared" si="58"/>
        <v>0</v>
      </c>
      <c r="N949" s="2">
        <f t="shared" si="59"/>
        <v>0</v>
      </c>
      <c r="O949" s="2" cm="1">
        <f t="array" ref="O949">_xlfn.IFS(M949&lt;Data!$F$3,0,M949&lt;Data!$F$4,1,TRUE,2)</f>
        <v>0</v>
      </c>
      <c r="P949" s="2" cm="1">
        <f t="array" ref="P949">_xlfn.IFS(H949,3,N949&lt;Data!$F$3,0,N949&lt;Data!$F$4,1,TRUE,2)</f>
        <v>0</v>
      </c>
    </row>
    <row r="950" spans="5:16">
      <c r="G950" s="2" t="str" cm="1">
        <f t="array" ref="G950">_xlfn.CONCAT(IFERROR(I950:K950,""))</f>
        <v>02000000FEFFFFFF</v>
      </c>
      <c r="I950" s="2" t="e">
        <f>_xlfn.LET(_xlpm.big,DEC2HEX(_xlfn.BITLSHIFT(M950-_xlfn.XLOOKUP(O950,Data!A:A,Data!F:F),4)+O950,8),_xlfn.CONCAT(MID(_xlpm.big,7,2),MID(_xlpm.big,5,2),MID(_xlpm.big,3,2),MID(_xlpm.big,1,2)))</f>
        <v>#NUM!</v>
      </c>
      <c r="J950" s="2" t="str">
        <f t="shared" si="56"/>
        <v>02000000</v>
      </c>
      <c r="K950" s="2" t="str">
        <f>_xlfn.LET(_xlpm.big,IF(H950,DEC2HEX(HEX2DEC(F950),8),DEC2HEX(N950-_xlfn.XLOOKUP(P950,Data!A:A,Data!F:F),8)),_xlfn.CONCAT(MID(_xlpm.big,7,2),MID(_xlpm.big,5,2),MID(_xlpm.big,3,2),MID(_xlpm.big,1,2)))</f>
        <v>FEFFFFFF</v>
      </c>
      <c r="L950" s="2">
        <f t="shared" si="57"/>
        <v>0</v>
      </c>
      <c r="M950" s="2">
        <f t="shared" si="58"/>
        <v>0</v>
      </c>
      <c r="N950" s="2">
        <f t="shared" si="59"/>
        <v>0</v>
      </c>
      <c r="O950" s="2" cm="1">
        <f t="array" ref="O950">_xlfn.IFS(M950&lt;Data!$F$3,0,M950&lt;Data!$F$4,1,TRUE,2)</f>
        <v>0</v>
      </c>
      <c r="P950" s="2" cm="1">
        <f t="array" ref="P950">_xlfn.IFS(H950,3,N950&lt;Data!$F$3,0,N950&lt;Data!$F$4,1,TRUE,2)</f>
        <v>0</v>
      </c>
    </row>
    <row r="951" spans="5:16">
      <c r="G951" s="2" t="str" cm="1">
        <f t="array" ref="G951">_xlfn.CONCAT(IFERROR(I951:K951,""))</f>
        <v>02000000FEFFFFFF</v>
      </c>
      <c r="I951" s="2" t="e">
        <f>_xlfn.LET(_xlpm.big,DEC2HEX(_xlfn.BITLSHIFT(M951-_xlfn.XLOOKUP(O951,Data!A:A,Data!F:F),4)+O951,8),_xlfn.CONCAT(MID(_xlpm.big,7,2),MID(_xlpm.big,5,2),MID(_xlpm.big,3,2),MID(_xlpm.big,1,2)))</f>
        <v>#NUM!</v>
      </c>
      <c r="J951" s="2" t="str">
        <f t="shared" si="56"/>
        <v>02000000</v>
      </c>
      <c r="K951" s="2" t="str">
        <f>_xlfn.LET(_xlpm.big,IF(H951,DEC2HEX(HEX2DEC(F951),8),DEC2HEX(N951-_xlfn.XLOOKUP(P951,Data!A:A,Data!F:F),8)),_xlfn.CONCAT(MID(_xlpm.big,7,2),MID(_xlpm.big,5,2),MID(_xlpm.big,3,2),MID(_xlpm.big,1,2)))</f>
        <v>FEFFFFFF</v>
      </c>
      <c r="L951" s="2">
        <f t="shared" si="57"/>
        <v>0</v>
      </c>
      <c r="M951" s="2">
        <f t="shared" si="58"/>
        <v>0</v>
      </c>
      <c r="N951" s="2">
        <f t="shared" si="59"/>
        <v>0</v>
      </c>
      <c r="O951" s="2" cm="1">
        <f t="array" ref="O951">_xlfn.IFS(M951&lt;Data!$F$3,0,M951&lt;Data!$F$4,1,TRUE,2)</f>
        <v>0</v>
      </c>
      <c r="P951" s="2" cm="1">
        <f t="array" ref="P951">_xlfn.IFS(H951,3,N951&lt;Data!$F$3,0,N951&lt;Data!$F$4,1,TRUE,2)</f>
        <v>0</v>
      </c>
    </row>
    <row r="952" spans="5:16">
      <c r="G952" s="2" t="str" cm="1">
        <f t="array" ref="G952">_xlfn.CONCAT(IFERROR(I952:K952,""))</f>
        <v>02000000FEFFFFFF</v>
      </c>
      <c r="I952" s="2" t="e">
        <f>_xlfn.LET(_xlpm.big,DEC2HEX(_xlfn.BITLSHIFT(M952-_xlfn.XLOOKUP(O952,Data!A:A,Data!F:F),4)+O952,8),_xlfn.CONCAT(MID(_xlpm.big,7,2),MID(_xlpm.big,5,2),MID(_xlpm.big,3,2),MID(_xlpm.big,1,2)))</f>
        <v>#NUM!</v>
      </c>
      <c r="J952" s="2" t="str">
        <f t="shared" si="56"/>
        <v>02000000</v>
      </c>
      <c r="K952" s="2" t="str">
        <f>_xlfn.LET(_xlpm.big,IF(H952,DEC2HEX(HEX2DEC(F952),8),DEC2HEX(N952-_xlfn.XLOOKUP(P952,Data!A:A,Data!F:F),8)),_xlfn.CONCAT(MID(_xlpm.big,7,2),MID(_xlpm.big,5,2),MID(_xlpm.big,3,2),MID(_xlpm.big,1,2)))</f>
        <v>FEFFFFFF</v>
      </c>
      <c r="L952" s="2">
        <f t="shared" si="57"/>
        <v>0</v>
      </c>
      <c r="M952" s="2">
        <f t="shared" si="58"/>
        <v>0</v>
      </c>
      <c r="N952" s="2">
        <f t="shared" si="59"/>
        <v>0</v>
      </c>
      <c r="O952" s="2" cm="1">
        <f t="array" ref="O952">_xlfn.IFS(M952&lt;Data!$F$3,0,M952&lt;Data!$F$4,1,TRUE,2)</f>
        <v>0</v>
      </c>
      <c r="P952" s="2" cm="1">
        <f t="array" ref="P952">_xlfn.IFS(H952,3,N952&lt;Data!$F$3,0,N952&lt;Data!$F$4,1,TRUE,2)</f>
        <v>0</v>
      </c>
    </row>
    <row r="953" spans="5:16">
      <c r="G953" s="2" t="str" cm="1">
        <f t="array" ref="G953">_xlfn.CONCAT(IFERROR(I953:K953,""))</f>
        <v>02000000FEFFFFFF</v>
      </c>
      <c r="I953" s="2" t="e">
        <f>_xlfn.LET(_xlpm.big,DEC2HEX(_xlfn.BITLSHIFT(M953-_xlfn.XLOOKUP(O953,Data!A:A,Data!F:F),4)+O953,8),_xlfn.CONCAT(MID(_xlpm.big,7,2),MID(_xlpm.big,5,2),MID(_xlpm.big,3,2),MID(_xlpm.big,1,2)))</f>
        <v>#NUM!</v>
      </c>
      <c r="J953" s="2" t="str">
        <f t="shared" si="56"/>
        <v>02000000</v>
      </c>
      <c r="K953" s="2" t="str">
        <f>_xlfn.LET(_xlpm.big,IF(H953,DEC2HEX(HEX2DEC(F953),8),DEC2HEX(N953-_xlfn.XLOOKUP(P953,Data!A:A,Data!F:F),8)),_xlfn.CONCAT(MID(_xlpm.big,7,2),MID(_xlpm.big,5,2),MID(_xlpm.big,3,2),MID(_xlpm.big,1,2)))</f>
        <v>FEFFFFFF</v>
      </c>
      <c r="L953" s="2">
        <f t="shared" si="57"/>
        <v>0</v>
      </c>
      <c r="M953" s="2">
        <f t="shared" si="58"/>
        <v>0</v>
      </c>
      <c r="N953" s="2">
        <f t="shared" si="59"/>
        <v>0</v>
      </c>
      <c r="O953" s="2" cm="1">
        <f t="array" ref="O953">_xlfn.IFS(M953&lt;Data!$F$3,0,M953&lt;Data!$F$4,1,TRUE,2)</f>
        <v>0</v>
      </c>
      <c r="P953" s="2" cm="1">
        <f t="array" ref="P953">_xlfn.IFS(H953,3,N953&lt;Data!$F$3,0,N953&lt;Data!$F$4,1,TRUE,2)</f>
        <v>0</v>
      </c>
    </row>
    <row r="954" spans="5:16">
      <c r="G954" s="2" t="str" cm="1">
        <f t="array" ref="G954">_xlfn.CONCAT(IFERROR(I954:K954,""))</f>
        <v>02000000FEFFFFFF</v>
      </c>
      <c r="I954" s="2" t="e">
        <f>_xlfn.LET(_xlpm.big,DEC2HEX(_xlfn.BITLSHIFT(M954-_xlfn.XLOOKUP(O954,Data!A:A,Data!F:F),4)+O954,8),_xlfn.CONCAT(MID(_xlpm.big,7,2),MID(_xlpm.big,5,2),MID(_xlpm.big,3,2),MID(_xlpm.big,1,2)))</f>
        <v>#NUM!</v>
      </c>
      <c r="J954" s="2" t="str">
        <f t="shared" si="56"/>
        <v>02000000</v>
      </c>
      <c r="K954" s="2" t="str">
        <f>_xlfn.LET(_xlpm.big,IF(H954,DEC2HEX(HEX2DEC(F954),8),DEC2HEX(N954-_xlfn.XLOOKUP(P954,Data!A:A,Data!F:F),8)),_xlfn.CONCAT(MID(_xlpm.big,7,2),MID(_xlpm.big,5,2),MID(_xlpm.big,3,2),MID(_xlpm.big,1,2)))</f>
        <v>FEFFFFFF</v>
      </c>
      <c r="L954" s="2">
        <f t="shared" si="57"/>
        <v>0</v>
      </c>
      <c r="M954" s="2">
        <f t="shared" si="58"/>
        <v>0</v>
      </c>
      <c r="N954" s="2">
        <f t="shared" si="59"/>
        <v>0</v>
      </c>
      <c r="O954" s="2" cm="1">
        <f t="array" ref="O954">_xlfn.IFS(M954&lt;Data!$F$3,0,M954&lt;Data!$F$4,1,TRUE,2)</f>
        <v>0</v>
      </c>
      <c r="P954" s="2" cm="1">
        <f t="array" ref="P954">_xlfn.IFS(H954,3,N954&lt;Data!$F$3,0,N954&lt;Data!$F$4,1,TRUE,2)</f>
        <v>0</v>
      </c>
    </row>
    <row r="955" spans="5:16">
      <c r="E955" s="16"/>
      <c r="F955" s="3"/>
      <c r="G955" s="2" t="str" cm="1">
        <f t="array" ref="G955">_xlfn.CONCAT(IFERROR(I955:K955,""))</f>
        <v>02000000FEFFFFFF</v>
      </c>
      <c r="I955" s="2" t="e">
        <f>_xlfn.LET(_xlpm.big,DEC2HEX(_xlfn.BITLSHIFT(M955-_xlfn.XLOOKUP(O955,Data!A:A,Data!F:F),4)+O955,8),_xlfn.CONCAT(MID(_xlpm.big,7,2),MID(_xlpm.big,5,2),MID(_xlpm.big,3,2),MID(_xlpm.big,1,2)))</f>
        <v>#NUM!</v>
      </c>
      <c r="J955" s="2" t="str">
        <f t="shared" si="56"/>
        <v>02000000</v>
      </c>
      <c r="K955" s="2" t="str">
        <f>_xlfn.LET(_xlpm.big,IF(H955,DEC2HEX(HEX2DEC(F955),8),DEC2HEX(N955-_xlfn.XLOOKUP(P955,Data!A:A,Data!F:F),8)),_xlfn.CONCAT(MID(_xlpm.big,7,2),MID(_xlpm.big,5,2),MID(_xlpm.big,3,2),MID(_xlpm.big,1,2)))</f>
        <v>FEFFFFFF</v>
      </c>
      <c r="L955" s="2">
        <f t="shared" si="57"/>
        <v>0</v>
      </c>
      <c r="M955" s="2">
        <f t="shared" si="58"/>
        <v>0</v>
      </c>
      <c r="N955" s="2">
        <f t="shared" si="59"/>
        <v>0</v>
      </c>
      <c r="O955" s="2" cm="1">
        <f t="array" ref="O955">_xlfn.IFS(M955&lt;Data!$F$3,0,M955&lt;Data!$F$4,1,TRUE,2)</f>
        <v>0</v>
      </c>
      <c r="P955" s="2" cm="1">
        <f t="array" ref="P955">_xlfn.IFS(H955,3,N955&lt;Data!$F$3,0,N955&lt;Data!$F$4,1,TRUE,2)</f>
        <v>0</v>
      </c>
    </row>
    <row r="956" spans="5:16">
      <c r="E956" s="16"/>
      <c r="G956" s="2" t="str" cm="1">
        <f t="array" ref="G956">_xlfn.CONCAT(IFERROR(I956:K956,""))</f>
        <v>02000000FEFFFFFF</v>
      </c>
      <c r="I956" s="2" t="e">
        <f>_xlfn.LET(_xlpm.big,DEC2HEX(_xlfn.BITLSHIFT(M956-_xlfn.XLOOKUP(O956,Data!A:A,Data!F:F),4)+O956,8),_xlfn.CONCAT(MID(_xlpm.big,7,2),MID(_xlpm.big,5,2),MID(_xlpm.big,3,2),MID(_xlpm.big,1,2)))</f>
        <v>#NUM!</v>
      </c>
      <c r="J956" s="2" t="str">
        <f t="shared" si="56"/>
        <v>02000000</v>
      </c>
      <c r="K956" s="2" t="str">
        <f>_xlfn.LET(_xlpm.big,IF(H956,DEC2HEX(HEX2DEC(F956),8),DEC2HEX(N956-_xlfn.XLOOKUP(P956,Data!A:A,Data!F:F),8)),_xlfn.CONCAT(MID(_xlpm.big,7,2),MID(_xlpm.big,5,2),MID(_xlpm.big,3,2),MID(_xlpm.big,1,2)))</f>
        <v>FEFFFFFF</v>
      </c>
      <c r="L956" s="2">
        <f t="shared" si="57"/>
        <v>0</v>
      </c>
      <c r="M956" s="2">
        <f t="shared" si="58"/>
        <v>0</v>
      </c>
      <c r="N956" s="2">
        <f t="shared" si="59"/>
        <v>0</v>
      </c>
      <c r="O956" s="2" cm="1">
        <f t="array" ref="O956">_xlfn.IFS(M956&lt;Data!$F$3,0,M956&lt;Data!$F$4,1,TRUE,2)</f>
        <v>0</v>
      </c>
      <c r="P956" s="2" cm="1">
        <f t="array" ref="P956">_xlfn.IFS(H956,3,N956&lt;Data!$F$3,0,N956&lt;Data!$F$4,1,TRUE,2)</f>
        <v>0</v>
      </c>
    </row>
    <row r="957" spans="5:16">
      <c r="E957" s="16"/>
      <c r="G957" s="2" t="str" cm="1">
        <f t="array" ref="G957">_xlfn.CONCAT(IFERROR(I957:K957,""))</f>
        <v>02000000FEFFFFFF</v>
      </c>
      <c r="I957" s="2" t="e">
        <f>_xlfn.LET(_xlpm.big,DEC2HEX(_xlfn.BITLSHIFT(M957-_xlfn.XLOOKUP(O957,Data!A:A,Data!F:F),4)+O957,8),_xlfn.CONCAT(MID(_xlpm.big,7,2),MID(_xlpm.big,5,2),MID(_xlpm.big,3,2),MID(_xlpm.big,1,2)))</f>
        <v>#NUM!</v>
      </c>
      <c r="J957" s="2" t="str">
        <f t="shared" si="56"/>
        <v>02000000</v>
      </c>
      <c r="K957" s="2" t="str">
        <f>_xlfn.LET(_xlpm.big,IF(H957,DEC2HEX(HEX2DEC(F957),8),DEC2HEX(N957-_xlfn.XLOOKUP(P957,Data!A:A,Data!F:F),8)),_xlfn.CONCAT(MID(_xlpm.big,7,2),MID(_xlpm.big,5,2),MID(_xlpm.big,3,2),MID(_xlpm.big,1,2)))</f>
        <v>FEFFFFFF</v>
      </c>
      <c r="L957" s="2">
        <f t="shared" si="57"/>
        <v>0</v>
      </c>
      <c r="M957" s="2">
        <f t="shared" si="58"/>
        <v>0</v>
      </c>
      <c r="N957" s="2">
        <f t="shared" si="59"/>
        <v>0</v>
      </c>
      <c r="O957" s="2" cm="1">
        <f t="array" ref="O957">_xlfn.IFS(M957&lt;Data!$F$3,0,M957&lt;Data!$F$4,1,TRUE,2)</f>
        <v>0</v>
      </c>
      <c r="P957" s="2" cm="1">
        <f t="array" ref="P957">_xlfn.IFS(H957,3,N957&lt;Data!$F$3,0,N957&lt;Data!$F$4,1,TRUE,2)</f>
        <v>0</v>
      </c>
    </row>
    <row r="958" spans="5:16">
      <c r="G958" s="2" t="str" cm="1">
        <f t="array" ref="G958">_xlfn.CONCAT(IFERROR(I958:K958,""))</f>
        <v>02000000FEFFFFFF</v>
      </c>
      <c r="I958" s="2" t="e">
        <f>_xlfn.LET(_xlpm.big,DEC2HEX(_xlfn.BITLSHIFT(M958-_xlfn.XLOOKUP(O958,Data!A:A,Data!F:F),4)+O958,8),_xlfn.CONCAT(MID(_xlpm.big,7,2),MID(_xlpm.big,5,2),MID(_xlpm.big,3,2),MID(_xlpm.big,1,2)))</f>
        <v>#NUM!</v>
      </c>
      <c r="J958" s="2" t="str">
        <f t="shared" si="56"/>
        <v>02000000</v>
      </c>
      <c r="K958" s="2" t="str">
        <f>_xlfn.LET(_xlpm.big,IF(H958,DEC2HEX(HEX2DEC(F958),8),DEC2HEX(N958-_xlfn.XLOOKUP(P958,Data!A:A,Data!F:F),8)),_xlfn.CONCAT(MID(_xlpm.big,7,2),MID(_xlpm.big,5,2),MID(_xlpm.big,3,2),MID(_xlpm.big,1,2)))</f>
        <v>FEFFFFFF</v>
      </c>
      <c r="L958" s="2">
        <f t="shared" si="57"/>
        <v>0</v>
      </c>
      <c r="M958" s="2">
        <f t="shared" si="58"/>
        <v>0</v>
      </c>
      <c r="N958" s="2">
        <f t="shared" si="59"/>
        <v>0</v>
      </c>
      <c r="O958" s="2" cm="1">
        <f t="array" ref="O958">_xlfn.IFS(M958&lt;Data!$F$3,0,M958&lt;Data!$F$4,1,TRUE,2)</f>
        <v>0</v>
      </c>
      <c r="P958" s="2" cm="1">
        <f t="array" ref="P958">_xlfn.IFS(H958,3,N958&lt;Data!$F$3,0,N958&lt;Data!$F$4,1,TRUE,2)</f>
        <v>0</v>
      </c>
    </row>
    <row r="959" spans="5:16">
      <c r="G959" s="2" t="str" cm="1">
        <f t="array" ref="G959">_xlfn.CONCAT(IFERROR(I959:K959,""))</f>
        <v>02000000FEFFFFFF</v>
      </c>
      <c r="I959" s="2" t="e">
        <f>_xlfn.LET(_xlpm.big,DEC2HEX(_xlfn.BITLSHIFT(M959-_xlfn.XLOOKUP(O959,Data!A:A,Data!F:F),4)+O959,8),_xlfn.CONCAT(MID(_xlpm.big,7,2),MID(_xlpm.big,5,2),MID(_xlpm.big,3,2),MID(_xlpm.big,1,2)))</f>
        <v>#NUM!</v>
      </c>
      <c r="J959" s="2" t="str">
        <f t="shared" si="56"/>
        <v>02000000</v>
      </c>
      <c r="K959" s="2" t="str">
        <f>_xlfn.LET(_xlpm.big,IF(H959,DEC2HEX(HEX2DEC(F959),8),DEC2HEX(N959-_xlfn.XLOOKUP(P959,Data!A:A,Data!F:F),8)),_xlfn.CONCAT(MID(_xlpm.big,7,2),MID(_xlpm.big,5,2),MID(_xlpm.big,3,2),MID(_xlpm.big,1,2)))</f>
        <v>FEFFFFFF</v>
      </c>
      <c r="L959" s="2">
        <f t="shared" si="57"/>
        <v>0</v>
      </c>
      <c r="M959" s="2">
        <f t="shared" si="58"/>
        <v>0</v>
      </c>
      <c r="N959" s="2">
        <f t="shared" si="59"/>
        <v>0</v>
      </c>
      <c r="O959" s="2" cm="1">
        <f t="array" ref="O959">_xlfn.IFS(M959&lt;Data!$F$3,0,M959&lt;Data!$F$4,1,TRUE,2)</f>
        <v>0</v>
      </c>
      <c r="P959" s="2" cm="1">
        <f t="array" ref="P959">_xlfn.IFS(H959,3,N959&lt;Data!$F$3,0,N959&lt;Data!$F$4,1,TRUE,2)</f>
        <v>0</v>
      </c>
    </row>
    <row r="960" spans="5:16">
      <c r="E960" s="16"/>
      <c r="G960" s="2" t="str" cm="1">
        <f t="array" ref="G960">_xlfn.CONCAT(IFERROR(I960:K960,""))</f>
        <v>02000000FEFFFFFF</v>
      </c>
      <c r="I960" s="2" t="e">
        <f>_xlfn.LET(_xlpm.big,DEC2HEX(_xlfn.BITLSHIFT(M960-_xlfn.XLOOKUP(O960,Data!A:A,Data!F:F),4)+O960,8),_xlfn.CONCAT(MID(_xlpm.big,7,2),MID(_xlpm.big,5,2),MID(_xlpm.big,3,2),MID(_xlpm.big,1,2)))</f>
        <v>#NUM!</v>
      </c>
      <c r="J960" s="2" t="str">
        <f t="shared" si="56"/>
        <v>02000000</v>
      </c>
      <c r="K960" s="2" t="str">
        <f>_xlfn.LET(_xlpm.big,IF(H960,DEC2HEX(HEX2DEC(F960),8),DEC2HEX(N960-_xlfn.XLOOKUP(P960,Data!A:A,Data!F:F),8)),_xlfn.CONCAT(MID(_xlpm.big,7,2),MID(_xlpm.big,5,2),MID(_xlpm.big,3,2),MID(_xlpm.big,1,2)))</f>
        <v>FEFFFFFF</v>
      </c>
      <c r="L960" s="2">
        <f t="shared" si="57"/>
        <v>0</v>
      </c>
      <c r="M960" s="2">
        <f t="shared" si="58"/>
        <v>0</v>
      </c>
      <c r="N960" s="2">
        <f t="shared" si="59"/>
        <v>0</v>
      </c>
      <c r="O960" s="2" cm="1">
        <f t="array" ref="O960">_xlfn.IFS(M960&lt;Data!$F$3,0,M960&lt;Data!$F$4,1,TRUE,2)</f>
        <v>0</v>
      </c>
      <c r="P960" s="2" cm="1">
        <f t="array" ref="P960">_xlfn.IFS(H960,3,N960&lt;Data!$F$3,0,N960&lt;Data!$F$4,1,TRUE,2)</f>
        <v>0</v>
      </c>
    </row>
    <row r="961" spans="5:16">
      <c r="E961" s="16"/>
      <c r="G961" s="2" t="str" cm="1">
        <f t="array" ref="G961">_xlfn.CONCAT(IFERROR(I961:K961,""))</f>
        <v>02000000FEFFFFFF</v>
      </c>
      <c r="I961" s="2" t="e">
        <f>_xlfn.LET(_xlpm.big,DEC2HEX(_xlfn.BITLSHIFT(M961-_xlfn.XLOOKUP(O961,Data!A:A,Data!F:F),4)+O961,8),_xlfn.CONCAT(MID(_xlpm.big,7,2),MID(_xlpm.big,5,2),MID(_xlpm.big,3,2),MID(_xlpm.big,1,2)))</f>
        <v>#NUM!</v>
      </c>
      <c r="J961" s="2" t="str">
        <f t="shared" si="56"/>
        <v>02000000</v>
      </c>
      <c r="K961" s="2" t="str">
        <f>_xlfn.LET(_xlpm.big,IF(H961,DEC2HEX(HEX2DEC(F961),8),DEC2HEX(N961-_xlfn.XLOOKUP(P961,Data!A:A,Data!F:F),8)),_xlfn.CONCAT(MID(_xlpm.big,7,2),MID(_xlpm.big,5,2),MID(_xlpm.big,3,2),MID(_xlpm.big,1,2)))</f>
        <v>FEFFFFFF</v>
      </c>
      <c r="L961" s="2">
        <f t="shared" si="57"/>
        <v>0</v>
      </c>
      <c r="M961" s="2">
        <f t="shared" si="58"/>
        <v>0</v>
      </c>
      <c r="N961" s="2">
        <f t="shared" si="59"/>
        <v>0</v>
      </c>
      <c r="O961" s="2" cm="1">
        <f t="array" ref="O961">_xlfn.IFS(M961&lt;Data!$F$3,0,M961&lt;Data!$F$4,1,TRUE,2)</f>
        <v>0</v>
      </c>
      <c r="P961" s="2" cm="1">
        <f t="array" ref="P961">_xlfn.IFS(H961,3,N961&lt;Data!$F$3,0,N961&lt;Data!$F$4,1,TRUE,2)</f>
        <v>0</v>
      </c>
    </row>
    <row r="962" spans="5:16">
      <c r="E962" s="16"/>
      <c r="G962" s="2" t="str" cm="1">
        <f t="array" ref="G962">_xlfn.CONCAT(IFERROR(I962:K962,""))</f>
        <v>02000000FEFFFFFF</v>
      </c>
      <c r="I962" s="2" t="e">
        <f>_xlfn.LET(_xlpm.big,DEC2HEX(_xlfn.BITLSHIFT(M962-_xlfn.XLOOKUP(O962,Data!A:A,Data!F:F),4)+O962,8),_xlfn.CONCAT(MID(_xlpm.big,7,2),MID(_xlpm.big,5,2),MID(_xlpm.big,3,2),MID(_xlpm.big,1,2)))</f>
        <v>#NUM!</v>
      </c>
      <c r="J962" s="2" t="str">
        <f t="shared" si="56"/>
        <v>02000000</v>
      </c>
      <c r="K962" s="2" t="str">
        <f>_xlfn.LET(_xlpm.big,IF(H962,DEC2HEX(HEX2DEC(F962),8),DEC2HEX(N962-_xlfn.XLOOKUP(P962,Data!A:A,Data!F:F),8)),_xlfn.CONCAT(MID(_xlpm.big,7,2),MID(_xlpm.big,5,2),MID(_xlpm.big,3,2),MID(_xlpm.big,1,2)))</f>
        <v>FEFFFFFF</v>
      </c>
      <c r="L962" s="2">
        <f t="shared" si="57"/>
        <v>0</v>
      </c>
      <c r="M962" s="2">
        <f t="shared" si="58"/>
        <v>0</v>
      </c>
      <c r="N962" s="2">
        <f t="shared" si="59"/>
        <v>0</v>
      </c>
      <c r="O962" s="2" cm="1">
        <f t="array" ref="O962">_xlfn.IFS(M962&lt;Data!$F$3,0,M962&lt;Data!$F$4,1,TRUE,2)</f>
        <v>0</v>
      </c>
      <c r="P962" s="2" cm="1">
        <f t="array" ref="P962">_xlfn.IFS(H962,3,N962&lt;Data!$F$3,0,N962&lt;Data!$F$4,1,TRUE,2)</f>
        <v>0</v>
      </c>
    </row>
    <row r="963" spans="5:16">
      <c r="E963" s="16"/>
      <c r="G963" s="2" t="str" cm="1">
        <f t="array" ref="G963">_xlfn.CONCAT(IFERROR(I963:K963,""))</f>
        <v>02000000FEFFFFFF</v>
      </c>
      <c r="I963" s="2" t="e">
        <f>_xlfn.LET(_xlpm.big,DEC2HEX(_xlfn.BITLSHIFT(M963-_xlfn.XLOOKUP(O963,Data!A:A,Data!F:F),4)+O963,8),_xlfn.CONCAT(MID(_xlpm.big,7,2),MID(_xlpm.big,5,2),MID(_xlpm.big,3,2),MID(_xlpm.big,1,2)))</f>
        <v>#NUM!</v>
      </c>
      <c r="J963" s="2" t="str">
        <f t="shared" ref="J963:J964" si="60">_xlfn.CONCAT("02",DEC2HEX(P963,2),"0000")</f>
        <v>02000000</v>
      </c>
      <c r="K963" s="2" t="str">
        <f>_xlfn.LET(_xlpm.big,IF(H963,DEC2HEX(HEX2DEC(F963),8),DEC2HEX(N963-_xlfn.XLOOKUP(P963,Data!A:A,Data!F:F),8)),_xlfn.CONCAT(MID(_xlpm.big,7,2),MID(_xlpm.big,5,2),MID(_xlpm.big,3,2),MID(_xlpm.big,1,2)))</f>
        <v>FEFFFFFF</v>
      </c>
      <c r="L963" s="2">
        <f t="shared" ref="L963:L964" si="61">HEX2DEC(D963)</f>
        <v>0</v>
      </c>
      <c r="M963" s="2">
        <f t="shared" ref="M963:M964" si="62">HEX2DEC(E963)</f>
        <v>0</v>
      </c>
      <c r="N963" s="2">
        <f t="shared" ref="N963:N964" si="63">HEX2DEC(F963)</f>
        <v>0</v>
      </c>
      <c r="O963" s="2" cm="1">
        <f t="array" ref="O963">_xlfn.IFS(M963&lt;Data!$F$3,0,M963&lt;Data!$F$4,1,TRUE,2)</f>
        <v>0</v>
      </c>
      <c r="P963" s="2" cm="1">
        <f t="array" ref="P963">_xlfn.IFS(H963,3,N963&lt;Data!$F$3,0,N963&lt;Data!$F$4,1,TRUE,2)</f>
        <v>0</v>
      </c>
    </row>
    <row r="964" spans="5:16">
      <c r="E964" s="16"/>
      <c r="G964" s="2" t="str" cm="1">
        <f t="array" ref="G964">_xlfn.CONCAT(IFERROR(I964:K964,""))</f>
        <v>02000000FEFFFFFF</v>
      </c>
      <c r="I964" s="2" t="e">
        <f>_xlfn.LET(_xlpm.big,DEC2HEX(_xlfn.BITLSHIFT(M964-_xlfn.XLOOKUP(O964,Data!A:A,Data!F:F),4)+O964,8),_xlfn.CONCAT(MID(_xlpm.big,7,2),MID(_xlpm.big,5,2),MID(_xlpm.big,3,2),MID(_xlpm.big,1,2)))</f>
        <v>#NUM!</v>
      </c>
      <c r="J964" s="2" t="str">
        <f t="shared" si="60"/>
        <v>02000000</v>
      </c>
      <c r="K964" s="2" t="str">
        <f>_xlfn.LET(_xlpm.big,IF(H964,DEC2HEX(HEX2DEC(F964),8),DEC2HEX(N964-_xlfn.XLOOKUP(P964,Data!A:A,Data!F:F),8)),_xlfn.CONCAT(MID(_xlpm.big,7,2),MID(_xlpm.big,5,2),MID(_xlpm.big,3,2),MID(_xlpm.big,1,2)))</f>
        <v>FEFFFFFF</v>
      </c>
      <c r="L964" s="2">
        <f t="shared" si="61"/>
        <v>0</v>
      </c>
      <c r="M964" s="2">
        <f t="shared" si="62"/>
        <v>0</v>
      </c>
      <c r="N964" s="2">
        <f t="shared" si="63"/>
        <v>0</v>
      </c>
      <c r="O964" s="2" cm="1">
        <f t="array" ref="O964">_xlfn.IFS(M964&lt;Data!$F$3,0,M964&lt;Data!$F$4,1,TRUE,2)</f>
        <v>0</v>
      </c>
      <c r="P964" s="2" cm="1">
        <f t="array" ref="P964">_xlfn.IFS(H964,3,N964&lt;Data!$F$3,0,N964&lt;Data!$F$4,1,TRUE,2)</f>
        <v>0</v>
      </c>
    </row>
    <row r="965" spans="5:16">
      <c r="F965" s="2"/>
      <c r="G965" s="2" t="str" cm="1">
        <f t="array" ref="G965">_xlfn.CONCAT(IFERROR(I965:K965,""))</f>
        <v>02000000FEFFFFFF</v>
      </c>
      <c r="I965" s="2" t="e">
        <f>_xlfn.LET(_xlpm.big,DEC2HEX(_xlfn.BITLSHIFT(M965-_xlfn.XLOOKUP(O965,Data!A:A,Data!F:F),4)+O965,8),_xlfn.CONCAT(MID(_xlpm.big,7,2),MID(_xlpm.big,5,2),MID(_xlpm.big,3,2),MID(_xlpm.big,1,2)))</f>
        <v>#NUM!</v>
      </c>
      <c r="J965" s="2" t="str">
        <f t="shared" ref="J965" si="64">_xlfn.CONCAT("02",DEC2HEX(P965,2),"0000")</f>
        <v>02000000</v>
      </c>
      <c r="K965" s="2" t="str">
        <f>_xlfn.LET(_xlpm.big,IF(H965,DEC2HEX(HEX2DEC(F965),8),DEC2HEX(N965-_xlfn.XLOOKUP(P965,Data!A:A,Data!F:F),8)),_xlfn.CONCAT(MID(_xlpm.big,7,2),MID(_xlpm.big,5,2),MID(_xlpm.big,3,2),MID(_xlpm.big,1,2)))</f>
        <v>FEFFFFFF</v>
      </c>
      <c r="L965" s="2">
        <f t="shared" ref="L965" si="65">HEX2DEC(D965)</f>
        <v>0</v>
      </c>
      <c r="M965" s="2">
        <f t="shared" ref="M965" si="66">HEX2DEC(E965)</f>
        <v>0</v>
      </c>
      <c r="N965" s="2">
        <f t="shared" ref="N965" si="67">HEX2DEC(F965)</f>
        <v>0</v>
      </c>
      <c r="O965" s="2" cm="1">
        <f t="array" ref="O965">_xlfn.IFS(M965&lt;Data!$F$3,0,M965&lt;Data!$F$4,1,TRUE,2)</f>
        <v>0</v>
      </c>
      <c r="P965" s="2" cm="1">
        <f t="array" ref="P965">_xlfn.IFS(H965,3,N965&lt;Data!$F$3,0,N965&lt;Data!$F$4,1,TRUE,2)</f>
        <v>0</v>
      </c>
    </row>
    <row r="966" spans="5:16">
      <c r="G966" s="2" t="str" cm="1">
        <f t="array" ref="G966">_xlfn.CONCAT(IFERROR(I966:K966,""))</f>
        <v>02000000FEFFFFFF</v>
      </c>
      <c r="I966" s="2" t="e">
        <f>_xlfn.LET(_xlpm.big,DEC2HEX(_xlfn.BITLSHIFT(M966-_xlfn.XLOOKUP(O966,Data!A:A,Data!F:F),4)+O966,8),_xlfn.CONCAT(MID(_xlpm.big,7,2),MID(_xlpm.big,5,2),MID(_xlpm.big,3,2),MID(_xlpm.big,1,2)))</f>
        <v>#NUM!</v>
      </c>
      <c r="J966" s="2" t="str">
        <f t="shared" ref="J966:J971" si="68">_xlfn.CONCAT("02",DEC2HEX(P966,2),"0000")</f>
        <v>02000000</v>
      </c>
      <c r="K966" s="2" t="str">
        <f>_xlfn.LET(_xlpm.big,IF(H966,DEC2HEX(HEX2DEC(F966),8),DEC2HEX(N966-_xlfn.XLOOKUP(P966,Data!A:A,Data!F:F),8)),_xlfn.CONCAT(MID(_xlpm.big,7,2),MID(_xlpm.big,5,2),MID(_xlpm.big,3,2),MID(_xlpm.big,1,2)))</f>
        <v>FEFFFFFF</v>
      </c>
      <c r="L966" s="2">
        <f t="shared" ref="L966:L971" si="69">HEX2DEC(D966)</f>
        <v>0</v>
      </c>
      <c r="M966" s="2">
        <f t="shared" ref="M966:M971" si="70">HEX2DEC(E966)</f>
        <v>0</v>
      </c>
      <c r="N966" s="2">
        <f t="shared" ref="N966:N971" si="71">HEX2DEC(F966)</f>
        <v>0</v>
      </c>
      <c r="O966" s="2" cm="1">
        <f t="array" ref="O966">_xlfn.IFS(M966&lt;Data!$F$3,0,M966&lt;Data!$F$4,1,TRUE,2)</f>
        <v>0</v>
      </c>
      <c r="P966" s="2" cm="1">
        <f t="array" ref="P966">_xlfn.IFS(H966,3,N966&lt;Data!$F$3,0,N966&lt;Data!$F$4,1,TRUE,2)</f>
        <v>0</v>
      </c>
    </row>
    <row r="967" spans="5:16">
      <c r="E967" s="16"/>
      <c r="G967" s="2" t="str" cm="1">
        <f t="array" ref="G967">_xlfn.CONCAT(IFERROR(I967:K967,""))</f>
        <v>02000000FEFFFFFF</v>
      </c>
      <c r="I967" s="2" t="e">
        <f>_xlfn.LET(_xlpm.big,DEC2HEX(_xlfn.BITLSHIFT(M967-_xlfn.XLOOKUP(O967,Data!A:A,Data!F:F),4)+O967,8),_xlfn.CONCAT(MID(_xlpm.big,7,2),MID(_xlpm.big,5,2),MID(_xlpm.big,3,2),MID(_xlpm.big,1,2)))</f>
        <v>#NUM!</v>
      </c>
      <c r="J967" s="2" t="str">
        <f t="shared" si="68"/>
        <v>02000000</v>
      </c>
      <c r="K967" s="2" t="str">
        <f>_xlfn.LET(_xlpm.big,IF(H967,DEC2HEX(HEX2DEC(F967),8),DEC2HEX(N967-_xlfn.XLOOKUP(P967,Data!A:A,Data!F:F),8)),_xlfn.CONCAT(MID(_xlpm.big,7,2),MID(_xlpm.big,5,2),MID(_xlpm.big,3,2),MID(_xlpm.big,1,2)))</f>
        <v>FEFFFFFF</v>
      </c>
      <c r="L967" s="2">
        <f t="shared" si="69"/>
        <v>0</v>
      </c>
      <c r="M967" s="2">
        <f t="shared" si="70"/>
        <v>0</v>
      </c>
      <c r="N967" s="2">
        <f t="shared" si="71"/>
        <v>0</v>
      </c>
      <c r="O967" s="2" cm="1">
        <f t="array" ref="O967">_xlfn.IFS(M967&lt;Data!$F$3,0,M967&lt;Data!$F$4,1,TRUE,2)</f>
        <v>0</v>
      </c>
      <c r="P967" s="2" cm="1">
        <f t="array" ref="P967">_xlfn.IFS(H967,3,N967&lt;Data!$F$3,0,N967&lt;Data!$F$4,1,TRUE,2)</f>
        <v>0</v>
      </c>
    </row>
    <row r="968" spans="5:16">
      <c r="E968" s="16"/>
      <c r="G968" s="2" t="str" cm="1">
        <f t="array" ref="G968">_xlfn.CONCAT(IFERROR(I968:K968,""))</f>
        <v>02000000FEFFFFFF</v>
      </c>
      <c r="I968" s="2" t="e">
        <f>_xlfn.LET(_xlpm.big,DEC2HEX(_xlfn.BITLSHIFT(M968-_xlfn.XLOOKUP(O968,Data!A:A,Data!F:F),4)+O968,8),_xlfn.CONCAT(MID(_xlpm.big,7,2),MID(_xlpm.big,5,2),MID(_xlpm.big,3,2),MID(_xlpm.big,1,2)))</f>
        <v>#NUM!</v>
      </c>
      <c r="J968" s="2" t="str">
        <f t="shared" si="68"/>
        <v>02000000</v>
      </c>
      <c r="K968" s="2" t="str">
        <f>_xlfn.LET(_xlpm.big,IF(H968,DEC2HEX(HEX2DEC(F968),8),DEC2HEX(N968-_xlfn.XLOOKUP(P968,Data!A:A,Data!F:F),8)),_xlfn.CONCAT(MID(_xlpm.big,7,2),MID(_xlpm.big,5,2),MID(_xlpm.big,3,2),MID(_xlpm.big,1,2)))</f>
        <v>FEFFFFFF</v>
      </c>
      <c r="L968" s="2">
        <f t="shared" si="69"/>
        <v>0</v>
      </c>
      <c r="M968" s="2">
        <f t="shared" si="70"/>
        <v>0</v>
      </c>
      <c r="N968" s="2">
        <f t="shared" si="71"/>
        <v>0</v>
      </c>
      <c r="O968" s="2" cm="1">
        <f t="array" ref="O968">_xlfn.IFS(M968&lt;Data!$F$3,0,M968&lt;Data!$F$4,1,TRUE,2)</f>
        <v>0</v>
      </c>
      <c r="P968" s="2" cm="1">
        <f t="array" ref="P968">_xlfn.IFS(H968,3,N968&lt;Data!$F$3,0,N968&lt;Data!$F$4,1,TRUE,2)</f>
        <v>0</v>
      </c>
    </row>
    <row r="969" spans="5:16">
      <c r="E969" s="16"/>
      <c r="G969" s="2" t="str" cm="1">
        <f t="array" ref="G969">_xlfn.CONCAT(IFERROR(I969:K969,""))</f>
        <v>02000000FEFFFFFF</v>
      </c>
      <c r="I969" s="2" t="e">
        <f>_xlfn.LET(_xlpm.big,DEC2HEX(_xlfn.BITLSHIFT(M969-_xlfn.XLOOKUP(O969,Data!A:A,Data!F:F),4)+O969,8),_xlfn.CONCAT(MID(_xlpm.big,7,2),MID(_xlpm.big,5,2),MID(_xlpm.big,3,2),MID(_xlpm.big,1,2)))</f>
        <v>#NUM!</v>
      </c>
      <c r="J969" s="2" t="str">
        <f t="shared" si="68"/>
        <v>02000000</v>
      </c>
      <c r="K969" s="2" t="str">
        <f>_xlfn.LET(_xlpm.big,IF(H969,DEC2HEX(HEX2DEC(F969),8),DEC2HEX(N969-_xlfn.XLOOKUP(P969,Data!A:A,Data!F:F),8)),_xlfn.CONCAT(MID(_xlpm.big,7,2),MID(_xlpm.big,5,2),MID(_xlpm.big,3,2),MID(_xlpm.big,1,2)))</f>
        <v>FEFFFFFF</v>
      </c>
      <c r="L969" s="2">
        <f t="shared" si="69"/>
        <v>0</v>
      </c>
      <c r="M969" s="2">
        <f t="shared" si="70"/>
        <v>0</v>
      </c>
      <c r="N969" s="2">
        <f t="shared" si="71"/>
        <v>0</v>
      </c>
      <c r="O969" s="2" cm="1">
        <f t="array" ref="O969">_xlfn.IFS(M969&lt;Data!$F$3,0,M969&lt;Data!$F$4,1,TRUE,2)</f>
        <v>0</v>
      </c>
      <c r="P969" s="2" cm="1">
        <f t="array" ref="P969">_xlfn.IFS(H969,3,N969&lt;Data!$F$3,0,N969&lt;Data!$F$4,1,TRUE,2)</f>
        <v>0</v>
      </c>
    </row>
    <row r="970" spans="5:16">
      <c r="E970" s="16"/>
      <c r="G970" s="2" t="str" cm="1">
        <f t="array" ref="G970">_xlfn.CONCAT(IFERROR(I970:K970,""))</f>
        <v>02000000FEFFFFFF</v>
      </c>
      <c r="I970" s="2" t="e">
        <f>_xlfn.LET(_xlpm.big,DEC2HEX(_xlfn.BITLSHIFT(M970-_xlfn.XLOOKUP(O970,Data!A:A,Data!F:F),4)+O970,8),_xlfn.CONCAT(MID(_xlpm.big,7,2),MID(_xlpm.big,5,2),MID(_xlpm.big,3,2),MID(_xlpm.big,1,2)))</f>
        <v>#NUM!</v>
      </c>
      <c r="J970" s="2" t="str">
        <f t="shared" si="68"/>
        <v>02000000</v>
      </c>
      <c r="K970" s="2" t="str">
        <f>_xlfn.LET(_xlpm.big,IF(H970,DEC2HEX(HEX2DEC(F970),8),DEC2HEX(N970-_xlfn.XLOOKUP(P970,Data!A:A,Data!F:F),8)),_xlfn.CONCAT(MID(_xlpm.big,7,2),MID(_xlpm.big,5,2),MID(_xlpm.big,3,2),MID(_xlpm.big,1,2)))</f>
        <v>FEFFFFFF</v>
      </c>
      <c r="L970" s="2">
        <f t="shared" si="69"/>
        <v>0</v>
      </c>
      <c r="M970" s="2">
        <f t="shared" si="70"/>
        <v>0</v>
      </c>
      <c r="N970" s="2">
        <f t="shared" si="71"/>
        <v>0</v>
      </c>
      <c r="O970" s="2" cm="1">
        <f t="array" ref="O970">_xlfn.IFS(M970&lt;Data!$F$3,0,M970&lt;Data!$F$4,1,TRUE,2)</f>
        <v>0</v>
      </c>
      <c r="P970" s="2" cm="1">
        <f t="array" ref="P970">_xlfn.IFS(H970,3,N970&lt;Data!$F$3,0,N970&lt;Data!$F$4,1,TRUE,2)</f>
        <v>0</v>
      </c>
    </row>
    <row r="971" spans="5:16">
      <c r="E971" s="16"/>
      <c r="G971" s="2" t="str" cm="1">
        <f t="array" ref="G971">_xlfn.CONCAT(IFERROR(I971:K971,""))</f>
        <v>02000000FEFFFFFF</v>
      </c>
      <c r="I971" s="2" t="e">
        <f>_xlfn.LET(_xlpm.big,DEC2HEX(_xlfn.BITLSHIFT(M971-_xlfn.XLOOKUP(O971,Data!A:A,Data!F:F),4)+O971,8),_xlfn.CONCAT(MID(_xlpm.big,7,2),MID(_xlpm.big,5,2),MID(_xlpm.big,3,2),MID(_xlpm.big,1,2)))</f>
        <v>#NUM!</v>
      </c>
      <c r="J971" s="2" t="str">
        <f t="shared" si="68"/>
        <v>02000000</v>
      </c>
      <c r="K971" s="2" t="str">
        <f>_xlfn.LET(_xlpm.big,IF(H971,DEC2HEX(HEX2DEC(F971),8),DEC2HEX(N971-_xlfn.XLOOKUP(P971,Data!A:A,Data!F:F),8)),_xlfn.CONCAT(MID(_xlpm.big,7,2),MID(_xlpm.big,5,2),MID(_xlpm.big,3,2),MID(_xlpm.big,1,2)))</f>
        <v>FEFFFFFF</v>
      </c>
      <c r="L971" s="2">
        <f t="shared" si="69"/>
        <v>0</v>
      </c>
      <c r="M971" s="2">
        <f t="shared" si="70"/>
        <v>0</v>
      </c>
      <c r="N971" s="2">
        <f t="shared" si="71"/>
        <v>0</v>
      </c>
      <c r="O971" s="2" cm="1">
        <f t="array" ref="O971">_xlfn.IFS(M971&lt;Data!$F$3,0,M971&lt;Data!$F$4,1,TRUE,2)</f>
        <v>0</v>
      </c>
      <c r="P971" s="2" cm="1">
        <f t="array" ref="P971">_xlfn.IFS(H971,3,N971&lt;Data!$F$3,0,N971&lt;Data!$F$4,1,TRUE,2)</f>
        <v>0</v>
      </c>
    </row>
    <row r="972" spans="5:16">
      <c r="G972" s="2" t="str" cm="1">
        <f t="array" ref="G972">_xlfn.CONCAT(IFERROR(I972:K972,""))</f>
        <v>02000000FEFFFFFF</v>
      </c>
      <c r="I972" s="2" t="e">
        <f>_xlfn.LET(_xlpm.big,DEC2HEX(_xlfn.BITLSHIFT(M972-_xlfn.XLOOKUP(O972,Data!A:A,Data!F:F),4)+O972,8),_xlfn.CONCAT(MID(_xlpm.big,7,2),MID(_xlpm.big,5,2),MID(_xlpm.big,3,2),MID(_xlpm.big,1,2)))</f>
        <v>#NUM!</v>
      </c>
      <c r="J972" s="2" t="str">
        <f t="shared" ref="J972" si="72">_xlfn.CONCAT("02",DEC2HEX(P972,2),"0000")</f>
        <v>02000000</v>
      </c>
      <c r="K972" s="2" t="str">
        <f>_xlfn.LET(_xlpm.big,IF(H972,DEC2HEX(HEX2DEC(F972),8),DEC2HEX(N972-_xlfn.XLOOKUP(P972,Data!A:A,Data!F:F),8)),_xlfn.CONCAT(MID(_xlpm.big,7,2),MID(_xlpm.big,5,2),MID(_xlpm.big,3,2),MID(_xlpm.big,1,2)))</f>
        <v>FEFFFFFF</v>
      </c>
      <c r="L972" s="2">
        <f t="shared" ref="L972" si="73">HEX2DEC(D972)</f>
        <v>0</v>
      </c>
      <c r="M972" s="2">
        <f t="shared" ref="M972" si="74">HEX2DEC(E972)</f>
        <v>0</v>
      </c>
      <c r="N972" s="2">
        <f t="shared" ref="N972" si="75">HEX2DEC(F972)</f>
        <v>0</v>
      </c>
      <c r="O972" s="2" cm="1">
        <f t="array" ref="O972">_xlfn.IFS(M972&lt;Data!$F$3,0,M972&lt;Data!$F$4,1,TRUE,2)</f>
        <v>0</v>
      </c>
      <c r="P972" s="2" cm="1">
        <f t="array" ref="P972">_xlfn.IFS(H972,3,N972&lt;Data!$F$3,0,N972&lt;Data!$F$4,1,TRUE,2)</f>
        <v>0</v>
      </c>
    </row>
    <row r="973" spans="5:16">
      <c r="G973" s="2" t="str" cm="1">
        <f t="array" ref="G973">_xlfn.CONCAT(IFERROR(I973:K973,""))</f>
        <v>02000000FEFFFFFF</v>
      </c>
      <c r="I973" s="2" t="e">
        <f>_xlfn.LET(_xlpm.big,DEC2HEX(_xlfn.BITLSHIFT(M973-_xlfn.XLOOKUP(O973,Data!A:A,Data!F:F),4)+O973,8),_xlfn.CONCAT(MID(_xlpm.big,7,2),MID(_xlpm.big,5,2),MID(_xlpm.big,3,2),MID(_xlpm.big,1,2)))</f>
        <v>#NUM!</v>
      </c>
      <c r="J973" s="2" t="str">
        <f t="shared" ref="J973:J977" si="76">_xlfn.CONCAT("02",DEC2HEX(P973,2),"0000")</f>
        <v>02000000</v>
      </c>
      <c r="K973" s="2" t="str">
        <f>_xlfn.LET(_xlpm.big,IF(H973,DEC2HEX(HEX2DEC(F973),8),DEC2HEX(N973-_xlfn.XLOOKUP(P973,Data!A:A,Data!F:F),8)),_xlfn.CONCAT(MID(_xlpm.big,7,2),MID(_xlpm.big,5,2),MID(_xlpm.big,3,2),MID(_xlpm.big,1,2)))</f>
        <v>FEFFFFFF</v>
      </c>
      <c r="L973" s="2">
        <f t="shared" ref="L973:L977" si="77">HEX2DEC(D973)</f>
        <v>0</v>
      </c>
      <c r="M973" s="2">
        <f t="shared" ref="M973:M977" si="78">HEX2DEC(E973)</f>
        <v>0</v>
      </c>
      <c r="N973" s="2">
        <f t="shared" ref="N973:N977" si="79">HEX2DEC(F973)</f>
        <v>0</v>
      </c>
      <c r="O973" s="2" cm="1">
        <f t="array" ref="O973">_xlfn.IFS(M973&lt;Data!$F$3,0,M973&lt;Data!$F$4,1,TRUE,2)</f>
        <v>0</v>
      </c>
      <c r="P973" s="2" cm="1">
        <f t="array" ref="P973">_xlfn.IFS(H973,3,N973&lt;Data!$F$3,0,N973&lt;Data!$F$4,1,TRUE,2)</f>
        <v>0</v>
      </c>
    </row>
    <row r="974" spans="5:16">
      <c r="E974" s="16"/>
      <c r="G974" s="2" t="str" cm="1">
        <f t="array" ref="G974">_xlfn.CONCAT(IFERROR(I974:K974,""))</f>
        <v>02000000FEFFFFFF</v>
      </c>
      <c r="I974" s="2" t="e">
        <f>_xlfn.LET(_xlpm.big,DEC2HEX(_xlfn.BITLSHIFT(M974-_xlfn.XLOOKUP(O974,Data!A:A,Data!F:F),4)+O974,8),_xlfn.CONCAT(MID(_xlpm.big,7,2),MID(_xlpm.big,5,2),MID(_xlpm.big,3,2),MID(_xlpm.big,1,2)))</f>
        <v>#NUM!</v>
      </c>
      <c r="J974" s="2" t="str">
        <f t="shared" si="76"/>
        <v>02000000</v>
      </c>
      <c r="K974" s="2" t="str">
        <f>_xlfn.LET(_xlpm.big,IF(H974,DEC2HEX(HEX2DEC(F974),8),DEC2HEX(N974-_xlfn.XLOOKUP(P974,Data!A:A,Data!F:F),8)),_xlfn.CONCAT(MID(_xlpm.big,7,2),MID(_xlpm.big,5,2),MID(_xlpm.big,3,2),MID(_xlpm.big,1,2)))</f>
        <v>FEFFFFFF</v>
      </c>
      <c r="L974" s="2">
        <f t="shared" si="77"/>
        <v>0</v>
      </c>
      <c r="M974" s="2">
        <f t="shared" si="78"/>
        <v>0</v>
      </c>
      <c r="N974" s="2">
        <f t="shared" si="79"/>
        <v>0</v>
      </c>
      <c r="O974" s="2" cm="1">
        <f t="array" ref="O974">_xlfn.IFS(M974&lt;Data!$F$3,0,M974&lt;Data!$F$4,1,TRUE,2)</f>
        <v>0</v>
      </c>
      <c r="P974" s="2" cm="1">
        <f t="array" ref="P974">_xlfn.IFS(H974,3,N974&lt;Data!$F$3,0,N974&lt;Data!$F$4,1,TRUE,2)</f>
        <v>0</v>
      </c>
    </row>
    <row r="975" spans="5:16">
      <c r="E975" s="16"/>
      <c r="G975" s="2" t="str" cm="1">
        <f t="array" ref="G975">_xlfn.CONCAT(IFERROR(I975:K975,""))</f>
        <v>02000000FEFFFFFF</v>
      </c>
      <c r="I975" s="2" t="e">
        <f>_xlfn.LET(_xlpm.big,DEC2HEX(_xlfn.BITLSHIFT(M975-_xlfn.XLOOKUP(O975,Data!A:A,Data!F:F),4)+O975,8),_xlfn.CONCAT(MID(_xlpm.big,7,2),MID(_xlpm.big,5,2),MID(_xlpm.big,3,2),MID(_xlpm.big,1,2)))</f>
        <v>#NUM!</v>
      </c>
      <c r="J975" s="2" t="str">
        <f t="shared" si="76"/>
        <v>02000000</v>
      </c>
      <c r="K975" s="2" t="str">
        <f>_xlfn.LET(_xlpm.big,IF(H975,DEC2HEX(HEX2DEC(F975),8),DEC2HEX(N975-_xlfn.XLOOKUP(P975,Data!A:A,Data!F:F),8)),_xlfn.CONCAT(MID(_xlpm.big,7,2),MID(_xlpm.big,5,2),MID(_xlpm.big,3,2),MID(_xlpm.big,1,2)))</f>
        <v>FEFFFFFF</v>
      </c>
      <c r="L975" s="2">
        <f t="shared" si="77"/>
        <v>0</v>
      </c>
      <c r="M975" s="2">
        <f t="shared" si="78"/>
        <v>0</v>
      </c>
      <c r="N975" s="2">
        <f t="shared" si="79"/>
        <v>0</v>
      </c>
      <c r="O975" s="2" cm="1">
        <f t="array" ref="O975">_xlfn.IFS(M975&lt;Data!$F$3,0,M975&lt;Data!$F$4,1,TRUE,2)</f>
        <v>0</v>
      </c>
      <c r="P975" s="2" cm="1">
        <f t="array" ref="P975">_xlfn.IFS(H975,3,N975&lt;Data!$F$3,0,N975&lt;Data!$F$4,1,TRUE,2)</f>
        <v>0</v>
      </c>
    </row>
    <row r="976" spans="5:16">
      <c r="E976" s="16"/>
      <c r="G976" s="2" t="str" cm="1">
        <f t="array" ref="G976">_xlfn.CONCAT(IFERROR(I976:K976,""))</f>
        <v>02000000FEFFFFFF</v>
      </c>
      <c r="I976" s="2" t="e">
        <f>_xlfn.LET(_xlpm.big,DEC2HEX(_xlfn.BITLSHIFT(M976-_xlfn.XLOOKUP(O976,Data!A:A,Data!F:F),4)+O976,8),_xlfn.CONCAT(MID(_xlpm.big,7,2),MID(_xlpm.big,5,2),MID(_xlpm.big,3,2),MID(_xlpm.big,1,2)))</f>
        <v>#NUM!</v>
      </c>
      <c r="J976" s="2" t="str">
        <f t="shared" si="76"/>
        <v>02000000</v>
      </c>
      <c r="K976" s="2" t="str">
        <f>_xlfn.LET(_xlpm.big,IF(H976,DEC2HEX(HEX2DEC(F976),8),DEC2HEX(N976-_xlfn.XLOOKUP(P976,Data!A:A,Data!F:F),8)),_xlfn.CONCAT(MID(_xlpm.big,7,2),MID(_xlpm.big,5,2),MID(_xlpm.big,3,2),MID(_xlpm.big,1,2)))</f>
        <v>FEFFFFFF</v>
      </c>
      <c r="L976" s="2">
        <f t="shared" si="77"/>
        <v>0</v>
      </c>
      <c r="M976" s="2">
        <f t="shared" si="78"/>
        <v>0</v>
      </c>
      <c r="N976" s="2">
        <f t="shared" si="79"/>
        <v>0</v>
      </c>
      <c r="O976" s="2" cm="1">
        <f t="array" ref="O976">_xlfn.IFS(M976&lt;Data!$F$3,0,M976&lt;Data!$F$4,1,TRUE,2)</f>
        <v>0</v>
      </c>
      <c r="P976" s="2" cm="1">
        <f t="array" ref="P976">_xlfn.IFS(H976,3,N976&lt;Data!$F$3,0,N976&lt;Data!$F$4,1,TRUE,2)</f>
        <v>0</v>
      </c>
    </row>
    <row r="977" spans="2:16">
      <c r="G977" s="2" t="str" cm="1">
        <f t="array" ref="G977">_xlfn.CONCAT(IFERROR(I977:K977,""))</f>
        <v>02000000FEFFFFFF</v>
      </c>
      <c r="I977" s="2" t="e">
        <f>_xlfn.LET(_xlpm.big,DEC2HEX(_xlfn.BITLSHIFT(M977-_xlfn.XLOOKUP(O977,Data!A:A,Data!F:F),4)+O977,8),_xlfn.CONCAT(MID(_xlpm.big,7,2),MID(_xlpm.big,5,2),MID(_xlpm.big,3,2),MID(_xlpm.big,1,2)))</f>
        <v>#NUM!</v>
      </c>
      <c r="J977" s="2" t="str">
        <f t="shared" si="76"/>
        <v>02000000</v>
      </c>
      <c r="K977" s="2" t="str">
        <f>_xlfn.LET(_xlpm.big,IF(H977,DEC2HEX(HEX2DEC(F977),8),DEC2HEX(N977-_xlfn.XLOOKUP(P977,Data!A:A,Data!F:F),8)),_xlfn.CONCAT(MID(_xlpm.big,7,2),MID(_xlpm.big,5,2),MID(_xlpm.big,3,2),MID(_xlpm.big,1,2)))</f>
        <v>FEFFFFFF</v>
      </c>
      <c r="L977" s="2">
        <f t="shared" si="77"/>
        <v>0</v>
      </c>
      <c r="M977" s="2">
        <f t="shared" si="78"/>
        <v>0</v>
      </c>
      <c r="N977" s="2">
        <f t="shared" si="79"/>
        <v>0</v>
      </c>
      <c r="O977" s="2" cm="1">
        <f t="array" ref="O977">_xlfn.IFS(M977&lt;Data!$F$3,0,M977&lt;Data!$F$4,1,TRUE,2)</f>
        <v>0</v>
      </c>
      <c r="P977" s="2" cm="1">
        <f t="array" ref="P977">_xlfn.IFS(H977,3,N977&lt;Data!$F$3,0,N977&lt;Data!$F$4,1,TRUE,2)</f>
        <v>0</v>
      </c>
    </row>
    <row r="978" spans="2:16">
      <c r="F978" s="2"/>
      <c r="G978" s="2" t="str" cm="1">
        <f t="array" ref="G978">_xlfn.CONCAT(IFERROR(I978:K978,""))</f>
        <v>02000000FEFFFFFF</v>
      </c>
      <c r="I978" s="2" t="e">
        <f>_xlfn.LET(_xlpm.big,DEC2HEX(_xlfn.BITLSHIFT(M978-_xlfn.XLOOKUP(O978,Data!A:A,Data!F:F),4)+O978,8),_xlfn.CONCAT(MID(_xlpm.big,7,2),MID(_xlpm.big,5,2),MID(_xlpm.big,3,2),MID(_xlpm.big,1,2)))</f>
        <v>#NUM!</v>
      </c>
      <c r="J978" s="2" t="str">
        <f t="shared" ref="J978:J979" si="80">_xlfn.CONCAT("02",DEC2HEX(P978,2),"0000")</f>
        <v>02000000</v>
      </c>
      <c r="K978" s="2" t="str">
        <f>_xlfn.LET(_xlpm.big,IF(H978,DEC2HEX(HEX2DEC(F978),8),DEC2HEX(N978-_xlfn.XLOOKUP(P978,Data!A:A,Data!F:F),8)),_xlfn.CONCAT(MID(_xlpm.big,7,2),MID(_xlpm.big,5,2),MID(_xlpm.big,3,2),MID(_xlpm.big,1,2)))</f>
        <v>FEFFFFFF</v>
      </c>
      <c r="L978" s="2">
        <f t="shared" ref="L978:L979" si="81">HEX2DEC(D978)</f>
        <v>0</v>
      </c>
      <c r="M978" s="2">
        <f t="shared" ref="M978:M979" si="82">HEX2DEC(E978)</f>
        <v>0</v>
      </c>
      <c r="N978" s="2">
        <f t="shared" ref="N978:N979" si="83">HEX2DEC(F978)</f>
        <v>0</v>
      </c>
      <c r="O978" s="2" cm="1">
        <f t="array" ref="O978">_xlfn.IFS(M978&lt;Data!$F$3,0,M978&lt;Data!$F$4,1,TRUE,2)</f>
        <v>0</v>
      </c>
      <c r="P978" s="2" cm="1">
        <f t="array" ref="P978">_xlfn.IFS(H978,3,N978&lt;Data!$F$3,0,N978&lt;Data!$F$4,1,TRUE,2)</f>
        <v>0</v>
      </c>
    </row>
    <row r="979" spans="2:16">
      <c r="B979" s="2"/>
      <c r="G979" s="2" t="str" cm="1">
        <f t="array" ref="G979">_xlfn.CONCAT(IFERROR(I979:K979,""))</f>
        <v>02000000FEFFFFFF</v>
      </c>
      <c r="I979" s="2" t="e">
        <f>_xlfn.LET(_xlpm.big,DEC2HEX(_xlfn.BITLSHIFT(M979-_xlfn.XLOOKUP(O979,Data!A:A,Data!F:F),4)+O979,8),_xlfn.CONCAT(MID(_xlpm.big,7,2),MID(_xlpm.big,5,2),MID(_xlpm.big,3,2),MID(_xlpm.big,1,2)))</f>
        <v>#NUM!</v>
      </c>
      <c r="J979" s="2" t="str">
        <f t="shared" si="80"/>
        <v>02000000</v>
      </c>
      <c r="K979" s="2" t="str">
        <f>_xlfn.LET(_xlpm.big,IF(H979,DEC2HEX(HEX2DEC(F979),8),DEC2HEX(N979-_xlfn.XLOOKUP(P979,Data!A:A,Data!F:F),8)),_xlfn.CONCAT(MID(_xlpm.big,7,2),MID(_xlpm.big,5,2),MID(_xlpm.big,3,2),MID(_xlpm.big,1,2)))</f>
        <v>FEFFFFFF</v>
      </c>
      <c r="L979" s="2">
        <f t="shared" si="81"/>
        <v>0</v>
      </c>
      <c r="M979" s="2">
        <f t="shared" si="82"/>
        <v>0</v>
      </c>
      <c r="N979" s="2">
        <f t="shared" si="83"/>
        <v>0</v>
      </c>
      <c r="O979" s="2" cm="1">
        <f t="array" ref="O979">_xlfn.IFS(M979&lt;Data!$F$3,0,M979&lt;Data!$F$4,1,TRUE,2)</f>
        <v>0</v>
      </c>
      <c r="P979" s="2" cm="1">
        <f t="array" ref="P979">_xlfn.IFS(H979,3,N979&lt;Data!$F$3,0,N979&lt;Data!$F$4,1,TRUE,2)</f>
        <v>0</v>
      </c>
    </row>
    <row r="980" spans="2:16">
      <c r="B980" s="2"/>
      <c r="G980" s="2" t="str" cm="1">
        <f t="array" ref="G980">_xlfn.CONCAT(IFERROR(I980:K980,""))</f>
        <v>02000000FEFFFFFF</v>
      </c>
      <c r="I980" s="2" t="e">
        <f>_xlfn.LET(_xlpm.big,DEC2HEX(_xlfn.BITLSHIFT(M980-_xlfn.XLOOKUP(O980,Data!A:A,Data!F:F),4)+O980,8),_xlfn.CONCAT(MID(_xlpm.big,7,2),MID(_xlpm.big,5,2),MID(_xlpm.big,3,2),MID(_xlpm.big,1,2)))</f>
        <v>#NUM!</v>
      </c>
      <c r="J980" s="2" t="str">
        <f t="shared" ref="J980:J985" si="84">_xlfn.CONCAT("02",DEC2HEX(P980,2),"0000")</f>
        <v>02000000</v>
      </c>
      <c r="K980" s="2" t="str">
        <f>_xlfn.LET(_xlpm.big,IF(H980,DEC2HEX(HEX2DEC(F980),8),DEC2HEX(N980-_xlfn.XLOOKUP(P980,Data!A:A,Data!F:F),8)),_xlfn.CONCAT(MID(_xlpm.big,7,2),MID(_xlpm.big,5,2),MID(_xlpm.big,3,2),MID(_xlpm.big,1,2)))</f>
        <v>FEFFFFFF</v>
      </c>
      <c r="L980" s="2">
        <f t="shared" ref="L980:L985" si="85">HEX2DEC(D980)</f>
        <v>0</v>
      </c>
      <c r="M980" s="2">
        <f t="shared" ref="M980:M985" si="86">HEX2DEC(E980)</f>
        <v>0</v>
      </c>
      <c r="N980" s="2">
        <f t="shared" ref="N980:N985" si="87">HEX2DEC(F980)</f>
        <v>0</v>
      </c>
      <c r="O980" s="2" cm="1">
        <f t="array" ref="O980">_xlfn.IFS(M980&lt;Data!$F$3,0,M980&lt;Data!$F$4,1,TRUE,2)</f>
        <v>0</v>
      </c>
      <c r="P980" s="2" cm="1">
        <f t="array" ref="P980">_xlfn.IFS(H980,3,N980&lt;Data!$F$3,0,N980&lt;Data!$F$4,1,TRUE,2)</f>
        <v>0</v>
      </c>
    </row>
    <row r="981" spans="2:16">
      <c r="B981" s="2"/>
      <c r="G981" s="2" t="str" cm="1">
        <f t="array" ref="G981">_xlfn.CONCAT(IFERROR(I981:K981,""))</f>
        <v>02000000FEFFFFFF</v>
      </c>
      <c r="I981" s="2" t="e">
        <f>_xlfn.LET(_xlpm.big,DEC2HEX(_xlfn.BITLSHIFT(M981-_xlfn.XLOOKUP(O981,Data!A:A,Data!F:F),4)+O981,8),_xlfn.CONCAT(MID(_xlpm.big,7,2),MID(_xlpm.big,5,2),MID(_xlpm.big,3,2),MID(_xlpm.big,1,2)))</f>
        <v>#NUM!</v>
      </c>
      <c r="J981" s="2" t="str">
        <f t="shared" si="84"/>
        <v>02000000</v>
      </c>
      <c r="K981" s="2" t="str">
        <f>_xlfn.LET(_xlpm.big,IF(H981,DEC2HEX(HEX2DEC(F981),8),DEC2HEX(N981-_xlfn.XLOOKUP(P981,Data!A:A,Data!F:F),8)),_xlfn.CONCAT(MID(_xlpm.big,7,2),MID(_xlpm.big,5,2),MID(_xlpm.big,3,2),MID(_xlpm.big,1,2)))</f>
        <v>FEFFFFFF</v>
      </c>
      <c r="L981" s="2">
        <f t="shared" si="85"/>
        <v>0</v>
      </c>
      <c r="M981" s="2">
        <f t="shared" si="86"/>
        <v>0</v>
      </c>
      <c r="N981" s="2">
        <f t="shared" si="87"/>
        <v>0</v>
      </c>
      <c r="O981" s="2" cm="1">
        <f t="array" ref="O981">_xlfn.IFS(M981&lt;Data!$F$3,0,M981&lt;Data!$F$4,1,TRUE,2)</f>
        <v>0</v>
      </c>
      <c r="P981" s="2" cm="1">
        <f t="array" ref="P981">_xlfn.IFS(H981,3,N981&lt;Data!$F$3,0,N981&lt;Data!$F$4,1,TRUE,2)</f>
        <v>0</v>
      </c>
    </row>
    <row r="982" spans="2:16">
      <c r="B982" s="2"/>
      <c r="G982" s="2" t="str" cm="1">
        <f t="array" ref="G982">_xlfn.CONCAT(IFERROR(I982:K982,""))</f>
        <v>02000000FEFFFFFF</v>
      </c>
      <c r="I982" s="2" t="e">
        <f>_xlfn.LET(_xlpm.big,DEC2HEX(_xlfn.BITLSHIFT(M982-_xlfn.XLOOKUP(O982,Data!A:A,Data!F:F),4)+O982,8),_xlfn.CONCAT(MID(_xlpm.big,7,2),MID(_xlpm.big,5,2),MID(_xlpm.big,3,2),MID(_xlpm.big,1,2)))</f>
        <v>#NUM!</v>
      </c>
      <c r="J982" s="2" t="str">
        <f t="shared" si="84"/>
        <v>02000000</v>
      </c>
      <c r="K982" s="2" t="str">
        <f>_xlfn.LET(_xlpm.big,IF(H982,DEC2HEX(HEX2DEC(F982),8),DEC2HEX(N982-_xlfn.XLOOKUP(P982,Data!A:A,Data!F:F),8)),_xlfn.CONCAT(MID(_xlpm.big,7,2),MID(_xlpm.big,5,2),MID(_xlpm.big,3,2),MID(_xlpm.big,1,2)))</f>
        <v>FEFFFFFF</v>
      </c>
      <c r="L982" s="2">
        <f t="shared" si="85"/>
        <v>0</v>
      </c>
      <c r="M982" s="2">
        <f t="shared" si="86"/>
        <v>0</v>
      </c>
      <c r="N982" s="2">
        <f t="shared" si="87"/>
        <v>0</v>
      </c>
      <c r="O982" s="2" cm="1">
        <f t="array" ref="O982">_xlfn.IFS(M982&lt;Data!$F$3,0,M982&lt;Data!$F$4,1,TRUE,2)</f>
        <v>0</v>
      </c>
      <c r="P982" s="2" cm="1">
        <f t="array" ref="P982">_xlfn.IFS(H982,3,N982&lt;Data!$F$3,0,N982&lt;Data!$F$4,1,TRUE,2)</f>
        <v>0</v>
      </c>
    </row>
    <row r="983" spans="2:16">
      <c r="B983" s="2"/>
      <c r="G983" s="2" t="str" cm="1">
        <f t="array" ref="G983">_xlfn.CONCAT(IFERROR(I983:K983,""))</f>
        <v>02000000FEFFFFFF</v>
      </c>
      <c r="I983" s="2" t="e">
        <f>_xlfn.LET(_xlpm.big,DEC2HEX(_xlfn.BITLSHIFT(M983-_xlfn.XLOOKUP(O983,Data!A:A,Data!F:F),4)+O983,8),_xlfn.CONCAT(MID(_xlpm.big,7,2),MID(_xlpm.big,5,2),MID(_xlpm.big,3,2),MID(_xlpm.big,1,2)))</f>
        <v>#NUM!</v>
      </c>
      <c r="J983" s="2" t="str">
        <f t="shared" si="84"/>
        <v>02000000</v>
      </c>
      <c r="K983" s="2" t="str">
        <f>_xlfn.LET(_xlpm.big,IF(H983,DEC2HEX(HEX2DEC(F983),8),DEC2HEX(N983-_xlfn.XLOOKUP(P983,Data!A:A,Data!F:F),8)),_xlfn.CONCAT(MID(_xlpm.big,7,2),MID(_xlpm.big,5,2),MID(_xlpm.big,3,2),MID(_xlpm.big,1,2)))</f>
        <v>FEFFFFFF</v>
      </c>
      <c r="L983" s="2">
        <f t="shared" si="85"/>
        <v>0</v>
      </c>
      <c r="M983" s="2">
        <f t="shared" si="86"/>
        <v>0</v>
      </c>
      <c r="N983" s="2">
        <f t="shared" si="87"/>
        <v>0</v>
      </c>
      <c r="O983" s="2" cm="1">
        <f t="array" ref="O983">_xlfn.IFS(M983&lt;Data!$F$3,0,M983&lt;Data!$F$4,1,TRUE,2)</f>
        <v>0</v>
      </c>
      <c r="P983" s="2" cm="1">
        <f t="array" ref="P983">_xlfn.IFS(H983,3,N983&lt;Data!$F$3,0,N983&lt;Data!$F$4,1,TRUE,2)</f>
        <v>0</v>
      </c>
    </row>
    <row r="984" spans="2:16">
      <c r="B984" s="2"/>
      <c r="G984" s="2" t="str" cm="1">
        <f t="array" ref="G984">_xlfn.CONCAT(IFERROR(I984:K984,""))</f>
        <v>02000000FEFFFFFF</v>
      </c>
      <c r="I984" s="2" t="e">
        <f>_xlfn.LET(_xlpm.big,DEC2HEX(_xlfn.BITLSHIFT(M984-_xlfn.XLOOKUP(O984,Data!A:A,Data!F:F),4)+O984,8),_xlfn.CONCAT(MID(_xlpm.big,7,2),MID(_xlpm.big,5,2),MID(_xlpm.big,3,2),MID(_xlpm.big,1,2)))</f>
        <v>#NUM!</v>
      </c>
      <c r="J984" s="2" t="str">
        <f t="shared" si="84"/>
        <v>02000000</v>
      </c>
      <c r="K984" s="2" t="str">
        <f>_xlfn.LET(_xlpm.big,IF(H984,DEC2HEX(HEX2DEC(F984),8),DEC2HEX(N984-_xlfn.XLOOKUP(P984,Data!A:A,Data!F:F),8)),_xlfn.CONCAT(MID(_xlpm.big,7,2),MID(_xlpm.big,5,2),MID(_xlpm.big,3,2),MID(_xlpm.big,1,2)))</f>
        <v>FEFFFFFF</v>
      </c>
      <c r="L984" s="2">
        <f t="shared" si="85"/>
        <v>0</v>
      </c>
      <c r="M984" s="2">
        <f t="shared" si="86"/>
        <v>0</v>
      </c>
      <c r="N984" s="2">
        <f t="shared" si="87"/>
        <v>0</v>
      </c>
      <c r="O984" s="2" cm="1">
        <f t="array" ref="O984">_xlfn.IFS(M984&lt;Data!$F$3,0,M984&lt;Data!$F$4,1,TRUE,2)</f>
        <v>0</v>
      </c>
      <c r="P984" s="2" cm="1">
        <f t="array" ref="P984">_xlfn.IFS(H984,3,N984&lt;Data!$F$3,0,N984&lt;Data!$F$4,1,TRUE,2)</f>
        <v>0</v>
      </c>
    </row>
    <row r="985" spans="2:16">
      <c r="B985" s="2"/>
      <c r="G985" s="2" t="str" cm="1">
        <f t="array" ref="G985">_xlfn.CONCAT(IFERROR(I985:K985,""))</f>
        <v>02000000FEFFFFFF</v>
      </c>
      <c r="I985" s="2" t="e">
        <f>_xlfn.LET(_xlpm.big,DEC2HEX(_xlfn.BITLSHIFT(M985-_xlfn.XLOOKUP(O985,Data!A:A,Data!F:F),4)+O985,8),_xlfn.CONCAT(MID(_xlpm.big,7,2),MID(_xlpm.big,5,2),MID(_xlpm.big,3,2),MID(_xlpm.big,1,2)))</f>
        <v>#NUM!</v>
      </c>
      <c r="J985" s="2" t="str">
        <f t="shared" si="84"/>
        <v>02000000</v>
      </c>
      <c r="K985" s="2" t="str">
        <f>_xlfn.LET(_xlpm.big,IF(H985,DEC2HEX(HEX2DEC(F985),8),DEC2HEX(N985-_xlfn.XLOOKUP(P985,Data!A:A,Data!F:F),8)),_xlfn.CONCAT(MID(_xlpm.big,7,2),MID(_xlpm.big,5,2),MID(_xlpm.big,3,2),MID(_xlpm.big,1,2)))</f>
        <v>FEFFFFFF</v>
      </c>
      <c r="L985" s="2">
        <f t="shared" si="85"/>
        <v>0</v>
      </c>
      <c r="M985" s="2">
        <f t="shared" si="86"/>
        <v>0</v>
      </c>
      <c r="N985" s="2">
        <f t="shared" si="87"/>
        <v>0</v>
      </c>
      <c r="O985" s="2" cm="1">
        <f t="array" ref="O985">_xlfn.IFS(M985&lt;Data!$F$3,0,M985&lt;Data!$F$4,1,TRUE,2)</f>
        <v>0</v>
      </c>
      <c r="P985" s="2" cm="1">
        <f t="array" ref="P985">_xlfn.IFS(H985,3,N985&lt;Data!$F$3,0,N985&lt;Data!$F$4,1,TRUE,2)</f>
        <v>0</v>
      </c>
    </row>
    <row r="986" spans="2:16">
      <c r="G986" s="2" t="str" cm="1">
        <f t="array" ref="G986">_xlfn.CONCAT(IFERROR(I986:K986,""))</f>
        <v>02000000FEFFFFFF</v>
      </c>
      <c r="I986" s="2" t="e">
        <f>_xlfn.LET(_xlpm.big,DEC2HEX(_xlfn.BITLSHIFT(M986-_xlfn.XLOOKUP(O986,Data!A:A,Data!F:F),4)+O986,8),_xlfn.CONCAT(MID(_xlpm.big,7,2),MID(_xlpm.big,5,2),MID(_xlpm.big,3,2),MID(_xlpm.big,1,2)))</f>
        <v>#NUM!</v>
      </c>
      <c r="J986" s="2" t="str">
        <f t="shared" ref="J986:J1012" si="88">_xlfn.CONCAT("02",DEC2HEX(P986,2),"0000")</f>
        <v>02000000</v>
      </c>
      <c r="K986" s="2" t="str">
        <f>_xlfn.LET(_xlpm.big,IF(H986,DEC2HEX(HEX2DEC(F986),8),DEC2HEX(N986-_xlfn.XLOOKUP(P986,Data!A:A,Data!F:F),8)),_xlfn.CONCAT(MID(_xlpm.big,7,2),MID(_xlpm.big,5,2),MID(_xlpm.big,3,2),MID(_xlpm.big,1,2)))</f>
        <v>FEFFFFFF</v>
      </c>
      <c r="L986" s="2">
        <f t="shared" ref="L986:L1012" si="89">HEX2DEC(D986)</f>
        <v>0</v>
      </c>
      <c r="M986" s="2">
        <f t="shared" ref="M986:M1012" si="90">HEX2DEC(E986)</f>
        <v>0</v>
      </c>
      <c r="N986" s="2">
        <f t="shared" ref="N986:N1012" si="91">HEX2DEC(F986)</f>
        <v>0</v>
      </c>
      <c r="O986" s="2" cm="1">
        <f t="array" ref="O986">_xlfn.IFS(M986&lt;Data!$F$3,0,M986&lt;Data!$F$4,1,TRUE,2)</f>
        <v>0</v>
      </c>
      <c r="P986" s="2" cm="1">
        <f t="array" ref="P986">_xlfn.IFS(H986,3,N986&lt;Data!$F$3,0,N986&lt;Data!$F$4,1,TRUE,2)</f>
        <v>0</v>
      </c>
    </row>
    <row r="987" spans="2:16">
      <c r="E987" s="16"/>
      <c r="G987" s="2" t="str" cm="1">
        <f t="array" ref="G987">_xlfn.CONCAT(IFERROR(I987:K987,""))</f>
        <v>02000000FEFFFFFF</v>
      </c>
      <c r="I987" s="2" t="e">
        <f>_xlfn.LET(_xlpm.big,DEC2HEX(_xlfn.BITLSHIFT(M987-_xlfn.XLOOKUP(O987,Data!A:A,Data!F:F),4)+O987,8),_xlfn.CONCAT(MID(_xlpm.big,7,2),MID(_xlpm.big,5,2),MID(_xlpm.big,3,2),MID(_xlpm.big,1,2)))</f>
        <v>#NUM!</v>
      </c>
      <c r="J987" s="2" t="str">
        <f t="shared" si="88"/>
        <v>02000000</v>
      </c>
      <c r="K987" s="2" t="str">
        <f>_xlfn.LET(_xlpm.big,IF(H987,DEC2HEX(HEX2DEC(F987),8),DEC2HEX(N987-_xlfn.XLOOKUP(P987,Data!A:A,Data!F:F),8)),_xlfn.CONCAT(MID(_xlpm.big,7,2),MID(_xlpm.big,5,2),MID(_xlpm.big,3,2),MID(_xlpm.big,1,2)))</f>
        <v>FEFFFFFF</v>
      </c>
      <c r="L987" s="2">
        <f t="shared" si="89"/>
        <v>0</v>
      </c>
      <c r="M987" s="2">
        <f t="shared" si="90"/>
        <v>0</v>
      </c>
      <c r="N987" s="2">
        <f t="shared" si="91"/>
        <v>0</v>
      </c>
      <c r="O987" s="2" cm="1">
        <f t="array" ref="O987">_xlfn.IFS(M987&lt;Data!$F$3,0,M987&lt;Data!$F$4,1,TRUE,2)</f>
        <v>0</v>
      </c>
      <c r="P987" s="2" cm="1">
        <f t="array" ref="P987">_xlfn.IFS(H987,3,N987&lt;Data!$F$3,0,N987&lt;Data!$F$4,1,TRUE,2)</f>
        <v>0</v>
      </c>
    </row>
    <row r="988" spans="2:16">
      <c r="E988" s="16"/>
      <c r="G988" s="2" t="str" cm="1">
        <f t="array" ref="G988">_xlfn.CONCAT(IFERROR(I988:K988,""))</f>
        <v>02000000FEFFFFFF</v>
      </c>
      <c r="I988" s="2" t="e">
        <f>_xlfn.LET(_xlpm.big,DEC2HEX(_xlfn.BITLSHIFT(M988-_xlfn.XLOOKUP(O988,Data!A:A,Data!F:F),4)+O988,8),_xlfn.CONCAT(MID(_xlpm.big,7,2),MID(_xlpm.big,5,2),MID(_xlpm.big,3,2),MID(_xlpm.big,1,2)))</f>
        <v>#NUM!</v>
      </c>
      <c r="J988" s="2" t="str">
        <f t="shared" si="88"/>
        <v>02000000</v>
      </c>
      <c r="K988" s="2" t="str">
        <f>_xlfn.LET(_xlpm.big,IF(H988,DEC2HEX(HEX2DEC(F988),8),DEC2HEX(N988-_xlfn.XLOOKUP(P988,Data!A:A,Data!F:F),8)),_xlfn.CONCAT(MID(_xlpm.big,7,2),MID(_xlpm.big,5,2),MID(_xlpm.big,3,2),MID(_xlpm.big,1,2)))</f>
        <v>FEFFFFFF</v>
      </c>
      <c r="L988" s="2">
        <f t="shared" si="89"/>
        <v>0</v>
      </c>
      <c r="M988" s="2">
        <f t="shared" si="90"/>
        <v>0</v>
      </c>
      <c r="N988" s="2">
        <f t="shared" si="91"/>
        <v>0</v>
      </c>
      <c r="O988" s="2" cm="1">
        <f t="array" ref="O988">_xlfn.IFS(M988&lt;Data!$F$3,0,M988&lt;Data!$F$4,1,TRUE,2)</f>
        <v>0</v>
      </c>
      <c r="P988" s="2" cm="1">
        <f t="array" ref="P988">_xlfn.IFS(H988,3,N988&lt;Data!$F$3,0,N988&lt;Data!$F$4,1,TRUE,2)</f>
        <v>0</v>
      </c>
    </row>
    <row r="989" spans="2:16">
      <c r="G989" s="2" t="str" cm="1">
        <f t="array" ref="G989">_xlfn.CONCAT(IFERROR(I989:K989,""))</f>
        <v>02000000FEFFFFFF</v>
      </c>
      <c r="I989" s="2" t="e">
        <f>_xlfn.LET(_xlpm.big,DEC2HEX(_xlfn.BITLSHIFT(M989-_xlfn.XLOOKUP(O989,Data!A:A,Data!F:F),4)+O989,8),_xlfn.CONCAT(MID(_xlpm.big,7,2),MID(_xlpm.big,5,2),MID(_xlpm.big,3,2),MID(_xlpm.big,1,2)))</f>
        <v>#NUM!</v>
      </c>
      <c r="J989" s="2" t="str">
        <f t="shared" si="88"/>
        <v>02000000</v>
      </c>
      <c r="K989" s="2" t="str">
        <f>_xlfn.LET(_xlpm.big,IF(H989,DEC2HEX(HEX2DEC(F989),8),DEC2HEX(N989-_xlfn.XLOOKUP(P989,Data!A:A,Data!F:F),8)),_xlfn.CONCAT(MID(_xlpm.big,7,2),MID(_xlpm.big,5,2),MID(_xlpm.big,3,2),MID(_xlpm.big,1,2)))</f>
        <v>FEFFFFFF</v>
      </c>
      <c r="L989" s="2">
        <f t="shared" si="89"/>
        <v>0</v>
      </c>
      <c r="M989" s="2">
        <f t="shared" si="90"/>
        <v>0</v>
      </c>
      <c r="N989" s="2">
        <f t="shared" si="91"/>
        <v>0</v>
      </c>
      <c r="O989" s="2" cm="1">
        <f t="array" ref="O989">_xlfn.IFS(M989&lt;Data!$F$3,0,M989&lt;Data!$F$4,1,TRUE,2)</f>
        <v>0</v>
      </c>
      <c r="P989" s="2" cm="1">
        <f t="array" ref="P989">_xlfn.IFS(H989,3,N989&lt;Data!$F$3,0,N989&lt;Data!$F$4,1,TRUE,2)</f>
        <v>0</v>
      </c>
    </row>
    <row r="990" spans="2:16">
      <c r="E990" s="16"/>
      <c r="G990" s="2" t="str" cm="1">
        <f t="array" ref="G990">_xlfn.CONCAT(IFERROR(I990:K990,""))</f>
        <v>02000000FEFFFFFF</v>
      </c>
      <c r="I990" s="2" t="e">
        <f>_xlfn.LET(_xlpm.big,DEC2HEX(_xlfn.BITLSHIFT(M990-_xlfn.XLOOKUP(O990,Data!A:A,Data!F:F),4)+O990,8),_xlfn.CONCAT(MID(_xlpm.big,7,2),MID(_xlpm.big,5,2),MID(_xlpm.big,3,2),MID(_xlpm.big,1,2)))</f>
        <v>#NUM!</v>
      </c>
      <c r="J990" s="2" t="str">
        <f t="shared" si="88"/>
        <v>02000000</v>
      </c>
      <c r="K990" s="2" t="str">
        <f>_xlfn.LET(_xlpm.big,IF(H990,DEC2HEX(HEX2DEC(F990),8),DEC2HEX(N990-_xlfn.XLOOKUP(P990,Data!A:A,Data!F:F),8)),_xlfn.CONCAT(MID(_xlpm.big,7,2),MID(_xlpm.big,5,2),MID(_xlpm.big,3,2),MID(_xlpm.big,1,2)))</f>
        <v>FEFFFFFF</v>
      </c>
      <c r="L990" s="2">
        <f t="shared" si="89"/>
        <v>0</v>
      </c>
      <c r="M990" s="2">
        <f t="shared" si="90"/>
        <v>0</v>
      </c>
      <c r="N990" s="2">
        <f t="shared" si="91"/>
        <v>0</v>
      </c>
      <c r="O990" s="2" cm="1">
        <f t="array" ref="O990">_xlfn.IFS(M990&lt;Data!$F$3,0,M990&lt;Data!$F$4,1,TRUE,2)</f>
        <v>0</v>
      </c>
      <c r="P990" s="2" cm="1">
        <f t="array" ref="P990">_xlfn.IFS(H990,3,N990&lt;Data!$F$3,0,N990&lt;Data!$F$4,1,TRUE,2)</f>
        <v>0</v>
      </c>
    </row>
    <row r="991" spans="2:16">
      <c r="E991" s="16"/>
      <c r="G991" s="2" t="str" cm="1">
        <f t="array" ref="G991">_xlfn.CONCAT(IFERROR(I991:K991,""))</f>
        <v>02000000FEFFFFFF</v>
      </c>
      <c r="I991" s="2" t="e">
        <f>_xlfn.LET(_xlpm.big,DEC2HEX(_xlfn.BITLSHIFT(M991-_xlfn.XLOOKUP(O991,Data!A:A,Data!F:F),4)+O991,8),_xlfn.CONCAT(MID(_xlpm.big,7,2),MID(_xlpm.big,5,2),MID(_xlpm.big,3,2),MID(_xlpm.big,1,2)))</f>
        <v>#NUM!</v>
      </c>
      <c r="J991" s="2" t="str">
        <f t="shared" si="88"/>
        <v>02000000</v>
      </c>
      <c r="K991" s="2" t="str">
        <f>_xlfn.LET(_xlpm.big,IF(H991,DEC2HEX(HEX2DEC(F991),8),DEC2HEX(N991-_xlfn.XLOOKUP(P991,Data!A:A,Data!F:F),8)),_xlfn.CONCAT(MID(_xlpm.big,7,2),MID(_xlpm.big,5,2),MID(_xlpm.big,3,2),MID(_xlpm.big,1,2)))</f>
        <v>FEFFFFFF</v>
      </c>
      <c r="L991" s="2">
        <f t="shared" si="89"/>
        <v>0</v>
      </c>
      <c r="M991" s="2">
        <f t="shared" si="90"/>
        <v>0</v>
      </c>
      <c r="N991" s="2">
        <f t="shared" si="91"/>
        <v>0</v>
      </c>
      <c r="O991" s="2" cm="1">
        <f t="array" ref="O991">_xlfn.IFS(M991&lt;Data!$F$3,0,M991&lt;Data!$F$4,1,TRUE,2)</f>
        <v>0</v>
      </c>
      <c r="P991" s="2" cm="1">
        <f t="array" ref="P991">_xlfn.IFS(H991,3,N991&lt;Data!$F$3,0,N991&lt;Data!$F$4,1,TRUE,2)</f>
        <v>0</v>
      </c>
    </row>
    <row r="992" spans="2:16">
      <c r="E992" s="16"/>
      <c r="G992" s="2" t="str" cm="1">
        <f t="array" ref="G992">_xlfn.CONCAT(IFERROR(I992:K992,""))</f>
        <v>02000000FEFFFFFF</v>
      </c>
      <c r="I992" s="2" t="e">
        <f>_xlfn.LET(_xlpm.big,DEC2HEX(_xlfn.BITLSHIFT(M992-_xlfn.XLOOKUP(O992,Data!A:A,Data!F:F),4)+O992,8),_xlfn.CONCAT(MID(_xlpm.big,7,2),MID(_xlpm.big,5,2),MID(_xlpm.big,3,2),MID(_xlpm.big,1,2)))</f>
        <v>#NUM!</v>
      </c>
      <c r="J992" s="2" t="str">
        <f t="shared" si="88"/>
        <v>02000000</v>
      </c>
      <c r="K992" s="2" t="str">
        <f>_xlfn.LET(_xlpm.big,IF(H992,DEC2HEX(HEX2DEC(F992),8),DEC2HEX(N992-_xlfn.XLOOKUP(P992,Data!A:A,Data!F:F),8)),_xlfn.CONCAT(MID(_xlpm.big,7,2),MID(_xlpm.big,5,2),MID(_xlpm.big,3,2),MID(_xlpm.big,1,2)))</f>
        <v>FEFFFFFF</v>
      </c>
      <c r="L992" s="2">
        <f t="shared" si="89"/>
        <v>0</v>
      </c>
      <c r="M992" s="2">
        <f t="shared" si="90"/>
        <v>0</v>
      </c>
      <c r="N992" s="2">
        <f t="shared" si="91"/>
        <v>0</v>
      </c>
      <c r="O992" s="2" cm="1">
        <f t="array" ref="O992">_xlfn.IFS(M992&lt;Data!$F$3,0,M992&lt;Data!$F$4,1,TRUE,2)</f>
        <v>0</v>
      </c>
      <c r="P992" s="2" cm="1">
        <f t="array" ref="P992">_xlfn.IFS(H992,3,N992&lt;Data!$F$3,0,N992&lt;Data!$F$4,1,TRUE,2)</f>
        <v>0</v>
      </c>
    </row>
    <row r="993" spans="2:16">
      <c r="E993" s="16"/>
      <c r="G993" s="2" t="str" cm="1">
        <f t="array" ref="G993">_xlfn.CONCAT(IFERROR(I993:K993,""))</f>
        <v>02000000FEFFFFFF</v>
      </c>
      <c r="I993" s="2" t="e">
        <f>_xlfn.LET(_xlpm.big,DEC2HEX(_xlfn.BITLSHIFT(M993-_xlfn.XLOOKUP(O993,Data!A:A,Data!F:F),4)+O993,8),_xlfn.CONCAT(MID(_xlpm.big,7,2),MID(_xlpm.big,5,2),MID(_xlpm.big,3,2),MID(_xlpm.big,1,2)))</f>
        <v>#NUM!</v>
      </c>
      <c r="J993" s="2" t="str">
        <f t="shared" si="88"/>
        <v>02000000</v>
      </c>
      <c r="K993" s="2" t="str">
        <f>_xlfn.LET(_xlpm.big,IF(H993,DEC2HEX(HEX2DEC(F993),8),DEC2HEX(N993-_xlfn.XLOOKUP(P993,Data!A:A,Data!F:F),8)),_xlfn.CONCAT(MID(_xlpm.big,7,2),MID(_xlpm.big,5,2),MID(_xlpm.big,3,2),MID(_xlpm.big,1,2)))</f>
        <v>FEFFFFFF</v>
      </c>
      <c r="L993" s="2">
        <f t="shared" si="89"/>
        <v>0</v>
      </c>
      <c r="M993" s="2">
        <f t="shared" si="90"/>
        <v>0</v>
      </c>
      <c r="N993" s="2">
        <f t="shared" si="91"/>
        <v>0</v>
      </c>
      <c r="O993" s="2" cm="1">
        <f t="array" ref="O993">_xlfn.IFS(M993&lt;Data!$F$3,0,M993&lt;Data!$F$4,1,TRUE,2)</f>
        <v>0</v>
      </c>
      <c r="P993" s="2" cm="1">
        <f t="array" ref="P993">_xlfn.IFS(H993,3,N993&lt;Data!$F$3,0,N993&lt;Data!$F$4,1,TRUE,2)</f>
        <v>0</v>
      </c>
    </row>
    <row r="994" spans="2:16">
      <c r="F994" s="2"/>
      <c r="G994" s="2" t="str" cm="1">
        <f t="array" ref="G994">_xlfn.CONCAT(IFERROR(I994:K994,""))</f>
        <v>02000000FEFFFFFF</v>
      </c>
      <c r="I994" s="2" t="e">
        <f>_xlfn.LET(_xlpm.big,DEC2HEX(_xlfn.BITLSHIFT(M994-_xlfn.XLOOKUP(O994,Data!A:A,Data!F:F),4)+O994,8),_xlfn.CONCAT(MID(_xlpm.big,7,2),MID(_xlpm.big,5,2),MID(_xlpm.big,3,2),MID(_xlpm.big,1,2)))</f>
        <v>#NUM!</v>
      </c>
      <c r="J994" s="2" t="str">
        <f t="shared" si="88"/>
        <v>02000000</v>
      </c>
      <c r="K994" s="2" t="str">
        <f>_xlfn.LET(_xlpm.big,IF(H994,DEC2HEX(HEX2DEC(F994),8),DEC2HEX(N994-_xlfn.XLOOKUP(P994,Data!A:A,Data!F:F),8)),_xlfn.CONCAT(MID(_xlpm.big,7,2),MID(_xlpm.big,5,2),MID(_xlpm.big,3,2),MID(_xlpm.big,1,2)))</f>
        <v>FEFFFFFF</v>
      </c>
      <c r="L994" s="2">
        <f t="shared" si="89"/>
        <v>0</v>
      </c>
      <c r="M994" s="2">
        <f t="shared" si="90"/>
        <v>0</v>
      </c>
      <c r="N994" s="2">
        <f t="shared" si="91"/>
        <v>0</v>
      </c>
      <c r="O994" s="2" cm="1">
        <f t="array" ref="O994">_xlfn.IFS(M994&lt;Data!$F$3,0,M994&lt;Data!$F$4,1,TRUE,2)</f>
        <v>0</v>
      </c>
      <c r="P994" s="2" cm="1">
        <f t="array" ref="P994">_xlfn.IFS(H994,3,N994&lt;Data!$F$3,0,N994&lt;Data!$F$4,1,TRUE,2)</f>
        <v>0</v>
      </c>
    </row>
    <row r="995" spans="2:16">
      <c r="B995" s="2"/>
      <c r="G995" s="2" t="str" cm="1">
        <f t="array" ref="G995">_xlfn.CONCAT(IFERROR(I995:K995,""))</f>
        <v>02000000FEFFFFFF</v>
      </c>
      <c r="I995" s="2" t="e">
        <f>_xlfn.LET(_xlpm.big,DEC2HEX(_xlfn.BITLSHIFT(M995-_xlfn.XLOOKUP(O995,Data!A:A,Data!F:F),4)+O995,8),_xlfn.CONCAT(MID(_xlpm.big,7,2),MID(_xlpm.big,5,2),MID(_xlpm.big,3,2),MID(_xlpm.big,1,2)))</f>
        <v>#NUM!</v>
      </c>
      <c r="J995" s="2" t="str">
        <f t="shared" si="88"/>
        <v>02000000</v>
      </c>
      <c r="K995" s="2" t="str">
        <f>_xlfn.LET(_xlpm.big,IF(H995,DEC2HEX(HEX2DEC(F995),8),DEC2HEX(N995-_xlfn.XLOOKUP(P995,Data!A:A,Data!F:F),8)),_xlfn.CONCAT(MID(_xlpm.big,7,2),MID(_xlpm.big,5,2),MID(_xlpm.big,3,2),MID(_xlpm.big,1,2)))</f>
        <v>FEFFFFFF</v>
      </c>
      <c r="L995" s="2">
        <f t="shared" si="89"/>
        <v>0</v>
      </c>
      <c r="M995" s="2">
        <f t="shared" si="90"/>
        <v>0</v>
      </c>
      <c r="N995" s="2">
        <f t="shared" si="91"/>
        <v>0</v>
      </c>
      <c r="O995" s="2" cm="1">
        <f t="array" ref="O995">_xlfn.IFS(M995&lt;Data!$F$3,0,M995&lt;Data!$F$4,1,TRUE,2)</f>
        <v>0</v>
      </c>
      <c r="P995" s="2" cm="1">
        <f t="array" ref="P995">_xlfn.IFS(H995,3,N995&lt;Data!$F$3,0,N995&lt;Data!$F$4,1,TRUE,2)</f>
        <v>0</v>
      </c>
    </row>
    <row r="996" spans="2:16">
      <c r="G996" s="2" t="str" cm="1">
        <f t="array" ref="G996">_xlfn.CONCAT(IFERROR(I996:K996,""))</f>
        <v>02000000FEFFFFFF</v>
      </c>
      <c r="I996" s="2" t="e">
        <f>_xlfn.LET(_xlpm.big,DEC2HEX(_xlfn.BITLSHIFT(M996-_xlfn.XLOOKUP(O996,Data!A:A,Data!F:F),4)+O996,8),_xlfn.CONCAT(MID(_xlpm.big,7,2),MID(_xlpm.big,5,2),MID(_xlpm.big,3,2),MID(_xlpm.big,1,2)))</f>
        <v>#NUM!</v>
      </c>
      <c r="J996" s="2" t="str">
        <f t="shared" si="88"/>
        <v>02000000</v>
      </c>
      <c r="K996" s="2" t="str">
        <f>_xlfn.LET(_xlpm.big,IF(H996,DEC2HEX(HEX2DEC(F996),8),DEC2HEX(N996-_xlfn.XLOOKUP(P996,Data!A:A,Data!F:F),8)),_xlfn.CONCAT(MID(_xlpm.big,7,2),MID(_xlpm.big,5,2),MID(_xlpm.big,3,2),MID(_xlpm.big,1,2)))</f>
        <v>FEFFFFFF</v>
      </c>
      <c r="L996" s="2">
        <f t="shared" si="89"/>
        <v>0</v>
      </c>
      <c r="M996" s="2">
        <f t="shared" si="90"/>
        <v>0</v>
      </c>
      <c r="N996" s="2">
        <f t="shared" si="91"/>
        <v>0</v>
      </c>
      <c r="O996" s="2" cm="1">
        <f t="array" ref="O996">_xlfn.IFS(M996&lt;Data!$F$3,0,M996&lt;Data!$F$4,1,TRUE,2)</f>
        <v>0</v>
      </c>
      <c r="P996" s="2" cm="1">
        <f t="array" ref="P996">_xlfn.IFS(H996,3,N996&lt;Data!$F$3,0,N996&lt;Data!$F$4,1,TRUE,2)</f>
        <v>0</v>
      </c>
    </row>
    <row r="997" spans="2:16">
      <c r="F997" s="2"/>
      <c r="G997" s="2" t="str" cm="1">
        <f t="array" ref="G997">_xlfn.CONCAT(IFERROR(I997:K997,""))</f>
        <v>02000000FEFFFFFF</v>
      </c>
      <c r="I997" s="2" t="e">
        <f>_xlfn.LET(_xlpm.big,DEC2HEX(_xlfn.BITLSHIFT(M997-_xlfn.XLOOKUP(O997,Data!A:A,Data!F:F),4)+O997,8),_xlfn.CONCAT(MID(_xlpm.big,7,2),MID(_xlpm.big,5,2),MID(_xlpm.big,3,2),MID(_xlpm.big,1,2)))</f>
        <v>#NUM!</v>
      </c>
      <c r="J997" s="2" t="str">
        <f t="shared" si="88"/>
        <v>02000000</v>
      </c>
      <c r="K997" s="2" t="str">
        <f>_xlfn.LET(_xlpm.big,IF(H997,DEC2HEX(HEX2DEC(F997),8),DEC2HEX(N997-_xlfn.XLOOKUP(P997,Data!A:A,Data!F:F),8)),_xlfn.CONCAT(MID(_xlpm.big,7,2),MID(_xlpm.big,5,2),MID(_xlpm.big,3,2),MID(_xlpm.big,1,2)))</f>
        <v>FEFFFFFF</v>
      </c>
      <c r="L997" s="2">
        <f t="shared" si="89"/>
        <v>0</v>
      </c>
      <c r="M997" s="2">
        <f t="shared" si="90"/>
        <v>0</v>
      </c>
      <c r="N997" s="2">
        <f t="shared" si="91"/>
        <v>0</v>
      </c>
      <c r="O997" s="2" cm="1">
        <f t="array" ref="O997">_xlfn.IFS(M997&lt;Data!$F$3,0,M997&lt;Data!$F$4,1,TRUE,2)</f>
        <v>0</v>
      </c>
      <c r="P997" s="2" cm="1">
        <f t="array" ref="P997">_xlfn.IFS(H997,3,N997&lt;Data!$F$3,0,N997&lt;Data!$F$4,1,TRUE,2)</f>
        <v>0</v>
      </c>
    </row>
    <row r="998" spans="2:16">
      <c r="G998" s="2" t="str" cm="1">
        <f t="array" ref="G998">_xlfn.CONCAT(IFERROR(I998:K998,""))</f>
        <v>02000000FEFFFFFF</v>
      </c>
      <c r="I998" s="2" t="e">
        <f>_xlfn.LET(_xlpm.big,DEC2HEX(_xlfn.BITLSHIFT(M998-_xlfn.XLOOKUP(O998,Data!A:A,Data!F:F),4)+O998,8),_xlfn.CONCAT(MID(_xlpm.big,7,2),MID(_xlpm.big,5,2),MID(_xlpm.big,3,2),MID(_xlpm.big,1,2)))</f>
        <v>#NUM!</v>
      </c>
      <c r="J998" s="2" t="str">
        <f t="shared" si="88"/>
        <v>02000000</v>
      </c>
      <c r="K998" s="2" t="str">
        <f>_xlfn.LET(_xlpm.big,IF(H998,DEC2HEX(HEX2DEC(F998),8),DEC2HEX(N998-_xlfn.XLOOKUP(P998,Data!A:A,Data!F:F),8)),_xlfn.CONCAT(MID(_xlpm.big,7,2),MID(_xlpm.big,5,2),MID(_xlpm.big,3,2),MID(_xlpm.big,1,2)))</f>
        <v>FEFFFFFF</v>
      </c>
      <c r="L998" s="2">
        <f t="shared" si="89"/>
        <v>0</v>
      </c>
      <c r="M998" s="2">
        <f t="shared" si="90"/>
        <v>0</v>
      </c>
      <c r="N998" s="2">
        <f t="shared" si="91"/>
        <v>0</v>
      </c>
      <c r="O998" s="2" cm="1">
        <f t="array" ref="O998">_xlfn.IFS(M998&lt;Data!$F$3,0,M998&lt;Data!$F$4,1,TRUE,2)</f>
        <v>0</v>
      </c>
      <c r="P998" s="2" cm="1">
        <f t="array" ref="P998">_xlfn.IFS(H998,3,N998&lt;Data!$F$3,0,N998&lt;Data!$F$4,1,TRUE,2)</f>
        <v>0</v>
      </c>
    </row>
    <row r="999" spans="2:16">
      <c r="G999" s="2" t="str" cm="1">
        <f t="array" ref="G999">_xlfn.CONCAT(IFERROR(I999:K999,""))</f>
        <v>02000000FEFFFFFF</v>
      </c>
      <c r="I999" s="2" t="e">
        <f>_xlfn.LET(_xlpm.big,DEC2HEX(_xlfn.BITLSHIFT(M999-_xlfn.XLOOKUP(O999,Data!A:A,Data!F:F),4)+O999,8),_xlfn.CONCAT(MID(_xlpm.big,7,2),MID(_xlpm.big,5,2),MID(_xlpm.big,3,2),MID(_xlpm.big,1,2)))</f>
        <v>#NUM!</v>
      </c>
      <c r="J999" s="2" t="str">
        <f t="shared" si="88"/>
        <v>02000000</v>
      </c>
      <c r="K999" s="2" t="str">
        <f>_xlfn.LET(_xlpm.big,IF(H999,DEC2HEX(HEX2DEC(F999),8),DEC2HEX(N999-_xlfn.XLOOKUP(P999,Data!A:A,Data!F:F),8)),_xlfn.CONCAT(MID(_xlpm.big,7,2),MID(_xlpm.big,5,2),MID(_xlpm.big,3,2),MID(_xlpm.big,1,2)))</f>
        <v>FEFFFFFF</v>
      </c>
      <c r="L999" s="2">
        <f t="shared" si="89"/>
        <v>0</v>
      </c>
      <c r="M999" s="2">
        <f t="shared" si="90"/>
        <v>0</v>
      </c>
      <c r="N999" s="2">
        <f t="shared" si="91"/>
        <v>0</v>
      </c>
      <c r="O999" s="2" cm="1">
        <f t="array" ref="O999">_xlfn.IFS(M999&lt;Data!$F$3,0,M999&lt;Data!$F$4,1,TRUE,2)</f>
        <v>0</v>
      </c>
      <c r="P999" s="2" cm="1">
        <f t="array" ref="P999">_xlfn.IFS(H999,3,N999&lt;Data!$F$3,0,N999&lt;Data!$F$4,1,TRUE,2)</f>
        <v>0</v>
      </c>
    </row>
    <row r="1000" spans="2:16">
      <c r="G1000" s="2" t="str" cm="1">
        <f t="array" ref="G1000">_xlfn.CONCAT(IFERROR(I1000:K1000,""))</f>
        <v>02000000FEFFFFFF</v>
      </c>
      <c r="I1000" s="2" t="e">
        <f>_xlfn.LET(_xlpm.big,DEC2HEX(_xlfn.BITLSHIFT(M1000-_xlfn.XLOOKUP(O1000,Data!A:A,Data!F:F),4)+O1000,8),_xlfn.CONCAT(MID(_xlpm.big,7,2),MID(_xlpm.big,5,2),MID(_xlpm.big,3,2),MID(_xlpm.big,1,2)))</f>
        <v>#NUM!</v>
      </c>
      <c r="J1000" s="2" t="str">
        <f t="shared" si="88"/>
        <v>02000000</v>
      </c>
      <c r="K1000" s="2" t="str">
        <f>_xlfn.LET(_xlpm.big,IF(H1000,DEC2HEX(HEX2DEC(F1000),8),DEC2HEX(N1000-_xlfn.XLOOKUP(P1000,Data!A:A,Data!F:F),8)),_xlfn.CONCAT(MID(_xlpm.big,7,2),MID(_xlpm.big,5,2),MID(_xlpm.big,3,2),MID(_xlpm.big,1,2)))</f>
        <v>FEFFFFFF</v>
      </c>
      <c r="L1000" s="2">
        <f t="shared" si="89"/>
        <v>0</v>
      </c>
      <c r="M1000" s="2">
        <f t="shared" si="90"/>
        <v>0</v>
      </c>
      <c r="N1000" s="2">
        <f t="shared" si="91"/>
        <v>0</v>
      </c>
      <c r="O1000" s="2" cm="1">
        <f t="array" ref="O1000">_xlfn.IFS(M1000&lt;Data!$F$3,0,M1000&lt;Data!$F$4,1,TRUE,2)</f>
        <v>0</v>
      </c>
      <c r="P1000" s="2" cm="1">
        <f t="array" ref="P1000">_xlfn.IFS(H1000,3,N1000&lt;Data!$F$3,0,N1000&lt;Data!$F$4,1,TRUE,2)</f>
        <v>0</v>
      </c>
    </row>
    <row r="1001" spans="2:16">
      <c r="G1001" s="2" t="str" cm="1">
        <f t="array" ref="G1001">_xlfn.CONCAT(IFERROR(I1001:K1001,""))</f>
        <v>02000000FEFFFFFF</v>
      </c>
      <c r="I1001" s="2" t="e">
        <f>_xlfn.LET(_xlpm.big,DEC2HEX(_xlfn.BITLSHIFT(M1001-_xlfn.XLOOKUP(O1001,Data!A:A,Data!F:F),4)+O1001,8),_xlfn.CONCAT(MID(_xlpm.big,7,2),MID(_xlpm.big,5,2),MID(_xlpm.big,3,2),MID(_xlpm.big,1,2)))</f>
        <v>#NUM!</v>
      </c>
      <c r="J1001" s="2" t="str">
        <f t="shared" si="88"/>
        <v>02000000</v>
      </c>
      <c r="K1001" s="2" t="str">
        <f>_xlfn.LET(_xlpm.big,IF(H1001,DEC2HEX(HEX2DEC(F1001),8),DEC2HEX(N1001-_xlfn.XLOOKUP(P1001,Data!A:A,Data!F:F),8)),_xlfn.CONCAT(MID(_xlpm.big,7,2),MID(_xlpm.big,5,2),MID(_xlpm.big,3,2),MID(_xlpm.big,1,2)))</f>
        <v>FEFFFFFF</v>
      </c>
      <c r="L1001" s="2">
        <f t="shared" si="89"/>
        <v>0</v>
      </c>
      <c r="M1001" s="2">
        <f t="shared" si="90"/>
        <v>0</v>
      </c>
      <c r="N1001" s="2">
        <f t="shared" si="91"/>
        <v>0</v>
      </c>
      <c r="O1001" s="2" cm="1">
        <f t="array" ref="O1001">_xlfn.IFS(M1001&lt;Data!$F$3,0,M1001&lt;Data!$F$4,1,TRUE,2)</f>
        <v>0</v>
      </c>
      <c r="P1001" s="2" cm="1">
        <f t="array" ref="P1001">_xlfn.IFS(H1001,3,N1001&lt;Data!$F$3,0,N1001&lt;Data!$F$4,1,TRUE,2)</f>
        <v>0</v>
      </c>
    </row>
    <row r="1002" spans="2:16">
      <c r="E1002" s="16"/>
      <c r="G1002" s="2" t="str" cm="1">
        <f t="array" ref="G1002">_xlfn.CONCAT(IFERROR(I1002:K1002,""))</f>
        <v>02000000FEFFFFFF</v>
      </c>
      <c r="I1002" s="2" t="e">
        <f>_xlfn.LET(_xlpm.big,DEC2HEX(_xlfn.BITLSHIFT(M1002-_xlfn.XLOOKUP(O1002,Data!A:A,Data!F:F),4)+O1002,8),_xlfn.CONCAT(MID(_xlpm.big,7,2),MID(_xlpm.big,5,2),MID(_xlpm.big,3,2),MID(_xlpm.big,1,2)))</f>
        <v>#NUM!</v>
      </c>
      <c r="J1002" s="2" t="str">
        <f t="shared" si="88"/>
        <v>02000000</v>
      </c>
      <c r="K1002" s="2" t="str">
        <f>_xlfn.LET(_xlpm.big,IF(H1002,DEC2HEX(HEX2DEC(F1002),8),DEC2HEX(N1002-_xlfn.XLOOKUP(P1002,Data!A:A,Data!F:F),8)),_xlfn.CONCAT(MID(_xlpm.big,7,2),MID(_xlpm.big,5,2),MID(_xlpm.big,3,2),MID(_xlpm.big,1,2)))</f>
        <v>FEFFFFFF</v>
      </c>
      <c r="L1002" s="2">
        <f t="shared" si="89"/>
        <v>0</v>
      </c>
      <c r="M1002" s="2">
        <f t="shared" si="90"/>
        <v>0</v>
      </c>
      <c r="N1002" s="2">
        <f t="shared" si="91"/>
        <v>0</v>
      </c>
      <c r="O1002" s="2" cm="1">
        <f t="array" ref="O1002">_xlfn.IFS(M1002&lt;Data!$F$3,0,M1002&lt;Data!$F$4,1,TRUE,2)</f>
        <v>0</v>
      </c>
      <c r="P1002" s="2" cm="1">
        <f t="array" ref="P1002">_xlfn.IFS(H1002,3,N1002&lt;Data!$F$3,0,N1002&lt;Data!$F$4,1,TRUE,2)</f>
        <v>0</v>
      </c>
    </row>
    <row r="1003" spans="2:16">
      <c r="E1003" s="16"/>
      <c r="G1003" s="2" t="str" cm="1">
        <f t="array" ref="G1003">_xlfn.CONCAT(IFERROR(I1003:K1003,""))</f>
        <v>02000000FEFFFFFF</v>
      </c>
      <c r="I1003" s="2" t="e">
        <f>_xlfn.LET(_xlpm.big,DEC2HEX(_xlfn.BITLSHIFT(M1003-_xlfn.XLOOKUP(O1003,Data!A:A,Data!F:F),4)+O1003,8),_xlfn.CONCAT(MID(_xlpm.big,7,2),MID(_xlpm.big,5,2),MID(_xlpm.big,3,2),MID(_xlpm.big,1,2)))</f>
        <v>#NUM!</v>
      </c>
      <c r="J1003" s="2" t="str">
        <f t="shared" si="88"/>
        <v>02000000</v>
      </c>
      <c r="K1003" s="2" t="str">
        <f>_xlfn.LET(_xlpm.big,IF(H1003,DEC2HEX(HEX2DEC(F1003),8),DEC2HEX(N1003-_xlfn.XLOOKUP(P1003,Data!A:A,Data!F:F),8)),_xlfn.CONCAT(MID(_xlpm.big,7,2),MID(_xlpm.big,5,2),MID(_xlpm.big,3,2),MID(_xlpm.big,1,2)))</f>
        <v>FEFFFFFF</v>
      </c>
      <c r="L1003" s="2">
        <f t="shared" si="89"/>
        <v>0</v>
      </c>
      <c r="M1003" s="2">
        <f t="shared" si="90"/>
        <v>0</v>
      </c>
      <c r="N1003" s="2">
        <f t="shared" si="91"/>
        <v>0</v>
      </c>
      <c r="O1003" s="2" cm="1">
        <f t="array" ref="O1003">_xlfn.IFS(M1003&lt;Data!$F$3,0,M1003&lt;Data!$F$4,1,TRUE,2)</f>
        <v>0</v>
      </c>
      <c r="P1003" s="2" cm="1">
        <f t="array" ref="P1003">_xlfn.IFS(H1003,3,N1003&lt;Data!$F$3,0,N1003&lt;Data!$F$4,1,TRUE,2)</f>
        <v>0</v>
      </c>
    </row>
    <row r="1004" spans="2:16">
      <c r="E1004" s="16"/>
      <c r="G1004" s="2" t="str" cm="1">
        <f t="array" ref="G1004">_xlfn.CONCAT(IFERROR(I1004:K1004,""))</f>
        <v>02000000FEFFFFFF</v>
      </c>
      <c r="I1004" s="2" t="e">
        <f>_xlfn.LET(_xlpm.big,DEC2HEX(_xlfn.BITLSHIFT(M1004-_xlfn.XLOOKUP(O1004,Data!A:A,Data!F:F),4)+O1004,8),_xlfn.CONCAT(MID(_xlpm.big,7,2),MID(_xlpm.big,5,2),MID(_xlpm.big,3,2),MID(_xlpm.big,1,2)))</f>
        <v>#NUM!</v>
      </c>
      <c r="J1004" s="2" t="str">
        <f t="shared" si="88"/>
        <v>02000000</v>
      </c>
      <c r="K1004" s="2" t="str">
        <f>_xlfn.LET(_xlpm.big,IF(H1004,DEC2HEX(HEX2DEC(F1004),8),DEC2HEX(N1004-_xlfn.XLOOKUP(P1004,Data!A:A,Data!F:F),8)),_xlfn.CONCAT(MID(_xlpm.big,7,2),MID(_xlpm.big,5,2),MID(_xlpm.big,3,2),MID(_xlpm.big,1,2)))</f>
        <v>FEFFFFFF</v>
      </c>
      <c r="L1004" s="2">
        <f t="shared" si="89"/>
        <v>0</v>
      </c>
      <c r="M1004" s="2">
        <f t="shared" si="90"/>
        <v>0</v>
      </c>
      <c r="N1004" s="2">
        <f t="shared" si="91"/>
        <v>0</v>
      </c>
      <c r="O1004" s="2" cm="1">
        <f t="array" ref="O1004">_xlfn.IFS(M1004&lt;Data!$F$3,0,M1004&lt;Data!$F$4,1,TRUE,2)</f>
        <v>0</v>
      </c>
      <c r="P1004" s="2" cm="1">
        <f t="array" ref="P1004">_xlfn.IFS(H1004,3,N1004&lt;Data!$F$3,0,N1004&lt;Data!$F$4,1,TRUE,2)</f>
        <v>0</v>
      </c>
    </row>
    <row r="1005" spans="2:16">
      <c r="E1005" s="16"/>
      <c r="G1005" s="2" t="str" cm="1">
        <f t="array" ref="G1005">_xlfn.CONCAT(IFERROR(I1005:K1005,""))</f>
        <v>02000000FEFFFFFF</v>
      </c>
      <c r="I1005" s="2" t="e">
        <f>_xlfn.LET(_xlpm.big,DEC2HEX(_xlfn.BITLSHIFT(M1005-_xlfn.XLOOKUP(O1005,Data!A:A,Data!F:F),4)+O1005,8),_xlfn.CONCAT(MID(_xlpm.big,7,2),MID(_xlpm.big,5,2),MID(_xlpm.big,3,2),MID(_xlpm.big,1,2)))</f>
        <v>#NUM!</v>
      </c>
      <c r="J1005" s="2" t="str">
        <f t="shared" si="88"/>
        <v>02000000</v>
      </c>
      <c r="K1005" s="2" t="str">
        <f>_xlfn.LET(_xlpm.big,IF(H1005,DEC2HEX(HEX2DEC(F1005),8),DEC2HEX(N1005-_xlfn.XLOOKUP(P1005,Data!A:A,Data!F:F),8)),_xlfn.CONCAT(MID(_xlpm.big,7,2),MID(_xlpm.big,5,2),MID(_xlpm.big,3,2),MID(_xlpm.big,1,2)))</f>
        <v>FEFFFFFF</v>
      </c>
      <c r="L1005" s="2">
        <f t="shared" si="89"/>
        <v>0</v>
      </c>
      <c r="M1005" s="2">
        <f t="shared" si="90"/>
        <v>0</v>
      </c>
      <c r="N1005" s="2">
        <f t="shared" si="91"/>
        <v>0</v>
      </c>
      <c r="O1005" s="2" cm="1">
        <f t="array" ref="O1005">_xlfn.IFS(M1005&lt;Data!$F$3,0,M1005&lt;Data!$F$4,1,TRUE,2)</f>
        <v>0</v>
      </c>
      <c r="P1005" s="2" cm="1">
        <f t="array" ref="P1005">_xlfn.IFS(H1005,3,N1005&lt;Data!$F$3,0,N1005&lt;Data!$F$4,1,TRUE,2)</f>
        <v>0</v>
      </c>
    </row>
    <row r="1006" spans="2:16">
      <c r="E1006" s="16"/>
      <c r="G1006" s="2" t="str" cm="1">
        <f t="array" ref="G1006">_xlfn.CONCAT(IFERROR(I1006:K1006,""))</f>
        <v>02000000FEFFFFFF</v>
      </c>
      <c r="I1006" s="2" t="e">
        <f>_xlfn.LET(_xlpm.big,DEC2HEX(_xlfn.BITLSHIFT(M1006-_xlfn.XLOOKUP(O1006,Data!A:A,Data!F:F),4)+O1006,8),_xlfn.CONCAT(MID(_xlpm.big,7,2),MID(_xlpm.big,5,2),MID(_xlpm.big,3,2),MID(_xlpm.big,1,2)))</f>
        <v>#NUM!</v>
      </c>
      <c r="J1006" s="2" t="str">
        <f t="shared" si="88"/>
        <v>02000000</v>
      </c>
      <c r="K1006" s="2" t="str">
        <f>_xlfn.LET(_xlpm.big,IF(H1006,DEC2HEX(HEX2DEC(F1006),8),DEC2HEX(N1006-_xlfn.XLOOKUP(P1006,Data!A:A,Data!F:F),8)),_xlfn.CONCAT(MID(_xlpm.big,7,2),MID(_xlpm.big,5,2),MID(_xlpm.big,3,2),MID(_xlpm.big,1,2)))</f>
        <v>FEFFFFFF</v>
      </c>
      <c r="L1006" s="2">
        <f t="shared" si="89"/>
        <v>0</v>
      </c>
      <c r="M1006" s="2">
        <f t="shared" si="90"/>
        <v>0</v>
      </c>
      <c r="N1006" s="2">
        <f t="shared" si="91"/>
        <v>0</v>
      </c>
      <c r="O1006" s="2" cm="1">
        <f t="array" ref="O1006">_xlfn.IFS(M1006&lt;Data!$F$3,0,M1006&lt;Data!$F$4,1,TRUE,2)</f>
        <v>0</v>
      </c>
      <c r="P1006" s="2" cm="1">
        <f t="array" ref="P1006">_xlfn.IFS(H1006,3,N1006&lt;Data!$F$3,0,N1006&lt;Data!$F$4,1,TRUE,2)</f>
        <v>0</v>
      </c>
    </row>
    <row r="1007" spans="2:16">
      <c r="E1007" s="16"/>
      <c r="G1007" s="2" t="str" cm="1">
        <f t="array" ref="G1007">_xlfn.CONCAT(IFERROR(I1007:K1007,""))</f>
        <v>02000000FEFFFFFF</v>
      </c>
      <c r="I1007" s="2" t="e">
        <f>_xlfn.LET(_xlpm.big,DEC2HEX(_xlfn.BITLSHIFT(M1007-_xlfn.XLOOKUP(O1007,Data!A:A,Data!F:F),4)+O1007,8),_xlfn.CONCAT(MID(_xlpm.big,7,2),MID(_xlpm.big,5,2),MID(_xlpm.big,3,2),MID(_xlpm.big,1,2)))</f>
        <v>#NUM!</v>
      </c>
      <c r="J1007" s="2" t="str">
        <f t="shared" si="88"/>
        <v>02000000</v>
      </c>
      <c r="K1007" s="2" t="str">
        <f>_xlfn.LET(_xlpm.big,IF(H1007,DEC2HEX(HEX2DEC(F1007),8),DEC2HEX(N1007-_xlfn.XLOOKUP(P1007,Data!A:A,Data!F:F),8)),_xlfn.CONCAT(MID(_xlpm.big,7,2),MID(_xlpm.big,5,2),MID(_xlpm.big,3,2),MID(_xlpm.big,1,2)))</f>
        <v>FEFFFFFF</v>
      </c>
      <c r="L1007" s="2">
        <f t="shared" si="89"/>
        <v>0</v>
      </c>
      <c r="M1007" s="2">
        <f t="shared" si="90"/>
        <v>0</v>
      </c>
      <c r="N1007" s="2">
        <f t="shared" si="91"/>
        <v>0</v>
      </c>
      <c r="O1007" s="2" cm="1">
        <f t="array" ref="O1007">_xlfn.IFS(M1007&lt;Data!$F$3,0,M1007&lt;Data!$F$4,1,TRUE,2)</f>
        <v>0</v>
      </c>
      <c r="P1007" s="2" cm="1">
        <f t="array" ref="P1007">_xlfn.IFS(H1007,3,N1007&lt;Data!$F$3,0,N1007&lt;Data!$F$4,1,TRUE,2)</f>
        <v>0</v>
      </c>
    </row>
    <row r="1008" spans="2:16">
      <c r="B1008" s="2"/>
      <c r="F1008" s="2"/>
      <c r="G1008" s="2" t="str" cm="1">
        <f t="array" ref="G1008">_xlfn.CONCAT(IFERROR(I1008:K1008,""))</f>
        <v>02000000FEFFFFFF</v>
      </c>
      <c r="I1008" s="2" t="e">
        <f>_xlfn.LET(_xlpm.big,DEC2HEX(_xlfn.BITLSHIFT(M1008-_xlfn.XLOOKUP(O1008,Data!A:A,Data!F:F),4)+O1008,8),_xlfn.CONCAT(MID(_xlpm.big,7,2),MID(_xlpm.big,5,2),MID(_xlpm.big,3,2),MID(_xlpm.big,1,2)))</f>
        <v>#NUM!</v>
      </c>
      <c r="J1008" s="2" t="str">
        <f t="shared" si="88"/>
        <v>02000000</v>
      </c>
      <c r="K1008" s="2" t="str">
        <f>_xlfn.LET(_xlpm.big,IF(H1008,DEC2HEX(HEX2DEC(F1008),8),DEC2HEX(N1008-_xlfn.XLOOKUP(P1008,Data!A:A,Data!F:F),8)),_xlfn.CONCAT(MID(_xlpm.big,7,2),MID(_xlpm.big,5,2),MID(_xlpm.big,3,2),MID(_xlpm.big,1,2)))</f>
        <v>FEFFFFFF</v>
      </c>
      <c r="L1008" s="2">
        <f t="shared" si="89"/>
        <v>0</v>
      </c>
      <c r="M1008" s="2">
        <f t="shared" si="90"/>
        <v>0</v>
      </c>
      <c r="N1008" s="2">
        <f t="shared" si="91"/>
        <v>0</v>
      </c>
      <c r="O1008" s="2" cm="1">
        <f t="array" ref="O1008">_xlfn.IFS(M1008&lt;Data!$F$3,0,M1008&lt;Data!$F$4,1,TRUE,2)</f>
        <v>0</v>
      </c>
      <c r="P1008" s="2" cm="1">
        <f t="array" ref="P1008">_xlfn.IFS(H1008,3,N1008&lt;Data!$F$3,0,N1008&lt;Data!$F$4,1,TRUE,2)</f>
        <v>0</v>
      </c>
    </row>
    <row r="1009" spans="2:16">
      <c r="B1009" s="2"/>
      <c r="G1009" s="2" t="str" cm="1">
        <f t="array" ref="G1009">_xlfn.CONCAT(IFERROR(I1009:K1009,""))</f>
        <v>02000000FEFFFFFF</v>
      </c>
      <c r="I1009" s="2" t="e">
        <f>_xlfn.LET(_xlpm.big,DEC2HEX(_xlfn.BITLSHIFT(M1009-_xlfn.XLOOKUP(O1009,Data!A:A,Data!F:F),4)+O1009,8),_xlfn.CONCAT(MID(_xlpm.big,7,2),MID(_xlpm.big,5,2),MID(_xlpm.big,3,2),MID(_xlpm.big,1,2)))</f>
        <v>#NUM!</v>
      </c>
      <c r="J1009" s="2" t="str">
        <f t="shared" si="88"/>
        <v>02000000</v>
      </c>
      <c r="K1009" s="2" t="str">
        <f>_xlfn.LET(_xlpm.big,IF(H1009,DEC2HEX(HEX2DEC(F1009),8),DEC2HEX(N1009-_xlfn.XLOOKUP(P1009,Data!A:A,Data!F:F),8)),_xlfn.CONCAT(MID(_xlpm.big,7,2),MID(_xlpm.big,5,2),MID(_xlpm.big,3,2),MID(_xlpm.big,1,2)))</f>
        <v>FEFFFFFF</v>
      </c>
      <c r="L1009" s="2">
        <f t="shared" si="89"/>
        <v>0</v>
      </c>
      <c r="M1009" s="2">
        <f t="shared" si="90"/>
        <v>0</v>
      </c>
      <c r="N1009" s="2">
        <f t="shared" si="91"/>
        <v>0</v>
      </c>
      <c r="O1009" s="2" cm="1">
        <f t="array" ref="O1009">_xlfn.IFS(M1009&lt;Data!$F$3,0,M1009&lt;Data!$F$4,1,TRUE,2)</f>
        <v>0</v>
      </c>
      <c r="P1009" s="2" cm="1">
        <f t="array" ref="P1009">_xlfn.IFS(H1009,3,N1009&lt;Data!$F$3,0,N1009&lt;Data!$F$4,1,TRUE,2)</f>
        <v>0</v>
      </c>
    </row>
    <row r="1010" spans="2:16">
      <c r="B1010" s="2"/>
      <c r="G1010" s="2" t="str" cm="1">
        <f t="array" ref="G1010">_xlfn.CONCAT(IFERROR(I1010:K1010,""))</f>
        <v>02000000FEFFFFFF</v>
      </c>
      <c r="I1010" s="2" t="e">
        <f>_xlfn.LET(_xlpm.big,DEC2HEX(_xlfn.BITLSHIFT(M1010-_xlfn.XLOOKUP(O1010,Data!A:A,Data!F:F),4)+O1010,8),_xlfn.CONCAT(MID(_xlpm.big,7,2),MID(_xlpm.big,5,2),MID(_xlpm.big,3,2),MID(_xlpm.big,1,2)))</f>
        <v>#NUM!</v>
      </c>
      <c r="J1010" s="2" t="str">
        <f t="shared" si="88"/>
        <v>02000000</v>
      </c>
      <c r="K1010" s="2" t="str">
        <f>_xlfn.LET(_xlpm.big,IF(H1010,DEC2HEX(HEX2DEC(F1010),8),DEC2HEX(N1010-_xlfn.XLOOKUP(P1010,Data!A:A,Data!F:F),8)),_xlfn.CONCAT(MID(_xlpm.big,7,2),MID(_xlpm.big,5,2),MID(_xlpm.big,3,2),MID(_xlpm.big,1,2)))</f>
        <v>FEFFFFFF</v>
      </c>
      <c r="L1010" s="2">
        <f t="shared" si="89"/>
        <v>0</v>
      </c>
      <c r="M1010" s="2">
        <f t="shared" si="90"/>
        <v>0</v>
      </c>
      <c r="N1010" s="2">
        <f t="shared" si="91"/>
        <v>0</v>
      </c>
      <c r="O1010" s="2" cm="1">
        <f t="array" ref="O1010">_xlfn.IFS(M1010&lt;Data!$F$3,0,M1010&lt;Data!$F$4,1,TRUE,2)</f>
        <v>0</v>
      </c>
      <c r="P1010" s="2" cm="1">
        <f t="array" ref="P1010">_xlfn.IFS(H1010,3,N1010&lt;Data!$F$3,0,N1010&lt;Data!$F$4,1,TRUE,2)</f>
        <v>0</v>
      </c>
    </row>
    <row r="1011" spans="2:16">
      <c r="B1011" s="2"/>
      <c r="D1011" s="3"/>
      <c r="E1011" s="16"/>
      <c r="G1011" s="2" t="str" cm="1">
        <f t="array" ref="G1011">_xlfn.CONCAT(IFERROR(I1011:K1011,""))</f>
        <v>02000000FEFFFFFF</v>
      </c>
      <c r="I1011" s="2" t="e">
        <f>_xlfn.LET(_xlpm.big,DEC2HEX(_xlfn.BITLSHIFT(M1011-_xlfn.XLOOKUP(O1011,Data!A:A,Data!F:F),4)+O1011,8),_xlfn.CONCAT(MID(_xlpm.big,7,2),MID(_xlpm.big,5,2),MID(_xlpm.big,3,2),MID(_xlpm.big,1,2)))</f>
        <v>#NUM!</v>
      </c>
      <c r="J1011" s="2" t="str">
        <f t="shared" si="88"/>
        <v>02000000</v>
      </c>
      <c r="K1011" s="2" t="str">
        <f>_xlfn.LET(_xlpm.big,IF(H1011,DEC2HEX(HEX2DEC(F1011),8),DEC2HEX(N1011-_xlfn.XLOOKUP(P1011,Data!A:A,Data!F:F),8)),_xlfn.CONCAT(MID(_xlpm.big,7,2),MID(_xlpm.big,5,2),MID(_xlpm.big,3,2),MID(_xlpm.big,1,2)))</f>
        <v>FEFFFFFF</v>
      </c>
      <c r="L1011" s="2">
        <f t="shared" si="89"/>
        <v>0</v>
      </c>
      <c r="M1011" s="2">
        <f t="shared" si="90"/>
        <v>0</v>
      </c>
      <c r="N1011" s="2">
        <f t="shared" si="91"/>
        <v>0</v>
      </c>
      <c r="O1011" s="2" cm="1">
        <f t="array" ref="O1011">_xlfn.IFS(M1011&lt;Data!$F$3,0,M1011&lt;Data!$F$4,1,TRUE,2)</f>
        <v>0</v>
      </c>
      <c r="P1011" s="2" cm="1">
        <f t="array" ref="P1011">_xlfn.IFS(H1011,3,N1011&lt;Data!$F$3,0,N1011&lt;Data!$F$4,1,TRUE,2)</f>
        <v>0</v>
      </c>
    </row>
    <row r="1012" spans="2:16">
      <c r="B1012" s="2"/>
      <c r="D1012" s="3"/>
      <c r="E1012" s="16"/>
      <c r="G1012" s="2" t="str" cm="1">
        <f t="array" ref="G1012">_xlfn.CONCAT(IFERROR(I1012:K1012,""))</f>
        <v>02000000FEFFFFFF</v>
      </c>
      <c r="I1012" s="2" t="e">
        <f>_xlfn.LET(_xlpm.big,DEC2HEX(_xlfn.BITLSHIFT(M1012-_xlfn.XLOOKUP(O1012,Data!A:A,Data!F:F),4)+O1012,8),_xlfn.CONCAT(MID(_xlpm.big,7,2),MID(_xlpm.big,5,2),MID(_xlpm.big,3,2),MID(_xlpm.big,1,2)))</f>
        <v>#NUM!</v>
      </c>
      <c r="J1012" s="2" t="str">
        <f t="shared" si="88"/>
        <v>02000000</v>
      </c>
      <c r="K1012" s="2" t="str">
        <f>_xlfn.LET(_xlpm.big,IF(H1012,DEC2HEX(HEX2DEC(F1012),8),DEC2HEX(N1012-_xlfn.XLOOKUP(P1012,Data!A:A,Data!F:F),8)),_xlfn.CONCAT(MID(_xlpm.big,7,2),MID(_xlpm.big,5,2),MID(_xlpm.big,3,2),MID(_xlpm.big,1,2)))</f>
        <v>FEFFFFFF</v>
      </c>
      <c r="L1012" s="2">
        <f t="shared" si="89"/>
        <v>0</v>
      </c>
      <c r="M1012" s="2">
        <f t="shared" si="90"/>
        <v>0</v>
      </c>
      <c r="N1012" s="2">
        <f t="shared" si="91"/>
        <v>0</v>
      </c>
      <c r="O1012" s="2" cm="1">
        <f t="array" ref="O1012">_xlfn.IFS(M1012&lt;Data!$F$3,0,M1012&lt;Data!$F$4,1,TRUE,2)</f>
        <v>0</v>
      </c>
      <c r="P1012" s="2" cm="1">
        <f t="array" ref="P1012">_xlfn.IFS(H1012,3,N1012&lt;Data!$F$3,0,N1012&lt;Data!$F$4,1,TRUE,2)</f>
        <v>0</v>
      </c>
    </row>
    <row r="1013" spans="2:16">
      <c r="B1013" s="2"/>
      <c r="D1013" s="3"/>
      <c r="E1013" s="16"/>
      <c r="F1013" s="2"/>
      <c r="G1013" s="2" t="str" cm="1">
        <f t="array" ref="G1013">_xlfn.CONCAT(IFERROR(I1013:K1013,""))</f>
        <v>02000000FEFFFFFF</v>
      </c>
      <c r="I1013" s="2" t="e">
        <f>_xlfn.LET(_xlpm.big,DEC2HEX(_xlfn.BITLSHIFT(M1013-_xlfn.XLOOKUP(O1013,Data!A:A,Data!F:F),4)+O1013,8),_xlfn.CONCAT(MID(_xlpm.big,7,2),MID(_xlpm.big,5,2),MID(_xlpm.big,3,2),MID(_xlpm.big,1,2)))</f>
        <v>#NUM!</v>
      </c>
      <c r="J1013" s="2" t="str">
        <f t="shared" ref="J1013" si="92">_xlfn.CONCAT("02",DEC2HEX(P1013,2),"0000")</f>
        <v>02000000</v>
      </c>
      <c r="K1013" s="2" t="str">
        <f>_xlfn.LET(_xlpm.big,IF(H1013,DEC2HEX(HEX2DEC(F1013),8),DEC2HEX(N1013-_xlfn.XLOOKUP(P1013,Data!A:A,Data!F:F),8)),_xlfn.CONCAT(MID(_xlpm.big,7,2),MID(_xlpm.big,5,2),MID(_xlpm.big,3,2),MID(_xlpm.big,1,2)))</f>
        <v>FEFFFFFF</v>
      </c>
      <c r="L1013" s="2">
        <f t="shared" ref="L1013" si="93">HEX2DEC(D1013)</f>
        <v>0</v>
      </c>
      <c r="M1013" s="2">
        <f t="shared" ref="M1013" si="94">HEX2DEC(E1013)</f>
        <v>0</v>
      </c>
      <c r="N1013" s="2">
        <f t="shared" ref="N1013" si="95">HEX2DEC(F1013)</f>
        <v>0</v>
      </c>
      <c r="O1013" s="2" cm="1">
        <f t="array" ref="O1013">_xlfn.IFS(M1013&lt;Data!$F$3,0,M1013&lt;Data!$F$4,1,TRUE,2)</f>
        <v>0</v>
      </c>
      <c r="P1013" s="2" cm="1">
        <f t="array" ref="P1013">_xlfn.IFS(H1013,3,N1013&lt;Data!$F$3,0,N1013&lt;Data!$F$4,1,TRUE,2)</f>
        <v>0</v>
      </c>
    </row>
  </sheetData>
  <autoFilter ref="A1:P978" xr:uid="{C1EE9E4D-4C64-4BE9-9F28-9A39B595802F}"/>
  <conditionalFormatting sqref="D1:D290 D435:D498 D293:D340 D345:D365 D845:D934 D503:D831 D833:D838 D936:D937 D939:D942 D367:D432 D944:D953 D957:D960 D964:D1048576">
    <cfRule type="duplicateValues" dxfId="35" priority="32"/>
  </conditionalFormatting>
  <conditionalFormatting sqref="D1:D498 D503:D1048576">
    <cfRule type="duplicateValues" dxfId="34" priority="31"/>
  </conditionalFormatting>
  <conditionalFormatting sqref="D1:D1048576">
    <cfRule type="duplicateValues" dxfId="33" priority="30"/>
  </conditionalFormatting>
  <conditionalFormatting sqref="E1:E290 E292:E342 E344:E973 E977:E986 E989 E994:E1001 E1008:E1010 E1014:E1048576">
    <cfRule type="duplicateValues" dxfId="32" priority="24"/>
  </conditionalFormatting>
  <conditionalFormatting sqref="E1:E290 E292:E342 E344:E986 E989 E994:E1001 E1008:E1010 E1014:E1048576">
    <cfRule type="duplicateValues" dxfId="31" priority="19"/>
  </conditionalFormatting>
  <conditionalFormatting sqref="E1:E290 E435:E498 E293:E340 E345:E365 E845:E934 E503:E831 E833:E838 E936:E937 E939:E942 E367:E432 E944:E953 E965:E966 E956:E960 E972:E973 E977:E986 E989 E994:E1001 E1008:E1010 E1014:E1048576">
    <cfRule type="duplicateValues" dxfId="30" priority="36"/>
  </conditionalFormatting>
  <conditionalFormatting sqref="E1:E290 E503:E963 E965:E966 E972:E973 E292:E342 E344:E498 E977:E986 E989 E994:E1001 E1008:E1010 E1014:E1048576">
    <cfRule type="duplicateValues" dxfId="29" priority="34"/>
  </conditionalFormatting>
  <conditionalFormatting sqref="E1:E290 E965:E966 E972:E973 E292:E342 E344:E963 E977:E986 E989 E994:E1001 E1008:E1010 E1014:E1048576">
    <cfRule type="duplicateValues" dxfId="28" priority="29"/>
    <cfRule type="duplicateValues" dxfId="27" priority="33"/>
  </conditionalFormatting>
  <conditionalFormatting sqref="F956:F957">
    <cfRule type="duplicateValues" dxfId="26" priority="35"/>
  </conditionalFormatting>
  <conditionalFormatting sqref="F965">
    <cfRule type="duplicateValues" dxfId="25" priority="25"/>
    <cfRule type="duplicateValues" dxfId="24" priority="26"/>
    <cfRule type="duplicateValues" dxfId="23" priority="27"/>
    <cfRule type="duplicateValues" dxfId="22" priority="28"/>
  </conditionalFormatting>
  <conditionalFormatting sqref="F978">
    <cfRule type="duplicateValues" dxfId="21" priority="20"/>
    <cfRule type="duplicateValues" dxfId="20" priority="21"/>
    <cfRule type="duplicateValues" dxfId="19" priority="22"/>
    <cfRule type="duplicateValues" dxfId="18" priority="23"/>
  </conditionalFormatting>
  <conditionalFormatting sqref="F994">
    <cfRule type="duplicateValues" dxfId="17" priority="13"/>
    <cfRule type="duplicateValues" dxfId="16" priority="14"/>
    <cfRule type="duplicateValues" dxfId="15" priority="18"/>
    <cfRule type="duplicateValues" dxfId="14" priority="17"/>
    <cfRule type="duplicateValues" dxfId="13" priority="16"/>
    <cfRule type="duplicateValues" dxfId="12" priority="15"/>
  </conditionalFormatting>
  <conditionalFormatting sqref="F997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F1008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D1F7-C94A-4190-8E18-8183A2482CBF}">
  <dimension ref="A1:M13"/>
  <sheetViews>
    <sheetView topLeftCell="B1" workbookViewId="0">
      <selection activeCell="F10" sqref="F10"/>
    </sheetView>
  </sheetViews>
  <sheetFormatPr defaultColWidth="9.2109375" defaultRowHeight="15.9"/>
  <cols>
    <col min="1" max="1" width="8.92578125" style="2" bestFit="1" customWidth="1"/>
    <col min="2" max="2" width="10.85546875" style="2" customWidth="1"/>
    <col min="3" max="3" width="10.0703125" style="2" bestFit="1" customWidth="1"/>
    <col min="4" max="4" width="10.0703125" style="2" customWidth="1"/>
    <col min="5" max="5" width="10.0703125" style="2" bestFit="1" customWidth="1"/>
    <col min="6" max="7" width="8.92578125" style="2" bestFit="1" customWidth="1"/>
    <col min="8" max="8" width="60.640625" style="2" bestFit="1" customWidth="1"/>
    <col min="9" max="9" width="10.0703125" style="2" bestFit="1" customWidth="1"/>
    <col min="10" max="10" width="9.2109375" style="2"/>
    <col min="11" max="11" width="13.640625" style="2" bestFit="1" customWidth="1"/>
    <col min="12" max="12" width="20.640625" style="2" bestFit="1" customWidth="1"/>
    <col min="13" max="13" width="8.92578125" style="2" bestFit="1" customWidth="1"/>
    <col min="14" max="16384" width="9.2109375" style="2"/>
  </cols>
  <sheetData>
    <row r="1" spans="1:13">
      <c r="A1" s="5" t="s">
        <v>15</v>
      </c>
      <c r="B1" s="5"/>
      <c r="C1" s="5" t="s">
        <v>34</v>
      </c>
      <c r="D1" s="5" t="s">
        <v>55</v>
      </c>
      <c r="E1" s="5" t="s">
        <v>56</v>
      </c>
      <c r="F1" s="5" t="s">
        <v>57</v>
      </c>
      <c r="H1" s="5" t="s">
        <v>46</v>
      </c>
      <c r="I1" s="7" t="s">
        <v>73</v>
      </c>
      <c r="L1" s="2" t="s">
        <v>47</v>
      </c>
      <c r="M1" s="3" t="str">
        <f>MID(I1,7,)&amp;MID(I1,5,2)&amp;MID(I1,3,2)&amp;MID(I1,1,2)</f>
        <v>019000</v>
      </c>
    </row>
    <row r="2" spans="1:13">
      <c r="A2" s="2">
        <v>0</v>
      </c>
      <c r="B2" s="2" t="s">
        <v>35</v>
      </c>
      <c r="C2" s="2" t="str">
        <f>DEC2HEX(8+HEX2DEC(M$1),8)</f>
        <v>00019008</v>
      </c>
      <c r="D2" s="2" t="str">
        <f>MID(J$5,1,8)</f>
        <v>80010000</v>
      </c>
      <c r="E2" s="3" t="str">
        <f>_xlfn.CONCAT(MID(D2,7,2),MID(D2,5,2),MID(D2,3,2),MID(D2,1,2))</f>
        <v>00000180</v>
      </c>
      <c r="F2" s="2">
        <f>HEX2DEC(E2)</f>
        <v>384</v>
      </c>
      <c r="H2" s="2" t="s">
        <v>45</v>
      </c>
      <c r="L2" s="2" t="s">
        <v>48</v>
      </c>
      <c r="M2" s="2">
        <f>HEX2DEC(M1)</f>
        <v>102400</v>
      </c>
    </row>
    <row r="3" spans="1:13">
      <c r="A3" s="2">
        <v>1</v>
      </c>
      <c r="B3" s="2" t="s">
        <v>36</v>
      </c>
      <c r="C3" s="2" t="str">
        <f>DEC2HEX(20+HEX2DEC(M$1),8)</f>
        <v>00019014</v>
      </c>
      <c r="D3" s="2" t="str">
        <f>MID(J$5,25,8)</f>
        <v>00700100</v>
      </c>
      <c r="E3" s="3" t="str">
        <f>_xlfn.CONCAT(MID(D3,7,2),MID(D3,5,2),MID(D3,3,2),MID(D3,1,2))</f>
        <v>00017000</v>
      </c>
      <c r="F3" s="2">
        <f>HEX2DEC(E3)</f>
        <v>94208</v>
      </c>
      <c r="H3" s="2" t="s">
        <v>63</v>
      </c>
      <c r="I3" s="3">
        <v>74040200</v>
      </c>
      <c r="L3" s="2" t="s">
        <v>49</v>
      </c>
      <c r="M3" s="2">
        <f>M2-1097728</f>
        <v>-995328</v>
      </c>
    </row>
    <row r="4" spans="1:13">
      <c r="A4" s="2">
        <v>2</v>
      </c>
      <c r="B4" s="2" t="s">
        <v>37</v>
      </c>
      <c r="C4" s="2" t="str">
        <f>DEC2HEX(32+HEX2DEC(M$1),8)</f>
        <v>00019020</v>
      </c>
      <c r="D4" s="2" t="str">
        <f>MID(J$5,49,8)</f>
        <v>342D0200</v>
      </c>
      <c r="E4" s="3" t="str">
        <f>_xlfn.CONCAT(MID(D4,7,2),MID(D4,5,2),MID(D4,3,2),MID(D4,1,2))</f>
        <v>00022D34</v>
      </c>
      <c r="F4" s="2">
        <f>HEX2DEC(E4)</f>
        <v>142644</v>
      </c>
      <c r="L4" s="2" t="s">
        <v>50</v>
      </c>
      <c r="M4" s="2" t="str">
        <f>DEC2HEX(M3)</f>
        <v>FFFFF0D000</v>
      </c>
    </row>
    <row r="5" spans="1:13">
      <c r="A5" s="2">
        <v>3</v>
      </c>
      <c r="B5" s="2" t="s">
        <v>38</v>
      </c>
      <c r="C5" s="2" t="str">
        <f>DEC2HEX(48+HEX2DEC(M$1),8)</f>
        <v>00019030</v>
      </c>
      <c r="D5" s="2" t="str">
        <f>MID(J$5,81,8)</f>
        <v>20000000</v>
      </c>
      <c r="E5" s="3" t="str">
        <f>_xlfn.CONCAT(MID(D5,7,2),MID(D5,5,2),MID(D5,3,2),MID(D5,1,2))</f>
        <v>00000020</v>
      </c>
      <c r="F5" s="2">
        <f>HEX2DEC(E5)</f>
        <v>32</v>
      </c>
      <c r="H5" s="2" t="str">
        <f>_xlfn.CONCAT("Paste the block from 0x",C2," to 0x",DEC2HEX(HEX2DEC(C5)+3,8)," here:")</f>
        <v>Paste the block from 0x00019008 to 0x00019033 here:</v>
      </c>
      <c r="I5" s="6" t="s">
        <v>76</v>
      </c>
      <c r="J5" s="2" t="str">
        <f>SUBSTITUTE(I5," ","")</f>
        <v>800100007C6C010000000000007001000C10000001000000342D0200CC120000020000000000000020000000</v>
      </c>
      <c r="K5" s="2" t="str">
        <f>IF(LEN(J5)=88,"Length Good","Length Mismatch")</f>
        <v>Length Good</v>
      </c>
    </row>
    <row r="6" spans="1:13">
      <c r="B6" s="2" t="s">
        <v>58</v>
      </c>
      <c r="D6" s="3">
        <f>I3</f>
        <v>74040200</v>
      </c>
      <c r="E6" s="3" t="str">
        <f>_xlfn.CONCAT(MID(D6,7,2),MID(D6,5,2),MID(D6,3,2),MID(D6,1,2))</f>
        <v>00020474</v>
      </c>
      <c r="F6" s="2">
        <f>HEX2DEC(E6)</f>
        <v>132212</v>
      </c>
    </row>
    <row r="7" spans="1:13">
      <c r="B7" s="2" t="s">
        <v>59</v>
      </c>
      <c r="D7" s="3" t="str">
        <f>_xlfn.CONCAT(MID(E7,7,2),MID(E7,5,2),MID(E7,3,2),MID(E7,1,2))</f>
        <v>401D0200</v>
      </c>
      <c r="E7" s="2" t="str">
        <f>DEC2HEX(F7,8)</f>
        <v>00021D40</v>
      </c>
      <c r="F7" s="2">
        <f>MAX('Custom Relocation Patches'!L:L)+12</f>
        <v>138560</v>
      </c>
    </row>
    <row r="9" spans="1:13">
      <c r="F9" s="2">
        <f>F7-F6</f>
        <v>6348</v>
      </c>
    </row>
    <row r="10" spans="1:13">
      <c r="F10" s="2">
        <f>F9/12</f>
        <v>529</v>
      </c>
    </row>
    <row r="11" spans="1:13">
      <c r="F11" s="2" t="str">
        <f>DEC2HEX(F10)</f>
        <v>211</v>
      </c>
    </row>
    <row r="13" spans="1:13">
      <c r="H13" s="2" t="s">
        <v>60</v>
      </c>
      <c r="I13" s="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3871-C0DF-44DB-9C85-25C25163C20C}">
  <dimension ref="A1:B15"/>
  <sheetViews>
    <sheetView workbookViewId="0">
      <selection activeCell="B1" sqref="B1"/>
    </sheetView>
  </sheetViews>
  <sheetFormatPr defaultRowHeight="14.15"/>
  <cols>
    <col min="1" max="1" width="18.7109375" customWidth="1"/>
    <col min="2" max="2" width="32.5" bestFit="1" customWidth="1"/>
  </cols>
  <sheetData>
    <row r="1" spans="1:2" ht="15.9">
      <c r="A1" t="s">
        <v>39</v>
      </c>
      <c r="B1" s="2" t="s">
        <v>78</v>
      </c>
    </row>
    <row r="3" spans="1:2">
      <c r="A3" t="s">
        <v>40</v>
      </c>
      <c r="B3" t="str">
        <f>SUBSTITUTE(B1," ","")</f>
        <v>80C51500020100000C100000</v>
      </c>
    </row>
    <row r="4" spans="1:2" ht="14.6" thickBot="1">
      <c r="B4" t="s">
        <v>62</v>
      </c>
    </row>
    <row r="5" spans="1:2">
      <c r="A5" s="9" t="s">
        <v>41</v>
      </c>
      <c r="B5" s="10" t="str">
        <f>MID(B3,9,2)</f>
        <v>02</v>
      </c>
    </row>
    <row r="6" spans="1:2">
      <c r="A6" s="11"/>
      <c r="B6" s="12"/>
    </row>
    <row r="7" spans="1:2">
      <c r="A7" s="11" t="s">
        <v>51</v>
      </c>
      <c r="B7" s="12" t="str">
        <f>DEC2HEX(_xlfn.BITRSHIFT(HEX2DEC(_xlfn.LET(_xlpm.in,LEFT(B3,8),_xlfn.CONCAT(MID(_xlpm.in,7,2),MID(_xlpm.in,5,2),MID(_xlpm.in,3,2),MID(_xlpm.in,1,2)))),4),7)</f>
        <v>0015C58</v>
      </c>
    </row>
    <row r="8" spans="1:2">
      <c r="A8" s="11" t="s">
        <v>13</v>
      </c>
      <c r="B8" s="12" t="str">
        <f>DEC2HEX(_xlfn.BITAND(15,HEX2DEC(_xlfn.LET(_xlpm.in,LEFT(B3,8),_xlfn.CONCAT(MID(_xlpm.in,7,2),MID(_xlpm.in,5,2),MID(_xlpm.in,3,2),MID(_xlpm.in,1,2))))),1)</f>
        <v>0</v>
      </c>
    </row>
    <row r="9" spans="1:2">
      <c r="A9" s="11"/>
      <c r="B9" s="12"/>
    </row>
    <row r="10" spans="1:2">
      <c r="A10" s="11" t="s">
        <v>52</v>
      </c>
      <c r="B10" s="12" t="str">
        <f>_xlfn.LET(_xlpm.in,RIGHT(B3,8),_xlfn.CONCAT(MID(_xlpm.in,7,2),MID(_xlpm.in,5,2),MID(_xlpm.in,3,2),MID(_xlpm.in,1,2)))</f>
        <v>0000100C</v>
      </c>
    </row>
    <row r="11" spans="1:2" ht="14.6" thickBot="1">
      <c r="A11" s="13" t="s">
        <v>14</v>
      </c>
      <c r="B11" s="14" t="str">
        <f>MID(B3,11,2)</f>
        <v>01</v>
      </c>
    </row>
    <row r="13" spans="1:2">
      <c r="A13" s="4" t="s">
        <v>42</v>
      </c>
      <c r="B13" s="4" t="s">
        <v>43</v>
      </c>
    </row>
    <row r="14" spans="1:2">
      <c r="A14" s="8" t="str">
        <f>DEC2HEX(HEX2DEC(B7)+_xlfn.XLOOKUP(VALUE(B8),Data!A:A,Data!F:F),8)</f>
        <v>00015DD8</v>
      </c>
      <c r="B14" s="8" t="str">
        <f>IF(B11="03",B10,DEC2HEX(HEX2DEC(B10)+_xlfn.XLOOKUP(VALUE(B11),Data!A:A,Data!F:F),8))</f>
        <v>0001800C</v>
      </c>
    </row>
    <row r="15" spans="1:2">
      <c r="A15" t="s">
        <v>53</v>
      </c>
      <c r="B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locations and sizes</vt:lpstr>
      <vt:lpstr>Custom Relocation Patches</vt:lpstr>
      <vt:lpstr>Data</vt:lpstr>
      <vt:lpstr>Reverse 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cp:lastPrinted>2026-05-25T20:02:48Z</cp:lastPrinted>
  <dcterms:created xsi:type="dcterms:W3CDTF">2025-03-17T21:29:54Z</dcterms:created>
  <dcterms:modified xsi:type="dcterms:W3CDTF">2026-05-27T07:30:58Z</dcterms:modified>
</cp:coreProperties>
</file>