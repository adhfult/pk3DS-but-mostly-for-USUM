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Field Effects\"/>
    </mc:Choice>
  </mc:AlternateContent>
  <xr:revisionPtr revIDLastSave="0" documentId="13_ncr:1_{57C65E4D-0B32-4A98-B770-F0EB500FA0ED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1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2" l="1"/>
  <c r="C52" i="12" s="1"/>
  <c r="C27" i="12" l="1"/>
  <c r="C29" i="12" s="1"/>
  <c r="B3" i="12" l="1"/>
  <c r="A4" i="12" l="1"/>
  <c r="A5" i="12" s="1"/>
  <c r="A6" i="12" s="1"/>
  <c r="A7" i="12" s="1"/>
  <c r="A10" i="12" s="1"/>
  <c r="A11" i="12" l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3" i="12" s="1"/>
  <c r="A34" i="12" l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C23" i="12"/>
</calcChain>
</file>

<file path=xl/sharedStrings.xml><?xml version="1.0" encoding="utf-8"?>
<sst xmlns="http://schemas.openxmlformats.org/spreadsheetml/2006/main" count="45" uniqueCount="40">
  <si>
    <t>Address</t>
  </si>
  <si>
    <t>Hex</t>
  </si>
  <si>
    <t>instruction</t>
  </si>
  <si>
    <t>notes</t>
  </si>
  <si>
    <t>00000000</t>
  </si>
  <si>
    <t>001080E5</t>
  </si>
  <si>
    <t>str r1, [r0]</t>
  </si>
  <si>
    <t>00009FE5</t>
  </si>
  <si>
    <t>ldr r0, [pc]</t>
  </si>
  <si>
    <t>1EFF2FE1</t>
  </si>
  <si>
    <t>bx lr</t>
  </si>
  <si>
    <t>Inverse Room Call Function</t>
  </si>
  <si>
    <t>push {r4, lr}</t>
  </si>
  <si>
    <t>mov r4, r0</t>
  </si>
  <si>
    <t>10402DE9</t>
  </si>
  <si>
    <t>1040BDE8</t>
  </si>
  <si>
    <t>1080BDE8</t>
  </si>
  <si>
    <t>mov r1, 0x7</t>
  </si>
  <si>
    <t>mov r5, r2</t>
  </si>
  <si>
    <t>mov r6, r1</t>
  </si>
  <si>
    <t>mov r0, r6</t>
  </si>
  <si>
    <t>mov r1, r5</t>
  </si>
  <si>
    <t>bl 0x00092298</t>
  </si>
  <si>
    <t>mov r7, r0</t>
  </si>
  <si>
    <t>push {r4, r5, r6, r7, lr}</t>
  </si>
  <si>
    <t>bl 0x00092628</t>
  </si>
  <si>
    <t>mov r1, 0x11</t>
  </si>
  <si>
    <t>Table of active neutralizers</t>
  </si>
  <si>
    <t>mov r1, 0x10</t>
  </si>
  <si>
    <t>Neutralizing Gas Fade away if nothing maintaining it</t>
  </si>
  <si>
    <t>Neutralizing Gas negate effects 0x6D, 0xA7, 0x96, 0x8F, 0x2D, 0x6A, 0x8F, 0x27</t>
  </si>
  <si>
    <t>Get pointer to r7</t>
  </si>
  <si>
    <t>mov r0, r7</t>
  </si>
  <si>
    <t>Get Ability or 0 if suppressed</t>
  </si>
  <si>
    <t>Get Ability</t>
  </si>
  <si>
    <t>handle activate/deactivate</t>
  </si>
  <si>
    <t>cmp r4, 0x</t>
  </si>
  <si>
    <t>check if Ability is active and Neutralizing Gas</t>
  </si>
  <si>
    <t>bne</t>
  </si>
  <si>
    <t>set corresponding byte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</si>
</sst>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 applyFill="1"/>
    <xf numFmtId="0" fontId="2" fillId="0" borderId="0" xfId="0" quotePrefix="1" applyFont="1" applyFill="1"/>
    <xf numFmtId="0" fontId="2" fillId="4" borderId="0" xfId="0" applyFont="1" applyFill="1"/>
    <xf numFmtId="0" fontId="2" fillId="3" borderId="0" xfId="0" quotePrefix="1" applyFont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G52"/>
  <sheetViews>
    <sheetView tabSelected="1" zoomScale="85" zoomScaleNormal="85" workbookViewId="0">
      <pane ySplit="1" topLeftCell="A2" activePane="bottomLeft" state="frozen"/>
      <selection pane="bottomLeft" activeCell="D28" sqref="D28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45.425781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1" t="s">
        <v>11</v>
      </c>
      <c r="B2" s="1"/>
      <c r="C2" s="1"/>
      <c r="D2" s="1"/>
    </row>
    <row r="3" spans="1:7">
      <c r="A3" s="2">
        <v>0</v>
      </c>
      <c r="B3" s="2" t="str">
        <f>_xlfn.CONCAT("0",RIGHT(C3,1),"10A0E3")</f>
        <v>0710A0E3</v>
      </c>
      <c r="C3" s="2" t="s">
        <v>17</v>
      </c>
      <c r="D3" s="1"/>
    </row>
    <row r="4" spans="1:7">
      <c r="A4" s="2" t="str">
        <f t="shared" ref="A4:A7" si="0">DEC2HEX(HEX2DEC(A3)+4,8)</f>
        <v>00000004</v>
      </c>
      <c r="B4" s="3" t="s">
        <v>5</v>
      </c>
      <c r="C4" s="2" t="s">
        <v>6</v>
      </c>
      <c r="D4" s="1"/>
    </row>
    <row r="5" spans="1:7">
      <c r="A5" s="2" t="str">
        <f t="shared" si="0"/>
        <v>00000008</v>
      </c>
      <c r="B5" s="2" t="s">
        <v>7</v>
      </c>
      <c r="C5" s="2" t="s">
        <v>8</v>
      </c>
      <c r="D5" s="1"/>
    </row>
    <row r="6" spans="1:7">
      <c r="A6" s="2" t="str">
        <f t="shared" si="0"/>
        <v>0000000C</v>
      </c>
      <c r="B6" s="2" t="s">
        <v>9</v>
      </c>
      <c r="C6" s="2" t="s">
        <v>10</v>
      </c>
    </row>
    <row r="7" spans="1:7">
      <c r="A7" s="2" t="str">
        <f t="shared" si="0"/>
        <v>00000010</v>
      </c>
      <c r="B7" s="3" t="s">
        <v>4</v>
      </c>
    </row>
    <row r="8" spans="1:7">
      <c r="B8" s="3"/>
    </row>
    <row r="9" spans="1:7">
      <c r="A9" s="1" t="s">
        <v>30</v>
      </c>
    </row>
    <row r="10" spans="1:7">
      <c r="A10" s="6" t="str">
        <f>DEC2HEX(HEX2DEC(A7)+4,8)</f>
        <v>00000014</v>
      </c>
      <c r="B10" s="2" t="s">
        <v>14</v>
      </c>
      <c r="C10" s="2" t="s">
        <v>24</v>
      </c>
    </row>
    <row r="11" spans="1:7">
      <c r="A11" s="6" t="str">
        <f t="shared" ref="A11:A29" si="1">DEC2HEX(HEX2DEC(A10)+4,8)</f>
        <v>00000018</v>
      </c>
      <c r="B11" s="6"/>
      <c r="C11" s="6" t="s">
        <v>18</v>
      </c>
      <c r="D11" s="6"/>
      <c r="E11" s="6"/>
      <c r="F11" s="6"/>
      <c r="G11" s="6"/>
    </row>
    <row r="12" spans="1:7">
      <c r="A12" s="6" t="str">
        <f t="shared" si="1"/>
        <v>0000001C</v>
      </c>
      <c r="B12" s="6"/>
      <c r="C12" s="6" t="s">
        <v>19</v>
      </c>
      <c r="D12" s="6"/>
      <c r="E12" s="6"/>
      <c r="F12" s="6"/>
      <c r="G12" s="6"/>
    </row>
    <row r="13" spans="1:7">
      <c r="A13" s="8" t="str">
        <f t="shared" si="1"/>
        <v>00000020</v>
      </c>
      <c r="B13" s="8"/>
      <c r="C13" s="8" t="s">
        <v>20</v>
      </c>
      <c r="D13" s="8" t="s">
        <v>31</v>
      </c>
      <c r="E13" s="6"/>
      <c r="F13" s="6"/>
      <c r="G13" s="6"/>
    </row>
    <row r="14" spans="1:7">
      <c r="A14" s="8" t="str">
        <f t="shared" si="1"/>
        <v>00000024</v>
      </c>
      <c r="B14" s="8"/>
      <c r="C14" s="8" t="s">
        <v>21</v>
      </c>
      <c r="D14" s="8"/>
      <c r="E14" s="6"/>
      <c r="F14" s="6"/>
      <c r="G14" s="6"/>
    </row>
    <row r="15" spans="1:7">
      <c r="A15" s="8" t="str">
        <f t="shared" si="1"/>
        <v>00000028</v>
      </c>
      <c r="B15" s="8"/>
      <c r="C15" s="8" t="s">
        <v>22</v>
      </c>
      <c r="D15" s="8"/>
      <c r="E15" s="6"/>
      <c r="F15" s="6"/>
      <c r="G15" s="6"/>
    </row>
    <row r="16" spans="1:7">
      <c r="A16" s="8" t="str">
        <f t="shared" si="1"/>
        <v>0000002C</v>
      </c>
      <c r="B16" s="8"/>
      <c r="C16" s="8" t="s">
        <v>23</v>
      </c>
      <c r="D16" s="8"/>
      <c r="E16" s="6"/>
      <c r="F16" s="6"/>
      <c r="G16" s="6"/>
    </row>
    <row r="17" spans="1:7">
      <c r="A17" s="5" t="str">
        <f t="shared" si="1"/>
        <v>00000030</v>
      </c>
      <c r="B17" s="5"/>
      <c r="C17" s="5" t="s">
        <v>26</v>
      </c>
      <c r="D17" s="5" t="s">
        <v>33</v>
      </c>
      <c r="E17" s="6"/>
      <c r="F17" s="6"/>
      <c r="G17" s="6"/>
    </row>
    <row r="18" spans="1:7">
      <c r="A18" s="5" t="str">
        <f t="shared" si="1"/>
        <v>00000034</v>
      </c>
      <c r="B18" s="5"/>
      <c r="C18" s="9" t="s">
        <v>25</v>
      </c>
      <c r="D18" s="5"/>
      <c r="E18" s="6"/>
      <c r="F18" s="6"/>
      <c r="G18" s="6"/>
    </row>
    <row r="19" spans="1:7">
      <c r="A19" s="5" t="str">
        <f t="shared" si="1"/>
        <v>00000038</v>
      </c>
      <c r="B19" s="9"/>
      <c r="C19" s="5" t="s">
        <v>13</v>
      </c>
      <c r="D19" s="5"/>
      <c r="E19" s="6"/>
      <c r="F19" s="6"/>
      <c r="G19" s="6"/>
    </row>
    <row r="20" spans="1:7">
      <c r="A20" s="4" t="str">
        <f t="shared" si="1"/>
        <v>0000003C</v>
      </c>
      <c r="B20" s="4"/>
      <c r="C20" s="4" t="s">
        <v>28</v>
      </c>
      <c r="D20" s="4" t="s">
        <v>34</v>
      </c>
      <c r="E20" s="6"/>
      <c r="F20" s="6"/>
      <c r="G20" s="6"/>
    </row>
    <row r="21" spans="1:7">
      <c r="A21" s="4" t="str">
        <f t="shared" si="1"/>
        <v>00000040</v>
      </c>
      <c r="B21" s="4"/>
      <c r="C21" s="4" t="s">
        <v>32</v>
      </c>
      <c r="D21" s="4"/>
      <c r="E21" s="6"/>
      <c r="F21" s="6"/>
      <c r="G21" s="6"/>
    </row>
    <row r="22" spans="1:7">
      <c r="A22" s="4" t="str">
        <f t="shared" si="1"/>
        <v>00000044</v>
      </c>
      <c r="B22" s="10"/>
      <c r="C22" s="10" t="s">
        <v>25</v>
      </c>
      <c r="D22" s="4"/>
      <c r="E22" s="6"/>
      <c r="F22" s="6"/>
      <c r="G22" s="6"/>
    </row>
    <row r="23" spans="1:7">
      <c r="A23" s="6" t="str">
        <f t="shared" si="1"/>
        <v>00000048</v>
      </c>
      <c r="B23" s="6"/>
      <c r="C23" s="6" t="str">
        <f>_xlfn.CONCAT("bl 0x",A33)</f>
        <v>bl 0x00000068</v>
      </c>
      <c r="D23" s="6" t="s">
        <v>35</v>
      </c>
      <c r="E23" s="6"/>
      <c r="F23" s="6"/>
      <c r="G23" s="6"/>
    </row>
    <row r="24" spans="1:7">
      <c r="A24" s="6" t="str">
        <f t="shared" si="1"/>
        <v>0000004C</v>
      </c>
      <c r="B24" s="6"/>
      <c r="C24" s="6"/>
      <c r="D24" s="6"/>
      <c r="E24" s="6"/>
      <c r="F24" s="6"/>
      <c r="G24" s="6"/>
    </row>
    <row r="25" spans="1:7">
      <c r="A25" s="6" t="str">
        <f t="shared" si="1"/>
        <v>00000050</v>
      </c>
    </row>
    <row r="26" spans="1:7">
      <c r="A26" s="2" t="str">
        <f t="shared" si="1"/>
        <v>00000054</v>
      </c>
    </row>
    <row r="27" spans="1:7">
      <c r="A27" s="2" t="str">
        <f t="shared" si="1"/>
        <v>00000058</v>
      </c>
      <c r="B27" s="2" t="s">
        <v>15</v>
      </c>
      <c r="C27" s="2" t="str">
        <f>SUBSTITUTE(C10,"push","pop")</f>
        <v>pop {r4, r5, r6, r7, lr}</v>
      </c>
    </row>
    <row r="28" spans="1:7">
      <c r="A28" s="2" t="str">
        <f t="shared" si="1"/>
        <v>0000005C</v>
      </c>
    </row>
    <row r="29" spans="1:7">
      <c r="A29" s="2" t="str">
        <f t="shared" si="1"/>
        <v>00000060</v>
      </c>
      <c r="B29" s="2" t="s">
        <v>16</v>
      </c>
      <c r="C29" s="2" t="str">
        <f>SUBSTITUTE(C27,"lr","pc")</f>
        <v>pop {r4, r5, r6, r7, pc}</v>
      </c>
    </row>
    <row r="30" spans="1:7">
      <c r="A30" s="2" t="str">
        <f t="shared" ref="A30" si="2">DEC2HEX(HEX2DEC(A29)+4,8)</f>
        <v>00000064</v>
      </c>
      <c r="B30" s="3" t="s">
        <v>4</v>
      </c>
      <c r="C30" s="2" t="s">
        <v>27</v>
      </c>
    </row>
    <row r="32" spans="1:7">
      <c r="A32" s="1" t="s">
        <v>29</v>
      </c>
    </row>
    <row r="33" spans="1:4">
      <c r="A33" s="6" t="str">
        <f>DEC2HEX(HEX2DEC(A30)+4,8)</f>
        <v>00000068</v>
      </c>
      <c r="B33" s="2" t="s">
        <v>14</v>
      </c>
      <c r="C33" s="2" t="s">
        <v>12</v>
      </c>
    </row>
    <row r="34" spans="1:4">
      <c r="A34" s="6" t="str">
        <f t="shared" ref="A34:A52" si="3">DEC2HEX(HEX2DEC(A33)+4,8)</f>
        <v>0000006C</v>
      </c>
      <c r="B34" s="6"/>
      <c r="C34" s="6" t="s">
        <v>36</v>
      </c>
      <c r="D34" s="6" t="s">
        <v>37</v>
      </c>
    </row>
    <row r="35" spans="1:4">
      <c r="A35" s="6" t="str">
        <f t="shared" si="3"/>
        <v>00000070</v>
      </c>
      <c r="B35" s="6"/>
      <c r="C35" s="6" t="s">
        <v>38</v>
      </c>
      <c r="D35" s="6"/>
    </row>
    <row r="36" spans="1:4">
      <c r="A36" s="6" t="str">
        <f t="shared" si="3"/>
        <v>00000074</v>
      </c>
      <c r="B36" s="6"/>
      <c r="C36" s="6"/>
      <c r="D36" s="6" t="s">
        <v>39</v>
      </c>
    </row>
    <row r="37" spans="1:4">
      <c r="A37" s="6" t="str">
        <f t="shared" si="3"/>
        <v>00000078</v>
      </c>
      <c r="B37" s="6"/>
      <c r="C37" s="6"/>
      <c r="D37" s="6"/>
    </row>
    <row r="38" spans="1:4">
      <c r="A38" s="6" t="str">
        <f t="shared" si="3"/>
        <v>0000007C</v>
      </c>
      <c r="B38" s="6"/>
      <c r="C38" s="6"/>
      <c r="D38" s="6"/>
    </row>
    <row r="39" spans="1:4">
      <c r="A39" s="6" t="str">
        <f t="shared" si="3"/>
        <v>00000080</v>
      </c>
      <c r="B39" s="6"/>
      <c r="C39" s="6"/>
      <c r="D39" s="6"/>
    </row>
    <row r="40" spans="1:4">
      <c r="A40" s="6" t="str">
        <f t="shared" si="3"/>
        <v>00000084</v>
      </c>
      <c r="B40" s="6"/>
      <c r="C40" s="6"/>
      <c r="D40" s="6"/>
    </row>
    <row r="41" spans="1:4">
      <c r="A41" s="6" t="str">
        <f t="shared" si="3"/>
        <v>00000088</v>
      </c>
      <c r="B41" s="6"/>
      <c r="C41" s="6"/>
      <c r="D41" s="6"/>
    </row>
    <row r="42" spans="1:4">
      <c r="A42" s="6" t="str">
        <f t="shared" si="3"/>
        <v>0000008C</v>
      </c>
      <c r="B42" s="7"/>
      <c r="C42" s="6"/>
      <c r="D42" s="6"/>
    </row>
    <row r="43" spans="1:4">
      <c r="A43" s="6" t="str">
        <f t="shared" si="3"/>
        <v>00000090</v>
      </c>
      <c r="B43" s="6"/>
      <c r="C43" s="6"/>
      <c r="D43" s="6"/>
    </row>
    <row r="44" spans="1:4">
      <c r="A44" s="6" t="str">
        <f t="shared" si="3"/>
        <v>00000094</v>
      </c>
      <c r="B44" s="6"/>
      <c r="C44" s="6"/>
      <c r="D44" s="6"/>
    </row>
    <row r="45" spans="1:4">
      <c r="A45" s="6" t="str">
        <f t="shared" si="3"/>
        <v>00000098</v>
      </c>
      <c r="B45" s="7"/>
      <c r="C45" s="6"/>
      <c r="D45" s="6"/>
    </row>
    <row r="46" spans="1:4">
      <c r="A46" s="6" t="str">
        <f t="shared" si="3"/>
        <v>0000009C</v>
      </c>
      <c r="B46" s="6"/>
      <c r="C46" s="6"/>
      <c r="D46" s="6"/>
    </row>
    <row r="47" spans="1:4">
      <c r="A47" s="2" t="str">
        <f t="shared" si="3"/>
        <v>000000A0</v>
      </c>
    </row>
    <row r="48" spans="1:4">
      <c r="A48" s="2" t="str">
        <f t="shared" si="3"/>
        <v>000000A4</v>
      </c>
    </row>
    <row r="49" spans="1:3">
      <c r="A49" s="2" t="str">
        <f t="shared" si="3"/>
        <v>000000A8</v>
      </c>
    </row>
    <row r="50" spans="1:3">
      <c r="A50" s="2" t="str">
        <f t="shared" si="3"/>
        <v>000000AC</v>
      </c>
      <c r="B50" s="2" t="s">
        <v>15</v>
      </c>
      <c r="C50" s="2" t="str">
        <f>SUBSTITUTE(C33,"push","pop")</f>
        <v>pop {r4, lr}</v>
      </c>
    </row>
    <row r="51" spans="1:3">
      <c r="A51" s="2" t="str">
        <f t="shared" si="3"/>
        <v>000000B0</v>
      </c>
    </row>
    <row r="52" spans="1:3">
      <c r="A52" s="2" t="str">
        <f t="shared" si="3"/>
        <v>000000B4</v>
      </c>
      <c r="B52" s="2" t="s">
        <v>16</v>
      </c>
      <c r="C52" s="2" t="str">
        <f>SUBSTITUTE(C50,"lr","pc")</f>
        <v>pop {r4,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2026-04-29T01:05:55Z</dcterms:modified>
</cp:coreProperties>
</file>