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Other Mechanics\"/>
    </mc:Choice>
  </mc:AlternateContent>
  <xr:revisionPtr revIDLastSave="0" documentId="13_ncr:1_{B3D43938-BD4C-4065-AA5A-8205626C9CC5}" xr6:coauthVersionLast="47" xr6:coauthVersionMax="47" xr10:uidLastSave="{00000000-0000-0000-0000-000000000000}"/>
  <bookViews>
    <workbookView xWindow="-103" yWindow="-103" windowWidth="33120" windowHeight="18120" xr2:uid="{FFF8744C-F0B4-428F-8CA7-718350CADE02}"/>
  </bookViews>
  <sheets>
    <sheet name="Edited" sheetId="13" r:id="rId1"/>
    <sheet name="original" sheetId="14" r:id="rId2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3" l="1"/>
  <c r="C31" i="13"/>
  <c r="A4" i="13"/>
  <c r="A5" i="13" s="1"/>
  <c r="A6" i="13" s="1"/>
  <c r="A7" i="13" s="1"/>
  <c r="A8" i="13" s="1"/>
  <c r="A9" i="13" s="1"/>
  <c r="A10" i="13" s="1"/>
  <c r="A11" i="13" s="1"/>
  <c r="A12" i="13" s="1"/>
  <c r="C7" i="13" s="1"/>
  <c r="C7" i="14"/>
  <c r="A12" i="14"/>
  <c r="A8" i="14"/>
  <c r="A9" i="14" s="1"/>
  <c r="A10" i="14" s="1"/>
  <c r="A11" i="14" s="1"/>
  <c r="A6" i="14"/>
  <c r="A7" i="14" s="1"/>
  <c r="A4" i="14" l="1"/>
  <c r="A5" i="14" s="1"/>
  <c r="A16" i="13" l="1"/>
  <c r="A17" i="13" s="1"/>
  <c r="A18" i="13" s="1"/>
  <c r="A19" i="13" l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C29" i="13" l="1"/>
  <c r="C21" i="13"/>
  <c r="C25" i="13" s="1"/>
</calcChain>
</file>

<file path=xl/sharedStrings.xml><?xml version="1.0" encoding="utf-8"?>
<sst xmlns="http://schemas.openxmlformats.org/spreadsheetml/2006/main" count="101" uniqueCount="75">
  <si>
    <t>Address</t>
  </si>
  <si>
    <t>Hex</t>
  </si>
  <si>
    <t>instruction</t>
  </si>
  <si>
    <t>notes</t>
  </si>
  <si>
    <t>010050E3</t>
  </si>
  <si>
    <t>cmp r0, 0x1</t>
  </si>
  <si>
    <t>0400001A</t>
  </si>
  <si>
    <t>Section in speed calc function</t>
  </si>
  <si>
    <t>00084480</t>
  </si>
  <si>
    <t>cmp r4, r6</t>
  </si>
  <si>
    <t>movhi r4, r6</t>
  </si>
  <si>
    <t>cmp r5, #0</t>
  </si>
  <si>
    <t>ldr r6, [pc, 0x34]</t>
  </si>
  <si>
    <t>34609FE5</t>
  </si>
  <si>
    <t>060054E1</t>
  </si>
  <si>
    <t>0640A081</t>
  </si>
  <si>
    <t>000055E3</t>
  </si>
  <si>
    <t>0300000A</t>
  </si>
  <si>
    <t>loads hex 10,000 (0x2710)</t>
  </si>
  <si>
    <t>checks if current effective speed &gt; 10,000</t>
  </si>
  <si>
    <t>if it is, set to 10k</t>
  </si>
  <si>
    <t>subne r4, r6, r4</t>
  </si>
  <si>
    <t xml:space="preserve">nop </t>
  </si>
  <si>
    <t>mov r0, 0x4F</t>
  </si>
  <si>
    <t>bl 0x00087B58</t>
  </si>
  <si>
    <t>Get Trick Room status</t>
  </si>
  <si>
    <t>0 is no trick room</t>
  </si>
  <si>
    <t>cmp r0, 0x0</t>
  </si>
  <si>
    <t>if it is, set to 10k - Speed</t>
  </si>
  <si>
    <t>4F00A0E3</t>
  </si>
  <si>
    <t>AE0D00EB</t>
  </si>
  <si>
    <t>000050E3</t>
  </si>
  <si>
    <t>04404610</t>
  </si>
  <si>
    <t>00F020E3</t>
  </si>
  <si>
    <t>ldr r3, [pc, 0x34]</t>
  </si>
  <si>
    <t>cmp r4, r3</t>
  </si>
  <si>
    <t>movhi r4, r3</t>
  </si>
  <si>
    <t>if yes, go to trick room speed calc thing</t>
  </si>
  <si>
    <t>r3 is 10,000; r4 is current effective speed, r6 is pokemon pointer</t>
  </si>
  <si>
    <t>mov r0, r6</t>
  </si>
  <si>
    <t>push {r5, lr}</t>
  </si>
  <si>
    <t>mov r5, r3</t>
  </si>
  <si>
    <t>bl 0x000E2AA0</t>
  </si>
  <si>
    <t>get held item</t>
  </si>
  <si>
    <t>sub r0, r0, 0x300</t>
  </si>
  <si>
    <t>subs r0, 0x75</t>
  </si>
  <si>
    <t>check is Crabominite</t>
  </si>
  <si>
    <t>bl 0x000D6F98</t>
  </si>
  <si>
    <t>Check is currently Mega</t>
  </si>
  <si>
    <t>sub r3, r5, r4</t>
  </si>
  <si>
    <t>if not, regular trick room</t>
  </si>
  <si>
    <t>otherwise, is Mega Crabominable</t>
  </si>
  <si>
    <t>compute Trick Room speed of 10k - current speed</t>
  </si>
  <si>
    <t>cmp r3, r4</t>
  </si>
  <si>
    <t>if TR speed &gt; regular speed, use that, otherwise leave as is</t>
  </si>
  <si>
    <t>sub r4, r5, r4</t>
  </si>
  <si>
    <t>regular TR calc</t>
  </si>
  <si>
    <t>Mega Crabominable under Trick Room always uses whichever is higher of regular and trick room speeed</t>
  </si>
  <si>
    <t>34309FE5</t>
  </si>
  <si>
    <t>030054E1</t>
  </si>
  <si>
    <t>0340A081</t>
  </si>
  <si>
    <t>48E2011B</t>
  </si>
  <si>
    <t>20402DE9</t>
  </si>
  <si>
    <t>0350A0E1</t>
  </si>
  <si>
    <t>0600A0E1</t>
  </si>
  <si>
    <t>3197FFEB</t>
  </si>
  <si>
    <t>030C40E2</t>
  </si>
  <si>
    <t>750050E2</t>
  </si>
  <si>
    <t>0800001A</t>
  </si>
  <si>
    <t>6A68FFEB</t>
  </si>
  <si>
    <t>043045E0</t>
  </si>
  <si>
    <t>040053E1</t>
  </si>
  <si>
    <t>000000EA</t>
  </si>
  <si>
    <t>044045E0</t>
  </si>
  <si>
    <t>2080BDE8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</si>
</sst>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2" borderId="0" xfId="0" applyFont="1" applyFill="1"/>
    <xf numFmtId="0" fontId="2" fillId="2" borderId="0" xfId="0" quotePrefix="1" applyFont="1" applyFill="1"/>
    <xf numFmtId="49" fontId="2" fillId="0" borderId="0" xfId="0" quotePrefix="1" applyNumberFormat="1" applyFont="1"/>
    <xf numFmtId="49" fontId="2" fillId="0" borderId="0" xfId="0" applyNumberFormat="1" applyFont="1"/>
    <xf numFmtId="0" fontId="3" fillId="0" borderId="0" xfId="0" applyFont="1"/>
    <xf numFmtId="49" fontId="3" fillId="0" borderId="0" xfId="0" quotePrefix="1" applyNumberFormat="1" applyFont="1"/>
    <xf numFmtId="49" fontId="3" fillId="0" borderId="0" xfId="0" applyNumberFormat="1" applyFont="1"/>
    <xf numFmtId="0" fontId="2" fillId="3" borderId="0" xfId="0" applyFont="1" applyFill="1"/>
    <xf numFmtId="0" fontId="2" fillId="3" borderId="0" xfId="0" quotePrefix="1" applyFont="1" applyFill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 applyAlignment="1">
      <alignment horizontal="left"/>
    </xf>
    <xf numFmtId="0" fontId="3" fillId="2" borderId="0" xfId="0" applyFont="1" applyFill="1"/>
    <xf numFmtId="11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3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CDE46-BAFF-4288-852C-796EA5E0E042}">
  <dimension ref="A1:D62"/>
  <sheetViews>
    <sheetView tabSelected="1" zoomScaleNormal="100" workbookViewId="0">
      <pane ySplit="1" topLeftCell="A2" activePane="bottomLeft" state="frozen"/>
      <selection pane="bottomLeft" activeCell="A3" sqref="A3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66.0703125" style="2" bestFit="1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/>
      <c r="C2" s="1"/>
      <c r="D2" s="1"/>
    </row>
    <row r="3" spans="1:4">
      <c r="A3" s="3" t="s">
        <v>8</v>
      </c>
      <c r="B3" s="2" t="s">
        <v>58</v>
      </c>
      <c r="C3" s="2" t="s">
        <v>34</v>
      </c>
      <c r="D3" s="2" t="s">
        <v>18</v>
      </c>
    </row>
    <row r="4" spans="1:4">
      <c r="A4" s="2" t="str">
        <f t="shared" ref="A4:A12" si="0">DEC2HEX(HEX2DEC(A3)+4,8)</f>
        <v>00084484</v>
      </c>
      <c r="B4" s="3" t="s">
        <v>59</v>
      </c>
      <c r="C4" s="2" t="s">
        <v>35</v>
      </c>
      <c r="D4" s="2" t="s">
        <v>19</v>
      </c>
    </row>
    <row r="5" spans="1:4">
      <c r="A5" s="2" t="str">
        <f t="shared" si="0"/>
        <v>00084488</v>
      </c>
      <c r="B5" s="2" t="s">
        <v>60</v>
      </c>
      <c r="C5" s="2" t="s">
        <v>36</v>
      </c>
      <c r="D5" s="2" t="s">
        <v>20</v>
      </c>
    </row>
    <row r="6" spans="1:4">
      <c r="A6" s="2" t="str">
        <f t="shared" si="0"/>
        <v>0008448C</v>
      </c>
      <c r="B6" s="3" t="s">
        <v>16</v>
      </c>
      <c r="C6" s="2" t="s">
        <v>11</v>
      </c>
    </row>
    <row r="7" spans="1:4">
      <c r="A7" s="2" t="str">
        <f t="shared" si="0"/>
        <v>00084490</v>
      </c>
      <c r="B7" s="2" t="s">
        <v>17</v>
      </c>
      <c r="C7" s="2" t="str">
        <f>_xlfn.CONCAT("beq 0x",A12)</f>
        <v>beq 0x000844A4</v>
      </c>
    </row>
    <row r="8" spans="1:4">
      <c r="A8" s="2" t="str">
        <f t="shared" si="0"/>
        <v>00084494</v>
      </c>
      <c r="B8" s="2" t="s">
        <v>29</v>
      </c>
      <c r="C8" s="2" t="s">
        <v>23</v>
      </c>
      <c r="D8" s="2" t="s">
        <v>25</v>
      </c>
    </row>
    <row r="9" spans="1:4">
      <c r="A9" s="2" t="str">
        <f t="shared" si="0"/>
        <v>00084498</v>
      </c>
      <c r="B9" s="2" t="s">
        <v>30</v>
      </c>
      <c r="C9" s="2" t="s">
        <v>24</v>
      </c>
    </row>
    <row r="10" spans="1:4">
      <c r="A10" s="2" t="str">
        <f t="shared" si="0"/>
        <v>0008449C</v>
      </c>
      <c r="B10" s="3" t="s">
        <v>31</v>
      </c>
      <c r="C10" s="2" t="s">
        <v>27</v>
      </c>
      <c r="D10" s="2" t="s">
        <v>26</v>
      </c>
    </row>
    <row r="11" spans="1:4">
      <c r="A11" s="2" t="str">
        <f t="shared" si="0"/>
        <v>000844A0</v>
      </c>
      <c r="B11" s="17" t="s">
        <v>61</v>
      </c>
      <c r="C11" s="2" t="str">
        <f>_xlfn.CONCAT("blne 0x",A15)</f>
        <v>blne 0x</v>
      </c>
      <c r="D11" s="2" t="s">
        <v>37</v>
      </c>
    </row>
    <row r="12" spans="1:4">
      <c r="A12" s="2" t="str">
        <f t="shared" si="0"/>
        <v>000844A4</v>
      </c>
      <c r="B12" s="3" t="s">
        <v>33</v>
      </c>
      <c r="C12" s="2" t="s">
        <v>22</v>
      </c>
    </row>
    <row r="13" spans="1:4">
      <c r="A13" s="1"/>
      <c r="B13" s="1"/>
      <c r="C13" s="1"/>
      <c r="D13" s="1"/>
    </row>
    <row r="14" spans="1:4">
      <c r="A14" s="1" t="s">
        <v>57</v>
      </c>
      <c r="B14" s="1"/>
      <c r="C14" s="1"/>
    </row>
    <row r="15" spans="1:4">
      <c r="B15" s="3" t="s">
        <v>62</v>
      </c>
      <c r="C15" s="2" t="s">
        <v>40</v>
      </c>
      <c r="D15" s="2" t="s">
        <v>38</v>
      </c>
    </row>
    <row r="16" spans="1:4">
      <c r="A16" s="2" t="str">
        <f t="shared" ref="A16:A31" si="1">DEC2HEX(HEX2DEC(A15)+4,8)</f>
        <v>00000004</v>
      </c>
      <c r="B16" s="3" t="s">
        <v>63</v>
      </c>
      <c r="C16" s="2" t="s">
        <v>41</v>
      </c>
    </row>
    <row r="17" spans="1:4">
      <c r="A17" s="11" t="str">
        <f t="shared" si="1"/>
        <v>00000008</v>
      </c>
      <c r="B17" s="12" t="s">
        <v>64</v>
      </c>
      <c r="C17" s="11" t="s">
        <v>39</v>
      </c>
      <c r="D17" s="11" t="s">
        <v>43</v>
      </c>
    </row>
    <row r="18" spans="1:4">
      <c r="A18" s="11" t="str">
        <f t="shared" si="1"/>
        <v>0000000C</v>
      </c>
      <c r="B18" s="12" t="s">
        <v>65</v>
      </c>
      <c r="C18" s="11" t="s">
        <v>42</v>
      </c>
      <c r="D18" s="11"/>
    </row>
    <row r="19" spans="1:4">
      <c r="A19" s="11" t="str">
        <f t="shared" si="1"/>
        <v>00000010</v>
      </c>
      <c r="B19" s="12" t="s">
        <v>66</v>
      </c>
      <c r="C19" s="11" t="s">
        <v>44</v>
      </c>
      <c r="D19" s="15" t="s">
        <v>46</v>
      </c>
    </row>
    <row r="20" spans="1:4">
      <c r="A20" s="11" t="str">
        <f t="shared" si="1"/>
        <v>00000014</v>
      </c>
      <c r="B20" s="12" t="s">
        <v>67</v>
      </c>
      <c r="C20" s="11" t="s">
        <v>45</v>
      </c>
      <c r="D20" s="12"/>
    </row>
    <row r="21" spans="1:4">
      <c r="A21" s="11" t="str">
        <f t="shared" si="1"/>
        <v>00000018</v>
      </c>
      <c r="B21" s="12" t="s">
        <v>68</v>
      </c>
      <c r="C21" s="11" t="str">
        <f>_xlfn.CONCAT("bne 0x",A31)</f>
        <v>bne 0x00000040</v>
      </c>
      <c r="D21" s="11"/>
    </row>
    <row r="22" spans="1:4">
      <c r="A22" s="4" t="str">
        <f t="shared" si="1"/>
        <v>0000001C</v>
      </c>
      <c r="B22" s="5" t="s">
        <v>64</v>
      </c>
      <c r="C22" s="4" t="s">
        <v>39</v>
      </c>
      <c r="D22" s="4" t="s">
        <v>48</v>
      </c>
    </row>
    <row r="23" spans="1:4">
      <c r="A23" s="4" t="str">
        <f t="shared" si="1"/>
        <v>00000020</v>
      </c>
      <c r="B23" s="5" t="s">
        <v>69</v>
      </c>
      <c r="C23" s="4" t="s">
        <v>47</v>
      </c>
      <c r="D23" s="4"/>
    </row>
    <row r="24" spans="1:4">
      <c r="A24" s="4" t="str">
        <f t="shared" si="1"/>
        <v>00000024</v>
      </c>
      <c r="B24" s="5" t="s">
        <v>4</v>
      </c>
      <c r="C24" s="4" t="s">
        <v>5</v>
      </c>
      <c r="D24" s="4" t="s">
        <v>50</v>
      </c>
    </row>
    <row r="25" spans="1:4">
      <c r="A25" s="4" t="str">
        <f t="shared" si="1"/>
        <v>00000028</v>
      </c>
      <c r="B25" s="16" t="s">
        <v>6</v>
      </c>
      <c r="C25" s="4" t="str">
        <f>C21</f>
        <v>bne 0x00000040</v>
      </c>
      <c r="D25" s="4" t="s">
        <v>51</v>
      </c>
    </row>
    <row r="26" spans="1:4">
      <c r="A26" s="13" t="str">
        <f t="shared" si="1"/>
        <v>0000002C</v>
      </c>
      <c r="B26" s="14" t="s">
        <v>70</v>
      </c>
      <c r="C26" s="13" t="s">
        <v>49</v>
      </c>
      <c r="D26" s="13" t="s">
        <v>52</v>
      </c>
    </row>
    <row r="27" spans="1:4">
      <c r="A27" s="13" t="str">
        <f t="shared" si="1"/>
        <v>00000030</v>
      </c>
      <c r="B27" s="14" t="s">
        <v>71</v>
      </c>
      <c r="C27" s="13" t="s">
        <v>53</v>
      </c>
      <c r="D27" s="13"/>
    </row>
    <row r="28" spans="1:4">
      <c r="A28" s="13" t="str">
        <f t="shared" si="1"/>
        <v>00000034</v>
      </c>
      <c r="B28" s="14" t="s">
        <v>60</v>
      </c>
      <c r="C28" s="13" t="s">
        <v>36</v>
      </c>
      <c r="D28" s="13" t="s">
        <v>54</v>
      </c>
    </row>
    <row r="29" spans="1:4">
      <c r="A29" s="13" t="str">
        <f t="shared" si="1"/>
        <v>00000038</v>
      </c>
      <c r="B29" s="14" t="s">
        <v>72</v>
      </c>
      <c r="C29" s="13" t="str">
        <f>_xlfn.CONCAT("b 0x",A31)</f>
        <v>b 0x00000040</v>
      </c>
      <c r="D29" s="13"/>
    </row>
    <row r="30" spans="1:4">
      <c r="A30" s="2" t="str">
        <f t="shared" si="1"/>
        <v>0000003C</v>
      </c>
      <c r="B30" s="3" t="s">
        <v>73</v>
      </c>
      <c r="C30" s="2" t="s">
        <v>55</v>
      </c>
      <c r="D30" s="2" t="s">
        <v>56</v>
      </c>
    </row>
    <row r="31" spans="1:4">
      <c r="A31" s="2" t="str">
        <f t="shared" si="1"/>
        <v>00000040</v>
      </c>
      <c r="B31" s="3" t="s">
        <v>74</v>
      </c>
      <c r="C31" s="2" t="str">
        <f>SUBSTITUTE(SUBSTITUTE(C15,"push","pop"),"lr","pc")</f>
        <v>pop {r5, pc}</v>
      </c>
    </row>
    <row r="32" spans="1:4">
      <c r="B32" s="3"/>
    </row>
    <row r="33" spans="1:4">
      <c r="B33" s="9"/>
      <c r="D33" s="8"/>
    </row>
    <row r="34" spans="1:4">
      <c r="B34" s="10"/>
    </row>
    <row r="35" spans="1:4">
      <c r="B35" s="10"/>
    </row>
    <row r="36" spans="1:4">
      <c r="B36" s="10"/>
    </row>
    <row r="37" spans="1:4">
      <c r="B37" s="10"/>
      <c r="D37" s="8"/>
    </row>
    <row r="38" spans="1:4">
      <c r="B38" s="10"/>
      <c r="D38" s="8"/>
    </row>
    <row r="39" spans="1:4">
      <c r="B39" s="10"/>
      <c r="D39" s="8"/>
    </row>
    <row r="40" spans="1:4">
      <c r="B40" s="10"/>
      <c r="D40" s="8"/>
    </row>
    <row r="41" spans="1:4">
      <c r="B41" s="10"/>
      <c r="D41" s="8"/>
    </row>
    <row r="42" spans="1:4">
      <c r="B42" s="10"/>
      <c r="D42" s="8"/>
    </row>
    <row r="43" spans="1:4">
      <c r="B43" s="6"/>
    </row>
    <row r="44" spans="1:4">
      <c r="A44" s="3"/>
    </row>
    <row r="45" spans="1:4">
      <c r="B45" s="3"/>
    </row>
    <row r="46" spans="1:4">
      <c r="B46" s="3"/>
    </row>
    <row r="47" spans="1:4">
      <c r="B47" s="3"/>
    </row>
    <row r="48" spans="1:4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7"/>
    </row>
    <row r="53" spans="2:2">
      <c r="B53" s="7"/>
    </row>
    <row r="54" spans="2:2">
      <c r="B54" s="6"/>
    </row>
    <row r="55" spans="2:2">
      <c r="B55" s="7"/>
    </row>
    <row r="56" spans="2:2">
      <c r="B56" s="7"/>
    </row>
    <row r="57" spans="2:2">
      <c r="B57" s="6"/>
    </row>
    <row r="58" spans="2:2">
      <c r="B58" s="6"/>
    </row>
    <row r="59" spans="2:2">
      <c r="B59" s="6"/>
    </row>
    <row r="60" spans="2:2">
      <c r="B60" s="7"/>
    </row>
    <row r="61" spans="2:2">
      <c r="B61" s="7"/>
    </row>
    <row r="62" spans="2:2">
      <c r="B62" s="7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67B82-690D-4F1B-96E6-A9DA4F5FD3DE}">
  <dimension ref="A1:D71"/>
  <sheetViews>
    <sheetView zoomScaleNormal="100" workbookViewId="0">
      <pane ySplit="1" topLeftCell="A2" activePane="bottomLeft" state="frozen"/>
      <selection pane="bottomLeft" activeCell="D2" sqref="A2:D12"/>
    </sheetView>
  </sheetViews>
  <sheetFormatPr defaultColWidth="9.2109375" defaultRowHeight="15.9"/>
  <cols>
    <col min="1" max="1" width="12.2109375" style="2" customWidth="1"/>
    <col min="2" max="2" width="10.640625" style="2" bestFit="1" customWidth="1"/>
    <col min="3" max="3" width="36.7109375" style="2" bestFit="1" customWidth="1"/>
    <col min="4" max="4" width="51.0703125" style="2" customWidth="1"/>
    <col min="5" max="5" width="3.640625" style="2" customWidth="1"/>
    <col min="6" max="6" width="12.7109375" style="2" customWidth="1"/>
    <col min="7" max="7" width="13.640625" style="2" customWidth="1"/>
    <col min="8" max="11" width="9.2109375" style="2"/>
    <col min="12" max="12" width="9.7109375" style="2" bestFit="1" customWidth="1"/>
    <col min="13" max="16384" width="9.2109375" style="2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7</v>
      </c>
      <c r="B2" s="1"/>
      <c r="C2" s="1"/>
      <c r="D2" s="1"/>
    </row>
    <row r="3" spans="1:4">
      <c r="A3" s="3" t="s">
        <v>8</v>
      </c>
      <c r="B3" s="2" t="s">
        <v>13</v>
      </c>
      <c r="C3" s="2" t="s">
        <v>12</v>
      </c>
      <c r="D3" s="2" t="s">
        <v>18</v>
      </c>
    </row>
    <row r="4" spans="1:4">
      <c r="A4" s="2" t="str">
        <f t="shared" ref="A4:A12" si="0">DEC2HEX(HEX2DEC(A3)+4,8)</f>
        <v>00084484</v>
      </c>
      <c r="B4" s="3" t="s">
        <v>14</v>
      </c>
      <c r="C4" s="2" t="s">
        <v>9</v>
      </c>
      <c r="D4" s="2" t="s">
        <v>19</v>
      </c>
    </row>
    <row r="5" spans="1:4">
      <c r="A5" s="2" t="str">
        <f t="shared" si="0"/>
        <v>00084488</v>
      </c>
      <c r="B5" s="2" t="s">
        <v>15</v>
      </c>
      <c r="C5" s="2" t="s">
        <v>10</v>
      </c>
      <c r="D5" s="2" t="s">
        <v>20</v>
      </c>
    </row>
    <row r="6" spans="1:4">
      <c r="A6" s="2" t="str">
        <f t="shared" si="0"/>
        <v>0008448C</v>
      </c>
      <c r="B6" s="3" t="s">
        <v>16</v>
      </c>
      <c r="C6" s="2" t="s">
        <v>11</v>
      </c>
    </row>
    <row r="7" spans="1:4">
      <c r="A7" s="2" t="str">
        <f t="shared" si="0"/>
        <v>00084490</v>
      </c>
      <c r="B7" s="2" t="s">
        <v>17</v>
      </c>
      <c r="C7" s="2" t="str">
        <f>_xlfn.CONCAT("beq 0x",A12)</f>
        <v>beq 0x000844A4</v>
      </c>
    </row>
    <row r="8" spans="1:4">
      <c r="A8" s="2" t="str">
        <f t="shared" si="0"/>
        <v>00084494</v>
      </c>
      <c r="B8" s="2" t="s">
        <v>29</v>
      </c>
      <c r="C8" s="2" t="s">
        <v>23</v>
      </c>
      <c r="D8" s="2" t="s">
        <v>25</v>
      </c>
    </row>
    <row r="9" spans="1:4">
      <c r="A9" s="2" t="str">
        <f t="shared" si="0"/>
        <v>00084498</v>
      </c>
      <c r="B9" s="2" t="s">
        <v>30</v>
      </c>
      <c r="C9" s="2" t="s">
        <v>24</v>
      </c>
    </row>
    <row r="10" spans="1:4">
      <c r="A10" s="2" t="str">
        <f t="shared" si="0"/>
        <v>0008449C</v>
      </c>
      <c r="B10" s="3" t="s">
        <v>31</v>
      </c>
      <c r="C10" s="2" t="s">
        <v>27</v>
      </c>
      <c r="D10" s="2" t="s">
        <v>26</v>
      </c>
    </row>
    <row r="11" spans="1:4">
      <c r="A11" s="2" t="str">
        <f t="shared" si="0"/>
        <v>000844A0</v>
      </c>
      <c r="B11" s="3" t="s">
        <v>32</v>
      </c>
      <c r="C11" s="2" t="s">
        <v>21</v>
      </c>
      <c r="D11" s="2" t="s">
        <v>28</v>
      </c>
    </row>
    <row r="12" spans="1:4">
      <c r="A12" s="2" t="str">
        <f t="shared" si="0"/>
        <v>000844A4</v>
      </c>
      <c r="B12" s="3" t="s">
        <v>33</v>
      </c>
      <c r="C12" s="2" t="s">
        <v>22</v>
      </c>
    </row>
    <row r="13" spans="1:4">
      <c r="B13" s="3"/>
    </row>
    <row r="14" spans="1:4">
      <c r="B14" s="3"/>
    </row>
    <row r="15" spans="1:4">
      <c r="B15" s="3"/>
    </row>
    <row r="16" spans="1:4">
      <c r="B16" s="3"/>
    </row>
    <row r="17" spans="2:4">
      <c r="B17" s="8"/>
    </row>
    <row r="18" spans="2:4">
      <c r="B18" s="3"/>
    </row>
    <row r="19" spans="2:4">
      <c r="D19" s="8"/>
    </row>
    <row r="20" spans="2:4">
      <c r="B20" s="3"/>
    </row>
    <row r="21" spans="2:4">
      <c r="B21" s="3"/>
    </row>
    <row r="22" spans="2:4">
      <c r="B22" s="3"/>
    </row>
    <row r="23" spans="2:4">
      <c r="B23" s="3"/>
    </row>
    <row r="24" spans="2:4">
      <c r="B24" s="9"/>
      <c r="D24" s="8"/>
    </row>
    <row r="25" spans="2:4">
      <c r="B25" s="10"/>
    </row>
    <row r="26" spans="2:4">
      <c r="B26" s="10"/>
      <c r="D26" s="8"/>
    </row>
    <row r="27" spans="2:4">
      <c r="B27" s="10"/>
      <c r="D27" s="8"/>
    </row>
    <row r="28" spans="2:4">
      <c r="B28" s="6"/>
    </row>
    <row r="29" spans="2:4">
      <c r="B29" s="7"/>
    </row>
    <row r="30" spans="2:4">
      <c r="B30" s="7"/>
      <c r="C30" s="8"/>
    </row>
    <row r="31" spans="2:4">
      <c r="B31" s="6"/>
    </row>
    <row r="32" spans="2:4">
      <c r="B32" s="9"/>
      <c r="C32" s="8"/>
    </row>
    <row r="33" spans="2:4">
      <c r="B33" s="3"/>
    </row>
    <row r="34" spans="2:4">
      <c r="B34" s="3"/>
    </row>
    <row r="35" spans="2:4">
      <c r="B35" s="3"/>
    </row>
    <row r="36" spans="2:4">
      <c r="B36" s="9"/>
      <c r="D36" s="8"/>
    </row>
    <row r="37" spans="2:4">
      <c r="B37" s="10"/>
    </row>
    <row r="38" spans="2:4">
      <c r="B38" s="10"/>
      <c r="D38" s="8"/>
    </row>
    <row r="39" spans="2:4">
      <c r="B39" s="10"/>
      <c r="D39" s="8"/>
    </row>
    <row r="40" spans="2:4">
      <c r="B40" s="6"/>
    </row>
    <row r="41" spans="2:4">
      <c r="B41" s="7"/>
    </row>
    <row r="42" spans="2:4">
      <c r="B42" s="7"/>
      <c r="C42" s="8"/>
    </row>
    <row r="43" spans="2:4">
      <c r="B43" s="6"/>
    </row>
    <row r="44" spans="2:4">
      <c r="B44" s="6"/>
    </row>
    <row r="45" spans="2:4">
      <c r="B45" s="6"/>
    </row>
    <row r="46" spans="2:4">
      <c r="B46" s="7"/>
    </row>
    <row r="47" spans="2:4">
      <c r="B47" s="7"/>
    </row>
    <row r="48" spans="2:4">
      <c r="B48" s="7"/>
    </row>
    <row r="49" spans="2:2">
      <c r="B49" s="7"/>
    </row>
    <row r="50" spans="2:2">
      <c r="B50" s="6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7"/>
    </row>
    <row r="62" spans="2:2">
      <c r="B62" s="7"/>
    </row>
    <row r="63" spans="2:2">
      <c r="B63" s="6"/>
    </row>
    <row r="64" spans="2:2">
      <c r="B64" s="7"/>
    </row>
    <row r="65" spans="2:2">
      <c r="B65" s="7"/>
    </row>
    <row r="66" spans="2:2">
      <c r="B66" s="6"/>
    </row>
    <row r="67" spans="2:2">
      <c r="B67" s="6"/>
    </row>
    <row r="68" spans="2:2">
      <c r="B68" s="6"/>
    </row>
    <row r="69" spans="2:2">
      <c r="B69" s="7"/>
    </row>
    <row r="70" spans="2:2">
      <c r="B70" s="7"/>
    </row>
    <row r="71" spans="2:2">
      <c r="B71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Edited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2024-11-26T03:26:41Z</dcterms:created>
  <dcterms:modified xsi:type="dcterms:W3CDTF">2026-05-26T00:13:28Z</dcterms:modified>
</cp:coreProperties>
</file>