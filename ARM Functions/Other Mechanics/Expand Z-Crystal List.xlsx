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B Laptop\Dropbox\ROM\3ds\USUM ARM research\Other Mechanics\"/>
    </mc:Choice>
  </mc:AlternateContent>
  <xr:revisionPtr revIDLastSave="0" documentId="13_ncr:1_{9BB14091-F194-4255-8B54-58C372045F22}" xr6:coauthVersionLast="47" xr6:coauthVersionMax="47" xr10:uidLastSave="{00000000-0000-0000-0000-000000000000}"/>
  <bookViews>
    <workbookView xWindow="-110" yWindow="-110" windowWidth="25820" windowHeight="15620" activeTab="1" xr2:uid="{00000000-000D-0000-FFFF-FFFF00000000}"/>
  </bookViews>
  <sheets>
    <sheet name="Edited Code (Has my table)" sheetId="1" r:id="rId1"/>
    <sheet name="Edited code raw" sheetId="3" r:id="rId2"/>
    <sheet name="Origina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3" l="1"/>
  <c r="C12" i="3"/>
  <c r="H23" i="3"/>
  <c r="C23" i="3"/>
  <c r="H23" i="1"/>
  <c r="C23" i="1"/>
  <c r="H12" i="1"/>
  <c r="C12" i="1"/>
  <c r="H130" i="3"/>
  <c r="D130" i="3"/>
  <c r="H129" i="3"/>
  <c r="D129" i="3"/>
  <c r="H128" i="3"/>
  <c r="D128" i="3"/>
  <c r="H127" i="3"/>
  <c r="D127" i="3"/>
  <c r="H126" i="3"/>
  <c r="D126" i="3"/>
  <c r="H125" i="3"/>
  <c r="D125" i="3"/>
  <c r="H124" i="3"/>
  <c r="D124" i="3"/>
  <c r="H123" i="3"/>
  <c r="D123" i="3"/>
  <c r="H122" i="3"/>
  <c r="D122" i="3"/>
  <c r="H121" i="3"/>
  <c r="D121" i="3"/>
  <c r="H120" i="3"/>
  <c r="D120" i="3"/>
  <c r="H119" i="3"/>
  <c r="D119" i="3"/>
  <c r="H118" i="3"/>
  <c r="D118" i="3"/>
  <c r="H117" i="3"/>
  <c r="D117" i="3"/>
  <c r="H116" i="3"/>
  <c r="D116" i="3"/>
  <c r="H115" i="3"/>
  <c r="D115" i="3"/>
  <c r="H114" i="3"/>
  <c r="D114" i="3"/>
  <c r="H113" i="3"/>
  <c r="D113" i="3"/>
  <c r="H112" i="3"/>
  <c r="D112" i="3"/>
  <c r="H111" i="3"/>
  <c r="D111" i="3"/>
  <c r="H110" i="3"/>
  <c r="D110" i="3"/>
  <c r="H109" i="3"/>
  <c r="D109" i="3"/>
  <c r="H108" i="3"/>
  <c r="D108" i="3"/>
  <c r="H107" i="3"/>
  <c r="D107" i="3"/>
  <c r="H106" i="3"/>
  <c r="D106" i="3"/>
  <c r="H105" i="3"/>
  <c r="D105" i="3"/>
  <c r="H104" i="3"/>
  <c r="D104" i="3"/>
  <c r="H103" i="3"/>
  <c r="D103" i="3"/>
  <c r="H102" i="3"/>
  <c r="D102" i="3"/>
  <c r="H101" i="3"/>
  <c r="D101" i="3"/>
  <c r="H100" i="3"/>
  <c r="D100" i="3"/>
  <c r="H99" i="3"/>
  <c r="D99" i="3"/>
  <c r="H98" i="3"/>
  <c r="D98" i="3"/>
  <c r="H97" i="3"/>
  <c r="G97" i="3"/>
  <c r="F97" i="3" s="1"/>
  <c r="D97" i="3"/>
  <c r="B97" i="3"/>
  <c r="H96" i="3"/>
  <c r="F96" i="3"/>
  <c r="D96" i="3"/>
  <c r="A96" i="3"/>
  <c r="H91" i="3"/>
  <c r="D91" i="3"/>
  <c r="H90" i="3"/>
  <c r="D90" i="3"/>
  <c r="H89" i="3"/>
  <c r="D89" i="3"/>
  <c r="H88" i="3"/>
  <c r="D88" i="3"/>
  <c r="H87" i="3"/>
  <c r="D87" i="3"/>
  <c r="H86" i="3"/>
  <c r="D86" i="3"/>
  <c r="H85" i="3"/>
  <c r="D85" i="3"/>
  <c r="H84" i="3"/>
  <c r="D84" i="3"/>
  <c r="H83" i="3"/>
  <c r="D83" i="3"/>
  <c r="H82" i="3"/>
  <c r="D82" i="3"/>
  <c r="H81" i="3"/>
  <c r="D81" i="3"/>
  <c r="H80" i="3"/>
  <c r="D80" i="3"/>
  <c r="H79" i="3"/>
  <c r="D79" i="3"/>
  <c r="H78" i="3"/>
  <c r="D78" i="3"/>
  <c r="H77" i="3"/>
  <c r="D77" i="3"/>
  <c r="H76" i="3"/>
  <c r="D76" i="3"/>
  <c r="H75" i="3"/>
  <c r="D75" i="3"/>
  <c r="H74" i="3"/>
  <c r="D74" i="3"/>
  <c r="H73" i="3"/>
  <c r="D73" i="3"/>
  <c r="H72" i="3"/>
  <c r="D72" i="3"/>
  <c r="H71" i="3"/>
  <c r="D71" i="3"/>
  <c r="H70" i="3"/>
  <c r="D70" i="3"/>
  <c r="H69" i="3"/>
  <c r="D69" i="3"/>
  <c r="H68" i="3"/>
  <c r="D68" i="3"/>
  <c r="H67" i="3"/>
  <c r="D67" i="3"/>
  <c r="H66" i="3"/>
  <c r="D66" i="3"/>
  <c r="H65" i="3"/>
  <c r="D65" i="3"/>
  <c r="H64" i="3"/>
  <c r="D64" i="3"/>
  <c r="H63" i="3"/>
  <c r="D63" i="3"/>
  <c r="H62" i="3"/>
  <c r="D62" i="3"/>
  <c r="H61" i="3"/>
  <c r="D61" i="3"/>
  <c r="H60" i="3"/>
  <c r="D60" i="3"/>
  <c r="H59" i="3"/>
  <c r="D59" i="3"/>
  <c r="H58" i="3"/>
  <c r="G58" i="3"/>
  <c r="F58" i="3" s="1"/>
  <c r="D58" i="3"/>
  <c r="B58" i="3"/>
  <c r="H57" i="3"/>
  <c r="F57" i="3"/>
  <c r="D57" i="3"/>
  <c r="A57" i="3"/>
  <c r="G51" i="3"/>
  <c r="F51" i="3" s="1"/>
  <c r="B51" i="3"/>
  <c r="B52" i="3" s="1"/>
  <c r="B53" i="3" s="1"/>
  <c r="A51" i="3"/>
  <c r="F50" i="3"/>
  <c r="A50" i="3"/>
  <c r="H43" i="3"/>
  <c r="H54" i="3" s="1"/>
  <c r="C43" i="3"/>
  <c r="C54" i="3" s="1"/>
  <c r="G31" i="3"/>
  <c r="G32" i="3" s="1"/>
  <c r="G33" i="3" s="1"/>
  <c r="G34" i="3" s="1"/>
  <c r="B31" i="3"/>
  <c r="B32" i="3" s="1"/>
  <c r="F30" i="3"/>
  <c r="A30" i="3"/>
  <c r="I27" i="3"/>
  <c r="G24" i="3"/>
  <c r="G25" i="3" s="1"/>
  <c r="F24" i="3"/>
  <c r="B24" i="3"/>
  <c r="F23" i="3"/>
  <c r="A23" i="3"/>
  <c r="H16" i="3"/>
  <c r="H27" i="3" s="1"/>
  <c r="C16" i="3"/>
  <c r="C27" i="3" s="1"/>
  <c r="G4" i="3"/>
  <c r="G5" i="3" s="1"/>
  <c r="F5" i="3" s="1"/>
  <c r="B4" i="3"/>
  <c r="B5" i="3" s="1"/>
  <c r="F3" i="3"/>
  <c r="A3" i="3"/>
  <c r="B124" i="1"/>
  <c r="B125" i="1" s="1"/>
  <c r="G123" i="1"/>
  <c r="G124" i="1" s="1"/>
  <c r="H131" i="1"/>
  <c r="D131" i="1"/>
  <c r="F31" i="3" l="1"/>
  <c r="A4" i="3"/>
  <c r="G52" i="3"/>
  <c r="A31" i="3"/>
  <c r="H92" i="3"/>
  <c r="I92" i="3" s="1"/>
  <c r="G6" i="3"/>
  <c r="I12" i="3"/>
  <c r="I23" i="3" s="1"/>
  <c r="D12" i="3"/>
  <c r="D23" i="3" s="1"/>
  <c r="A97" i="3"/>
  <c r="B98" i="3"/>
  <c r="H131" i="3"/>
  <c r="I131" i="3" s="1"/>
  <c r="A24" i="3"/>
  <c r="B25" i="3"/>
  <c r="F4" i="3"/>
  <c r="I40" i="3"/>
  <c r="F32" i="3"/>
  <c r="A52" i="3"/>
  <c r="A58" i="3"/>
  <c r="B59" i="3"/>
  <c r="A32" i="3"/>
  <c r="D40" i="3"/>
  <c r="B33" i="3"/>
  <c r="F52" i="3"/>
  <c r="G53" i="3"/>
  <c r="A53" i="3"/>
  <c r="B54" i="3"/>
  <c r="A54" i="3" s="1"/>
  <c r="A5" i="3"/>
  <c r="D13" i="3"/>
  <c r="B6" i="3"/>
  <c r="I13" i="3"/>
  <c r="G35" i="3"/>
  <c r="F34" i="3"/>
  <c r="G26" i="3"/>
  <c r="F25" i="3"/>
  <c r="F33" i="3"/>
  <c r="G59" i="3"/>
  <c r="G98" i="3"/>
  <c r="B126" i="1"/>
  <c r="A125" i="1"/>
  <c r="A124" i="1"/>
  <c r="G125" i="1"/>
  <c r="F124" i="1"/>
  <c r="F123" i="1"/>
  <c r="H91" i="1"/>
  <c r="D91" i="1"/>
  <c r="G58" i="1"/>
  <c r="G59" i="1" s="1"/>
  <c r="F57" i="1"/>
  <c r="F97" i="1"/>
  <c r="G98" i="1"/>
  <c r="G99" i="1" s="1"/>
  <c r="F98" i="1"/>
  <c r="G51" i="1"/>
  <c r="G52" i="1" s="1"/>
  <c r="F50" i="1"/>
  <c r="H43" i="1"/>
  <c r="H54" i="1" s="1"/>
  <c r="G31" i="1"/>
  <c r="F31" i="1" s="1"/>
  <c r="F30" i="1"/>
  <c r="G4" i="1"/>
  <c r="G5" i="1" s="1"/>
  <c r="H16" i="1"/>
  <c r="H27" i="1" s="1"/>
  <c r="G24" i="1"/>
  <c r="G25" i="1" s="1"/>
  <c r="F23" i="1"/>
  <c r="I27" i="1"/>
  <c r="F3" i="1"/>
  <c r="H132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2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C16" i="1"/>
  <c r="C27" i="1" s="1"/>
  <c r="C43" i="1"/>
  <c r="C54" i="1" s="1"/>
  <c r="D132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B98" i="1"/>
  <c r="B99" i="1" s="1"/>
  <c r="D97" i="1"/>
  <c r="A97" i="1"/>
  <c r="D92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B58" i="1"/>
  <c r="B59" i="1" s="1"/>
  <c r="D57" i="1"/>
  <c r="A57" i="1"/>
  <c r="B51" i="1"/>
  <c r="B52" i="1" s="1"/>
  <c r="A50" i="1"/>
  <c r="B31" i="1"/>
  <c r="B32" i="1" s="1"/>
  <c r="D40" i="1" s="1"/>
  <c r="A30" i="1"/>
  <c r="B24" i="1"/>
  <c r="B25" i="1" s="1"/>
  <c r="A23" i="1"/>
  <c r="B4" i="1"/>
  <c r="B5" i="1" s="1"/>
  <c r="D13" i="1" s="1"/>
  <c r="A4" i="1"/>
  <c r="A3" i="1"/>
  <c r="B92" i="2"/>
  <c r="D45" i="2"/>
  <c r="D40" i="2"/>
  <c r="D34" i="2"/>
  <c r="D18" i="2"/>
  <c r="D13" i="2"/>
  <c r="D7" i="2"/>
  <c r="G7" i="3" l="1"/>
  <c r="F6" i="3"/>
  <c r="D39" i="3"/>
  <c r="D50" i="3" s="1"/>
  <c r="I39" i="3"/>
  <c r="I50" i="3" s="1"/>
  <c r="A98" i="3"/>
  <c r="B99" i="3"/>
  <c r="B60" i="3"/>
  <c r="A59" i="3"/>
  <c r="G99" i="3"/>
  <c r="F98" i="3"/>
  <c r="G60" i="3"/>
  <c r="F59" i="3"/>
  <c r="A6" i="3"/>
  <c r="B7" i="3"/>
  <c r="A33" i="3"/>
  <c r="B34" i="3"/>
  <c r="G36" i="3"/>
  <c r="F35" i="3"/>
  <c r="G27" i="3"/>
  <c r="F27" i="3" s="1"/>
  <c r="F26" i="3"/>
  <c r="G54" i="3"/>
  <c r="F54" i="3" s="1"/>
  <c r="F53" i="3"/>
  <c r="A25" i="3"/>
  <c r="B26" i="3"/>
  <c r="B127" i="1"/>
  <c r="A126" i="1"/>
  <c r="G126" i="1"/>
  <c r="F125" i="1"/>
  <c r="A31" i="1"/>
  <c r="H93" i="1"/>
  <c r="I93" i="1" s="1"/>
  <c r="I12" i="1" s="1"/>
  <c r="I23" i="1" s="1"/>
  <c r="H133" i="1"/>
  <c r="I133" i="1" s="1"/>
  <c r="F4" i="1"/>
  <c r="A51" i="1"/>
  <c r="F59" i="1"/>
  <c r="G60" i="1"/>
  <c r="F58" i="1"/>
  <c r="G100" i="1"/>
  <c r="F99" i="1"/>
  <c r="F52" i="1"/>
  <c r="G53" i="1"/>
  <c r="F51" i="1"/>
  <c r="G32" i="1"/>
  <c r="I13" i="1"/>
  <c r="G6" i="1"/>
  <c r="G7" i="1" s="1"/>
  <c r="G8" i="1" s="1"/>
  <c r="G9" i="1" s="1"/>
  <c r="G10" i="1" s="1"/>
  <c r="G11" i="1" s="1"/>
  <c r="G26" i="1"/>
  <c r="F25" i="1"/>
  <c r="F24" i="1"/>
  <c r="A24" i="1"/>
  <c r="A58" i="1"/>
  <c r="A98" i="1"/>
  <c r="B53" i="1"/>
  <c r="A52" i="1"/>
  <c r="A5" i="1"/>
  <c r="B6" i="1"/>
  <c r="A25" i="1"/>
  <c r="B26" i="1"/>
  <c r="A59" i="1"/>
  <c r="B60" i="1"/>
  <c r="B100" i="1"/>
  <c r="A99" i="1"/>
  <c r="B33" i="1"/>
  <c r="A32" i="1"/>
  <c r="A94" i="2"/>
  <c r="A50" i="2"/>
  <c r="A30" i="2"/>
  <c r="A57" i="2"/>
  <c r="A23" i="2"/>
  <c r="A14" i="2"/>
  <c r="A13" i="2"/>
  <c r="A12" i="2"/>
  <c r="A11" i="2"/>
  <c r="A3" i="2"/>
  <c r="B24" i="2"/>
  <c r="B25" i="2" s="1"/>
  <c r="B26" i="2" s="1"/>
  <c r="B27" i="2" s="1"/>
  <c r="A27" i="2" s="1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E57" i="2" s="1"/>
  <c r="B58" i="2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A91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A21" i="2" s="1"/>
  <c r="B51" i="2"/>
  <c r="B52" i="2" s="1"/>
  <c r="B53" i="2" s="1"/>
  <c r="B54" i="2" s="1"/>
  <c r="A54" i="2" s="1"/>
  <c r="B95" i="2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31" i="2"/>
  <c r="B32" i="2" s="1"/>
  <c r="B33" i="2" s="1"/>
  <c r="B34" i="2" s="1"/>
  <c r="B35" i="2" s="1"/>
  <c r="B36" i="2" s="1"/>
  <c r="B37" i="2" s="1"/>
  <c r="B38" i="2" s="1"/>
  <c r="A38" i="2" s="1"/>
  <c r="G8" i="3" l="1"/>
  <c r="F7" i="3"/>
  <c r="G37" i="3"/>
  <c r="F36" i="3"/>
  <c r="A34" i="3"/>
  <c r="B35" i="3"/>
  <c r="A7" i="3"/>
  <c r="B8" i="3"/>
  <c r="B100" i="3"/>
  <c r="A99" i="3"/>
  <c r="B61" i="3"/>
  <c r="A60" i="3"/>
  <c r="F99" i="3"/>
  <c r="G100" i="3"/>
  <c r="A26" i="3"/>
  <c r="B27" i="3"/>
  <c r="A27" i="3" s="1"/>
  <c r="F60" i="3"/>
  <c r="G61" i="3"/>
  <c r="B128" i="1"/>
  <c r="A127" i="1"/>
  <c r="G127" i="1"/>
  <c r="F126" i="1"/>
  <c r="D12" i="1"/>
  <c r="D23" i="1" s="1"/>
  <c r="I39" i="1"/>
  <c r="I50" i="1" s="1"/>
  <c r="D39" i="1"/>
  <c r="D50" i="1" s="1"/>
  <c r="G61" i="1"/>
  <c r="F60" i="1"/>
  <c r="F100" i="1"/>
  <c r="G101" i="1"/>
  <c r="G54" i="1"/>
  <c r="F54" i="1" s="1"/>
  <c r="F53" i="1"/>
  <c r="I40" i="1"/>
  <c r="G33" i="1"/>
  <c r="F32" i="1"/>
  <c r="G12" i="1"/>
  <c r="G13" i="1" s="1"/>
  <c r="G14" i="1" s="1"/>
  <c r="G15" i="1" s="1"/>
  <c r="G16" i="1" s="1"/>
  <c r="I8" i="1"/>
  <c r="G27" i="1"/>
  <c r="F27" i="1" s="1"/>
  <c r="F26" i="1"/>
  <c r="F5" i="1"/>
  <c r="B101" i="1"/>
  <c r="A100" i="1"/>
  <c r="B61" i="1"/>
  <c r="A60" i="1"/>
  <c r="B27" i="1"/>
  <c r="A27" i="1" s="1"/>
  <c r="A26" i="1"/>
  <c r="A53" i="1"/>
  <c r="B54" i="1"/>
  <c r="A54" i="1" s="1"/>
  <c r="A6" i="1"/>
  <c r="B7" i="1"/>
  <c r="A33" i="1"/>
  <c r="B34" i="1"/>
  <c r="A100" i="2"/>
  <c r="A103" i="2"/>
  <c r="A15" i="2"/>
  <c r="A16" i="2"/>
  <c r="A17" i="2"/>
  <c r="A99" i="2"/>
  <c r="A101" i="2"/>
  <c r="A102" i="2"/>
  <c r="A104" i="2"/>
  <c r="A105" i="2"/>
  <c r="A86" i="2"/>
  <c r="A66" i="2"/>
  <c r="A121" i="2"/>
  <c r="A67" i="2"/>
  <c r="A122" i="2"/>
  <c r="A82" i="2"/>
  <c r="A83" i="2"/>
  <c r="A84" i="2"/>
  <c r="A85" i="2"/>
  <c r="A61" i="2"/>
  <c r="A62" i="2"/>
  <c r="A63" i="2"/>
  <c r="A64" i="2"/>
  <c r="A119" i="2"/>
  <c r="A65" i="2"/>
  <c r="A120" i="2"/>
  <c r="A81" i="2"/>
  <c r="A123" i="2"/>
  <c r="A18" i="2"/>
  <c r="A68" i="2"/>
  <c r="A88" i="2"/>
  <c r="A106" i="2"/>
  <c r="A126" i="2"/>
  <c r="A19" i="2"/>
  <c r="A69" i="2"/>
  <c r="A89" i="2"/>
  <c r="A107" i="2"/>
  <c r="A127" i="2"/>
  <c r="A52" i="2"/>
  <c r="A4" i="2"/>
  <c r="A53" i="2"/>
  <c r="A5" i="2"/>
  <c r="A6" i="2"/>
  <c r="A76" i="2"/>
  <c r="A34" i="2"/>
  <c r="A114" i="2"/>
  <c r="A77" i="2"/>
  <c r="A8" i="2"/>
  <c r="A58" i="2"/>
  <c r="A78" i="2"/>
  <c r="A36" i="2"/>
  <c r="A96" i="2"/>
  <c r="A116" i="2"/>
  <c r="A87" i="2"/>
  <c r="A125" i="2"/>
  <c r="A20" i="2"/>
  <c r="A70" i="2"/>
  <c r="A90" i="2"/>
  <c r="A108" i="2"/>
  <c r="A128" i="2"/>
  <c r="E76" i="2"/>
  <c r="A71" i="2"/>
  <c r="A110" i="2"/>
  <c r="A73" i="2"/>
  <c r="A111" i="2"/>
  <c r="A25" i="2"/>
  <c r="A32" i="2"/>
  <c r="A112" i="2"/>
  <c r="A26" i="2"/>
  <c r="A33" i="2"/>
  <c r="A113" i="2"/>
  <c r="A115" i="2"/>
  <c r="A9" i="2"/>
  <c r="A59" i="2"/>
  <c r="A79" i="2"/>
  <c r="A37" i="2"/>
  <c r="A97" i="2"/>
  <c r="A117" i="2"/>
  <c r="A124" i="2"/>
  <c r="A109" i="2"/>
  <c r="A72" i="2"/>
  <c r="A51" i="2"/>
  <c r="A24" i="2"/>
  <c r="A31" i="2"/>
  <c r="A74" i="2"/>
  <c r="A75" i="2"/>
  <c r="A7" i="2"/>
  <c r="A35" i="2"/>
  <c r="A95" i="2"/>
  <c r="A10" i="2"/>
  <c r="A60" i="2"/>
  <c r="A80" i="2"/>
  <c r="A98" i="2"/>
  <c r="A118" i="2"/>
  <c r="E60" i="2"/>
  <c r="E80" i="2"/>
  <c r="E61" i="2"/>
  <c r="E81" i="2"/>
  <c r="E62" i="2"/>
  <c r="E82" i="2"/>
  <c r="E70" i="2"/>
  <c r="E90" i="2"/>
  <c r="E73" i="2"/>
  <c r="E63" i="2"/>
  <c r="E84" i="2"/>
  <c r="E85" i="2"/>
  <c r="E66" i="2"/>
  <c r="E83" i="2"/>
  <c r="E64" i="2"/>
  <c r="E65" i="2"/>
  <c r="E86" i="2"/>
  <c r="E67" i="2"/>
  <c r="E87" i="2"/>
  <c r="E68" i="2"/>
  <c r="E88" i="2"/>
  <c r="E69" i="2"/>
  <c r="E89" i="2"/>
  <c r="E71" i="2"/>
  <c r="E91" i="2"/>
  <c r="E72" i="2"/>
  <c r="E74" i="2"/>
  <c r="E75" i="2"/>
  <c r="E77" i="2"/>
  <c r="E78" i="2"/>
  <c r="E59" i="2"/>
  <c r="E79" i="2"/>
  <c r="E58" i="2"/>
  <c r="E100" i="2"/>
  <c r="E120" i="2"/>
  <c r="E99" i="2"/>
  <c r="E119" i="2"/>
  <c r="E110" i="2"/>
  <c r="E122" i="2"/>
  <c r="E101" i="2"/>
  <c r="E121" i="2"/>
  <c r="E102" i="2"/>
  <c r="E103" i="2"/>
  <c r="E123" i="2"/>
  <c r="E109" i="2"/>
  <c r="E111" i="2"/>
  <c r="E112" i="2"/>
  <c r="E113" i="2"/>
  <c r="E118" i="2"/>
  <c r="E124" i="2"/>
  <c r="E105" i="2"/>
  <c r="E126" i="2"/>
  <c r="E107" i="2"/>
  <c r="E127" i="2"/>
  <c r="E114" i="2"/>
  <c r="E115" i="2"/>
  <c r="E116" i="2"/>
  <c r="E97" i="2"/>
  <c r="E104" i="2"/>
  <c r="E125" i="2"/>
  <c r="E106" i="2"/>
  <c r="E108" i="2"/>
  <c r="E128" i="2"/>
  <c r="E95" i="2"/>
  <c r="E96" i="2"/>
  <c r="E117" i="2"/>
  <c r="E98" i="2"/>
  <c r="B39" i="2"/>
  <c r="G9" i="3" l="1"/>
  <c r="F8" i="3"/>
  <c r="A100" i="3"/>
  <c r="B101" i="3"/>
  <c r="F100" i="3"/>
  <c r="G101" i="3"/>
  <c r="B9" i="3"/>
  <c r="A8" i="3"/>
  <c r="B36" i="3"/>
  <c r="A35" i="3"/>
  <c r="F61" i="3"/>
  <c r="G62" i="3"/>
  <c r="A61" i="3"/>
  <c r="B62" i="3"/>
  <c r="F37" i="3"/>
  <c r="G38" i="3"/>
  <c r="B129" i="1"/>
  <c r="A128" i="1"/>
  <c r="G128" i="1"/>
  <c r="F127" i="1"/>
  <c r="F61" i="1"/>
  <c r="G62" i="1"/>
  <c r="F101" i="1"/>
  <c r="G102" i="1"/>
  <c r="G34" i="1"/>
  <c r="F33" i="1"/>
  <c r="I3" i="1"/>
  <c r="G17" i="1"/>
  <c r="G18" i="1" s="1"/>
  <c r="G19" i="1" s="1"/>
  <c r="G20" i="1" s="1"/>
  <c r="G21" i="1" s="1"/>
  <c r="F6" i="1"/>
  <c r="A34" i="1"/>
  <c r="B35" i="1"/>
  <c r="B8" i="1"/>
  <c r="A7" i="1"/>
  <c r="A61" i="1"/>
  <c r="B62" i="1"/>
  <c r="A101" i="1"/>
  <c r="B102" i="1"/>
  <c r="B40" i="2"/>
  <c r="A39" i="2"/>
  <c r="G10" i="3" l="1"/>
  <c r="F9" i="3"/>
  <c r="A62" i="3"/>
  <c r="B63" i="3"/>
  <c r="B10" i="3"/>
  <c r="A9" i="3"/>
  <c r="G39" i="3"/>
  <c r="I35" i="3"/>
  <c r="F38" i="3"/>
  <c r="F62" i="3"/>
  <c r="G63" i="3"/>
  <c r="A101" i="3"/>
  <c r="B102" i="3"/>
  <c r="F101" i="3"/>
  <c r="G102" i="3"/>
  <c r="A36" i="3"/>
  <c r="B37" i="3"/>
  <c r="B130" i="1"/>
  <c r="A129" i="1"/>
  <c r="G129" i="1"/>
  <c r="F128" i="1"/>
  <c r="G63" i="1"/>
  <c r="F62" i="1"/>
  <c r="G103" i="1"/>
  <c r="F102" i="1"/>
  <c r="F34" i="1"/>
  <c r="G35" i="1"/>
  <c r="F7" i="1"/>
  <c r="B103" i="1"/>
  <c r="A102" i="1"/>
  <c r="B63" i="1"/>
  <c r="A62" i="1"/>
  <c r="B9" i="1"/>
  <c r="A8" i="1"/>
  <c r="B36" i="1"/>
  <c r="A35" i="1"/>
  <c r="B41" i="2"/>
  <c r="A40" i="2"/>
  <c r="F10" i="3" l="1"/>
  <c r="G11" i="3"/>
  <c r="G103" i="3"/>
  <c r="F102" i="3"/>
  <c r="A102" i="3"/>
  <c r="B103" i="3"/>
  <c r="B11" i="3"/>
  <c r="A10" i="3"/>
  <c r="B64" i="3"/>
  <c r="A63" i="3"/>
  <c r="G64" i="3"/>
  <c r="F63" i="3"/>
  <c r="G40" i="3"/>
  <c r="F39" i="3"/>
  <c r="B38" i="3"/>
  <c r="A37" i="3"/>
  <c r="B131" i="1"/>
  <c r="A130" i="1"/>
  <c r="G130" i="1"/>
  <c r="F129" i="1"/>
  <c r="F63" i="1"/>
  <c r="G64" i="1"/>
  <c r="G104" i="1"/>
  <c r="F103" i="1"/>
  <c r="G36" i="1"/>
  <c r="F35" i="1"/>
  <c r="F8" i="1"/>
  <c r="B37" i="1"/>
  <c r="A36" i="1"/>
  <c r="B64" i="1"/>
  <c r="A63" i="1"/>
  <c r="B10" i="1"/>
  <c r="A9" i="1"/>
  <c r="B104" i="1"/>
  <c r="A103" i="1"/>
  <c r="A41" i="2"/>
  <c r="B42" i="2"/>
  <c r="F11" i="3" l="1"/>
  <c r="G12" i="3"/>
  <c r="I8" i="3"/>
  <c r="B65" i="3"/>
  <c r="A64" i="3"/>
  <c r="B12" i="3"/>
  <c r="A11" i="3"/>
  <c r="D8" i="3"/>
  <c r="B104" i="3"/>
  <c r="A103" i="3"/>
  <c r="G41" i="3"/>
  <c r="F40" i="3"/>
  <c r="A38" i="3"/>
  <c r="B39" i="3"/>
  <c r="D35" i="3"/>
  <c r="F64" i="3"/>
  <c r="G65" i="3"/>
  <c r="F103" i="3"/>
  <c r="G104" i="3"/>
  <c r="B132" i="1"/>
  <c r="A132" i="1" s="1"/>
  <c r="A131" i="1"/>
  <c r="G131" i="1"/>
  <c r="F130" i="1"/>
  <c r="G65" i="1"/>
  <c r="F64" i="1"/>
  <c r="G105" i="1"/>
  <c r="F104" i="1"/>
  <c r="G37" i="1"/>
  <c r="F36" i="1"/>
  <c r="F9" i="1"/>
  <c r="B65" i="1"/>
  <c r="A64" i="1"/>
  <c r="A10" i="1"/>
  <c r="B11" i="1"/>
  <c r="D8" i="1" s="1"/>
  <c r="A104" i="1"/>
  <c r="B105" i="1"/>
  <c r="B38" i="1"/>
  <c r="D35" i="1" s="1"/>
  <c r="A37" i="1"/>
  <c r="A42" i="2"/>
  <c r="B43" i="2"/>
  <c r="F12" i="3" l="1"/>
  <c r="G13" i="3"/>
  <c r="B40" i="3"/>
  <c r="A39" i="3"/>
  <c r="B13" i="3"/>
  <c r="A12" i="3"/>
  <c r="F104" i="3"/>
  <c r="G105" i="3"/>
  <c r="G42" i="3"/>
  <c r="F41" i="3"/>
  <c r="F65" i="3"/>
  <c r="G66" i="3"/>
  <c r="A104" i="3"/>
  <c r="B105" i="3"/>
  <c r="A65" i="3"/>
  <c r="B66" i="3"/>
  <c r="G132" i="1"/>
  <c r="F132" i="1" s="1"/>
  <c r="F131" i="1"/>
  <c r="F65" i="1"/>
  <c r="G66" i="1"/>
  <c r="G106" i="1"/>
  <c r="F105" i="1"/>
  <c r="G38" i="1"/>
  <c r="F37" i="1"/>
  <c r="F10" i="1"/>
  <c r="A38" i="1"/>
  <c r="B39" i="1"/>
  <c r="B106" i="1"/>
  <c r="A105" i="1"/>
  <c r="A11" i="1"/>
  <c r="B12" i="1"/>
  <c r="B66" i="1"/>
  <c r="A65" i="1"/>
  <c r="B44" i="2"/>
  <c r="A43" i="2"/>
  <c r="G14" i="3" l="1"/>
  <c r="F13" i="3"/>
  <c r="A105" i="3"/>
  <c r="B106" i="3"/>
  <c r="F66" i="3"/>
  <c r="G67" i="3"/>
  <c r="B14" i="3"/>
  <c r="A13" i="3"/>
  <c r="A66" i="3"/>
  <c r="B67" i="3"/>
  <c r="F105" i="3"/>
  <c r="G106" i="3"/>
  <c r="F42" i="3"/>
  <c r="G43" i="3"/>
  <c r="B41" i="3"/>
  <c r="A40" i="3"/>
  <c r="F66" i="1"/>
  <c r="G67" i="1"/>
  <c r="G107" i="1"/>
  <c r="F106" i="1"/>
  <c r="I35" i="1"/>
  <c r="G39" i="1"/>
  <c r="F38" i="1"/>
  <c r="F11" i="1"/>
  <c r="B40" i="1"/>
  <c r="A39" i="1"/>
  <c r="A66" i="1"/>
  <c r="B67" i="1"/>
  <c r="B13" i="1"/>
  <c r="A12" i="1"/>
  <c r="A106" i="1"/>
  <c r="B107" i="1"/>
  <c r="B45" i="2"/>
  <c r="A44" i="2"/>
  <c r="G15" i="3" l="1"/>
  <c r="F14" i="3"/>
  <c r="A41" i="3"/>
  <c r="B42" i="3"/>
  <c r="F43" i="3"/>
  <c r="G44" i="3"/>
  <c r="I30" i="3"/>
  <c r="G68" i="3"/>
  <c r="F67" i="3"/>
  <c r="G107" i="3"/>
  <c r="F106" i="3"/>
  <c r="A106" i="3"/>
  <c r="B107" i="3"/>
  <c r="A14" i="3"/>
  <c r="B15" i="3"/>
  <c r="B68" i="3"/>
  <c r="A67" i="3"/>
  <c r="F67" i="1"/>
  <c r="G68" i="1"/>
  <c r="G108" i="1"/>
  <c r="F107" i="1"/>
  <c r="G40" i="1"/>
  <c r="F39" i="1"/>
  <c r="F12" i="1"/>
  <c r="B14" i="1"/>
  <c r="A13" i="1"/>
  <c r="B68" i="1"/>
  <c r="A67" i="1"/>
  <c r="B108" i="1"/>
  <c r="A107" i="1"/>
  <c r="B41" i="1"/>
  <c r="A40" i="1"/>
  <c r="B46" i="2"/>
  <c r="A45" i="2"/>
  <c r="F15" i="3" l="1"/>
  <c r="G16" i="3"/>
  <c r="B69" i="3"/>
  <c r="A68" i="3"/>
  <c r="F68" i="3"/>
  <c r="G69" i="3"/>
  <c r="F44" i="3"/>
  <c r="G45" i="3"/>
  <c r="F107" i="3"/>
  <c r="G108" i="3"/>
  <c r="B108" i="3"/>
  <c r="A107" i="3"/>
  <c r="A42" i="3"/>
  <c r="B43" i="3"/>
  <c r="B16" i="3"/>
  <c r="A15" i="3"/>
  <c r="G69" i="1"/>
  <c r="F68" i="1"/>
  <c r="G109" i="1"/>
  <c r="F108" i="1"/>
  <c r="G41" i="1"/>
  <c r="F40" i="1"/>
  <c r="F13" i="1"/>
  <c r="B42" i="1"/>
  <c r="A41" i="1"/>
  <c r="B69" i="1"/>
  <c r="A68" i="1"/>
  <c r="B109" i="1"/>
  <c r="A108" i="1"/>
  <c r="B15" i="1"/>
  <c r="A14" i="1"/>
  <c r="B47" i="2"/>
  <c r="A46" i="2"/>
  <c r="F16" i="3" l="1"/>
  <c r="G17" i="3"/>
  <c r="I3" i="3"/>
  <c r="F108" i="3"/>
  <c r="G109" i="3"/>
  <c r="F69" i="3"/>
  <c r="G70" i="3"/>
  <c r="F45" i="3"/>
  <c r="G46" i="3"/>
  <c r="B17" i="3"/>
  <c r="A16" i="3"/>
  <c r="D3" i="3"/>
  <c r="B44" i="3"/>
  <c r="A43" i="3"/>
  <c r="D30" i="3"/>
  <c r="A108" i="3"/>
  <c r="B109" i="3"/>
  <c r="A69" i="3"/>
  <c r="B70" i="3"/>
  <c r="G70" i="1"/>
  <c r="F69" i="1"/>
  <c r="G110" i="1"/>
  <c r="F109" i="1"/>
  <c r="F41" i="1"/>
  <c r="G42" i="1"/>
  <c r="F14" i="1"/>
  <c r="A15" i="1"/>
  <c r="B16" i="1"/>
  <c r="D3" i="1" s="1"/>
  <c r="B110" i="1"/>
  <c r="A109" i="1"/>
  <c r="B70" i="1"/>
  <c r="A69" i="1"/>
  <c r="A42" i="1"/>
  <c r="B43" i="1"/>
  <c r="D30" i="1" s="1"/>
  <c r="B48" i="2"/>
  <c r="A48" i="2" s="1"/>
  <c r="A47" i="2"/>
  <c r="F17" i="3" l="1"/>
  <c r="G18" i="3"/>
  <c r="A70" i="3"/>
  <c r="B71" i="3"/>
  <c r="F46" i="3"/>
  <c r="G47" i="3"/>
  <c r="A17" i="3"/>
  <c r="B18" i="3"/>
  <c r="F70" i="3"/>
  <c r="G71" i="3"/>
  <c r="F109" i="3"/>
  <c r="G110" i="3"/>
  <c r="A109" i="3"/>
  <c r="B110" i="3"/>
  <c r="A44" i="3"/>
  <c r="B45" i="3"/>
  <c r="G71" i="1"/>
  <c r="F70" i="1"/>
  <c r="F110" i="1"/>
  <c r="G111" i="1"/>
  <c r="G43" i="1"/>
  <c r="F42" i="1"/>
  <c r="F15" i="1"/>
  <c r="B71" i="1"/>
  <c r="A70" i="1"/>
  <c r="B44" i="1"/>
  <c r="A43" i="1"/>
  <c r="B17" i="1"/>
  <c r="A16" i="1"/>
  <c r="B111" i="1"/>
  <c r="A110" i="1"/>
  <c r="G19" i="3" l="1"/>
  <c r="F18" i="3"/>
  <c r="B46" i="3"/>
  <c r="A45" i="3"/>
  <c r="F47" i="3"/>
  <c r="G48" i="3"/>
  <c r="F48" i="3" s="1"/>
  <c r="G72" i="3"/>
  <c r="F71" i="3"/>
  <c r="A110" i="3"/>
  <c r="B111" i="3"/>
  <c r="B72" i="3"/>
  <c r="A71" i="3"/>
  <c r="B19" i="3"/>
  <c r="A18" i="3"/>
  <c r="G111" i="3"/>
  <c r="F110" i="3"/>
  <c r="F71" i="1"/>
  <c r="G72" i="1"/>
  <c r="F111" i="1"/>
  <c r="G112" i="1"/>
  <c r="I30" i="1"/>
  <c r="G44" i="1"/>
  <c r="F43" i="1"/>
  <c r="F16" i="1"/>
  <c r="B18" i="1"/>
  <c r="A17" i="1"/>
  <c r="A111" i="1"/>
  <c r="B112" i="1"/>
  <c r="B45" i="1"/>
  <c r="A44" i="1"/>
  <c r="A71" i="1"/>
  <c r="B72" i="1"/>
  <c r="G20" i="3" l="1"/>
  <c r="F19" i="3"/>
  <c r="F111" i="3"/>
  <c r="G112" i="3"/>
  <c r="F72" i="3"/>
  <c r="G73" i="3"/>
  <c r="A19" i="3"/>
  <c r="B20" i="3"/>
  <c r="B112" i="3"/>
  <c r="A111" i="3"/>
  <c r="B73" i="3"/>
  <c r="A72" i="3"/>
  <c r="A46" i="3"/>
  <c r="B47" i="3"/>
  <c r="F72" i="1"/>
  <c r="G73" i="1"/>
  <c r="G113" i="1"/>
  <c r="F112" i="1"/>
  <c r="G45" i="1"/>
  <c r="F44" i="1"/>
  <c r="F17" i="1"/>
  <c r="B46" i="1"/>
  <c r="A45" i="1"/>
  <c r="B113" i="1"/>
  <c r="A112" i="1"/>
  <c r="B73" i="1"/>
  <c r="A72" i="1"/>
  <c r="B19" i="1"/>
  <c r="A18" i="1"/>
  <c r="G21" i="3" l="1"/>
  <c r="F21" i="3" s="1"/>
  <c r="F20" i="3"/>
  <c r="B21" i="3"/>
  <c r="A21" i="3" s="1"/>
  <c r="A20" i="3"/>
  <c r="F73" i="3"/>
  <c r="G74" i="3"/>
  <c r="B48" i="3"/>
  <c r="A48" i="3" s="1"/>
  <c r="A47" i="3"/>
  <c r="F112" i="3"/>
  <c r="G113" i="3"/>
  <c r="A112" i="3"/>
  <c r="B113" i="3"/>
  <c r="A73" i="3"/>
  <c r="B74" i="3"/>
  <c r="G74" i="1"/>
  <c r="F73" i="1"/>
  <c r="G114" i="1"/>
  <c r="F113" i="1"/>
  <c r="G46" i="1"/>
  <c r="F45" i="1"/>
  <c r="F18" i="1"/>
  <c r="B114" i="1"/>
  <c r="A113" i="1"/>
  <c r="A19" i="1"/>
  <c r="B20" i="1"/>
  <c r="B74" i="1"/>
  <c r="A73" i="1"/>
  <c r="A46" i="1"/>
  <c r="B47" i="1"/>
  <c r="F113" i="3" l="1"/>
  <c r="G114" i="3"/>
  <c r="F74" i="3"/>
  <c r="G75" i="3"/>
  <c r="A74" i="3"/>
  <c r="B75" i="3"/>
  <c r="A113" i="3"/>
  <c r="B114" i="3"/>
  <c r="G75" i="1"/>
  <c r="F74" i="1"/>
  <c r="G115" i="1"/>
  <c r="F114" i="1"/>
  <c r="F46" i="1"/>
  <c r="G47" i="1"/>
  <c r="F19" i="1"/>
  <c r="A74" i="1"/>
  <c r="B75" i="1"/>
  <c r="A20" i="1"/>
  <c r="B21" i="1"/>
  <c r="A21" i="1" s="1"/>
  <c r="B48" i="1"/>
  <c r="A48" i="1" s="1"/>
  <c r="A47" i="1"/>
  <c r="A114" i="1"/>
  <c r="B115" i="1"/>
  <c r="A114" i="3" l="1"/>
  <c r="B115" i="3"/>
  <c r="B76" i="3"/>
  <c r="A75" i="3"/>
  <c r="G76" i="3"/>
  <c r="F75" i="3"/>
  <c r="G115" i="3"/>
  <c r="F114" i="3"/>
  <c r="G76" i="1"/>
  <c r="F75" i="1"/>
  <c r="G116" i="1"/>
  <c r="F115" i="1"/>
  <c r="G48" i="1"/>
  <c r="F48" i="1" s="1"/>
  <c r="F47" i="1"/>
  <c r="F21" i="1"/>
  <c r="F20" i="1"/>
  <c r="B116" i="1"/>
  <c r="A115" i="1"/>
  <c r="B76" i="1"/>
  <c r="A75" i="1"/>
  <c r="F115" i="3" l="1"/>
  <c r="G116" i="3"/>
  <c r="B116" i="3"/>
  <c r="A115" i="3"/>
  <c r="F76" i="3"/>
  <c r="G77" i="3"/>
  <c r="B77" i="3"/>
  <c r="A76" i="3"/>
  <c r="F76" i="1"/>
  <c r="G77" i="1"/>
  <c r="G117" i="1"/>
  <c r="F116" i="1"/>
  <c r="A76" i="1"/>
  <c r="B77" i="1"/>
  <c r="A116" i="1"/>
  <c r="B117" i="1"/>
  <c r="A77" i="3" l="1"/>
  <c r="B78" i="3"/>
  <c r="F116" i="3"/>
  <c r="G117" i="3"/>
  <c r="F77" i="3"/>
  <c r="G78" i="3"/>
  <c r="A116" i="3"/>
  <c r="B117" i="3"/>
  <c r="G78" i="1"/>
  <c r="F77" i="1"/>
  <c r="G118" i="1"/>
  <c r="F117" i="1"/>
  <c r="B118" i="1"/>
  <c r="A117" i="1"/>
  <c r="B78" i="1"/>
  <c r="A77" i="1"/>
  <c r="A117" i="3" l="1"/>
  <c r="B118" i="3"/>
  <c r="F117" i="3"/>
  <c r="G118" i="3"/>
  <c r="F78" i="3"/>
  <c r="G79" i="3"/>
  <c r="A78" i="3"/>
  <c r="B79" i="3"/>
  <c r="G79" i="1"/>
  <c r="F78" i="1"/>
  <c r="G119" i="1"/>
  <c r="F118" i="1"/>
  <c r="B79" i="1"/>
  <c r="A78" i="1"/>
  <c r="B119" i="1"/>
  <c r="A118" i="1"/>
  <c r="G80" i="3" l="1"/>
  <c r="F79" i="3"/>
  <c r="A118" i="3"/>
  <c r="B119" i="3"/>
  <c r="A79" i="3"/>
  <c r="B80" i="3"/>
  <c r="G119" i="3"/>
  <c r="F118" i="3"/>
  <c r="F79" i="1"/>
  <c r="G80" i="1"/>
  <c r="G120" i="1"/>
  <c r="F119" i="1"/>
  <c r="A119" i="1"/>
  <c r="B120" i="1"/>
  <c r="B80" i="1"/>
  <c r="A79" i="1"/>
  <c r="B120" i="3" l="1"/>
  <c r="A119" i="3"/>
  <c r="F119" i="3"/>
  <c r="G120" i="3"/>
  <c r="B81" i="3"/>
  <c r="A80" i="3"/>
  <c r="F80" i="3"/>
  <c r="G81" i="3"/>
  <c r="G81" i="1"/>
  <c r="F80" i="1"/>
  <c r="F120" i="1"/>
  <c r="G121" i="1"/>
  <c r="B81" i="1"/>
  <c r="A80" i="1"/>
  <c r="B121" i="1"/>
  <c r="A120" i="1"/>
  <c r="F81" i="3" l="1"/>
  <c r="G82" i="3"/>
  <c r="F120" i="3"/>
  <c r="G121" i="3"/>
  <c r="A81" i="3"/>
  <c r="B82" i="3"/>
  <c r="A120" i="3"/>
  <c r="B121" i="3"/>
  <c r="G82" i="1"/>
  <c r="F81" i="1"/>
  <c r="F121" i="1"/>
  <c r="G122" i="1"/>
  <c r="A121" i="1"/>
  <c r="B122" i="1"/>
  <c r="A81" i="1"/>
  <c r="B82" i="1"/>
  <c r="F121" i="3" l="1"/>
  <c r="G122" i="3"/>
  <c r="A121" i="3"/>
  <c r="B122" i="3"/>
  <c r="F82" i="3"/>
  <c r="G83" i="3"/>
  <c r="A82" i="3"/>
  <c r="B83" i="3"/>
  <c r="F82" i="1"/>
  <c r="G83" i="1"/>
  <c r="F122" i="1"/>
  <c r="B83" i="1"/>
  <c r="A82" i="1"/>
  <c r="B123" i="1"/>
  <c r="A122" i="1"/>
  <c r="A83" i="3" l="1"/>
  <c r="B84" i="3"/>
  <c r="A122" i="3"/>
  <c r="B123" i="3"/>
  <c r="G84" i="3"/>
  <c r="F83" i="3"/>
  <c r="G123" i="3"/>
  <c r="F122" i="3"/>
  <c r="G84" i="1"/>
  <c r="F83" i="1"/>
  <c r="A123" i="1"/>
  <c r="B84" i="1"/>
  <c r="A83" i="1"/>
  <c r="F123" i="3" l="1"/>
  <c r="G124" i="3"/>
  <c r="F84" i="3"/>
  <c r="G85" i="3"/>
  <c r="B85" i="3"/>
  <c r="A84" i="3"/>
  <c r="B124" i="3"/>
  <c r="A123" i="3"/>
  <c r="G85" i="1"/>
  <c r="F84" i="1"/>
  <c r="A84" i="1"/>
  <c r="B85" i="1"/>
  <c r="A124" i="3" l="1"/>
  <c r="B125" i="3"/>
  <c r="F85" i="3"/>
  <c r="G86" i="3"/>
  <c r="F124" i="3"/>
  <c r="G125" i="3"/>
  <c r="A85" i="3"/>
  <c r="B86" i="3"/>
  <c r="G86" i="1"/>
  <c r="F85" i="1"/>
  <c r="B86" i="1"/>
  <c r="A85" i="1"/>
  <c r="A86" i="3" l="1"/>
  <c r="B87" i="3"/>
  <c r="F125" i="3"/>
  <c r="G126" i="3"/>
  <c r="F86" i="3"/>
  <c r="G87" i="3"/>
  <c r="A125" i="3"/>
  <c r="B126" i="3"/>
  <c r="G87" i="1"/>
  <c r="F86" i="1"/>
  <c r="A86" i="1"/>
  <c r="B87" i="1"/>
  <c r="G88" i="3" l="1"/>
  <c r="F87" i="3"/>
  <c r="A126" i="3"/>
  <c r="B127" i="3"/>
  <c r="A87" i="3"/>
  <c r="B88" i="3"/>
  <c r="F126" i="3"/>
  <c r="G127" i="3"/>
  <c r="G88" i="1"/>
  <c r="F87" i="1"/>
  <c r="B88" i="1"/>
  <c r="A87" i="1"/>
  <c r="B89" i="3" l="1"/>
  <c r="A88" i="3"/>
  <c r="F127" i="3"/>
  <c r="G128" i="3"/>
  <c r="B128" i="3"/>
  <c r="A127" i="3"/>
  <c r="F88" i="3"/>
  <c r="G89" i="3"/>
  <c r="G89" i="1"/>
  <c r="F88" i="1"/>
  <c r="B89" i="1"/>
  <c r="A88" i="1"/>
  <c r="A128" i="3" l="1"/>
  <c r="B129" i="3"/>
  <c r="F89" i="3"/>
  <c r="G90" i="3"/>
  <c r="F128" i="3"/>
  <c r="G129" i="3"/>
  <c r="A89" i="3"/>
  <c r="B90" i="3"/>
  <c r="G90" i="1"/>
  <c r="G91" i="1" s="1"/>
  <c r="F89" i="1"/>
  <c r="A89" i="1"/>
  <c r="B90" i="1"/>
  <c r="B91" i="1" s="1"/>
  <c r="F129" i="3" l="1"/>
  <c r="G130" i="3"/>
  <c r="A129" i="3"/>
  <c r="B130" i="3"/>
  <c r="A90" i="3"/>
  <c r="B91" i="3"/>
  <c r="F90" i="3"/>
  <c r="G91" i="3"/>
  <c r="A91" i="1"/>
  <c r="B92" i="1"/>
  <c r="A92" i="1" s="1"/>
  <c r="F91" i="1"/>
  <c r="G92" i="1"/>
  <c r="F92" i="1" s="1"/>
  <c r="F90" i="1"/>
  <c r="A90" i="1"/>
  <c r="A91" i="3" l="1"/>
  <c r="A130" i="3"/>
  <c r="F91" i="3"/>
  <c r="F130" i="3"/>
</calcChain>
</file>

<file path=xl/sharedStrings.xml><?xml version="1.0" encoding="utf-8"?>
<sst xmlns="http://schemas.openxmlformats.org/spreadsheetml/2006/main" count="678" uniqueCount="148">
  <si>
    <t>notes</t>
  </si>
  <si>
    <t>ECB85B00</t>
  </si>
  <si>
    <t>Hex US</t>
  </si>
  <si>
    <t>Instruction US</t>
  </si>
  <si>
    <t>Address UM</t>
  </si>
  <si>
    <t>Hex UM</t>
  </si>
  <si>
    <t>Instruction UM</t>
  </si>
  <si>
    <t>1EFF2FE1</t>
  </si>
  <si>
    <t>bx lr</t>
  </si>
  <si>
    <t>r0 is Bag Z-Crystal</t>
  </si>
  <si>
    <t>00375EB8</t>
  </si>
  <si>
    <t>ldr r2, [pc, #0x40]</t>
  </si>
  <si>
    <t>ldrh r1, [r2]</t>
  </si>
  <si>
    <t>cmp r1, r0</t>
  </si>
  <si>
    <t>movne r1, #1</t>
  </si>
  <si>
    <t>add r3, r2, r1, lsl #1</t>
  </si>
  <si>
    <t>ldrhne r3, [r3, #2]</t>
  </si>
  <si>
    <t>cmpne r3, r0</t>
  </si>
  <si>
    <t>mov r0, #1</t>
  </si>
  <si>
    <t>add r1, r1, #2</t>
  </si>
  <si>
    <t>cmp r1, #0x23</t>
  </si>
  <si>
    <t>mov r0, #0</t>
  </si>
  <si>
    <t>40209FE5</t>
  </si>
  <si>
    <t>B010D2E1</t>
  </si>
  <si>
    <t>0110A013</t>
  </si>
  <si>
    <t>0500000A</t>
  </si>
  <si>
    <t>B0C0D3E1</t>
  </si>
  <si>
    <t>00005CE1</t>
  </si>
  <si>
    <t>B230D311</t>
  </si>
  <si>
    <t>0100001A</t>
  </si>
  <si>
    <t>0100A0E3</t>
  </si>
  <si>
    <t>F4FFFF3A</t>
  </si>
  <si>
    <t>0000A0E3</t>
  </si>
  <si>
    <t>get table offset</t>
  </si>
  <si>
    <t>load first halfword</t>
  </si>
  <si>
    <t>table offset</t>
  </si>
  <si>
    <t>0327</t>
  </si>
  <si>
    <t>0328</t>
  </si>
  <si>
    <t>0329</t>
  </si>
  <si>
    <t>032A</t>
  </si>
  <si>
    <t>032B</t>
  </si>
  <si>
    <t>032C</t>
  </si>
  <si>
    <t>032D</t>
  </si>
  <si>
    <t>032E</t>
  </si>
  <si>
    <t>032F</t>
  </si>
  <si>
    <t>0330</t>
  </si>
  <si>
    <t>0331</t>
  </si>
  <si>
    <t>0332</t>
  </si>
  <si>
    <t>0333</t>
  </si>
  <si>
    <t>0334</t>
  </si>
  <si>
    <t>0335</t>
  </si>
  <si>
    <t>0336</t>
  </si>
  <si>
    <t>0337</t>
  </si>
  <si>
    <t>0338</t>
  </si>
  <si>
    <t>0339</t>
  </si>
  <si>
    <t>033A</t>
  </si>
  <si>
    <t>033B</t>
  </si>
  <si>
    <t>033C</t>
  </si>
  <si>
    <t>033D</t>
  </si>
  <si>
    <t>033E</t>
  </si>
  <si>
    <t>033F</t>
  </si>
  <si>
    <t>0340</t>
  </si>
  <si>
    <t>0341</t>
  </si>
  <si>
    <t>0342</t>
  </si>
  <si>
    <t>0343</t>
  </si>
  <si>
    <t>039F</t>
  </si>
  <si>
    <t>03A0</t>
  </si>
  <si>
    <t>03A1</t>
  </si>
  <si>
    <t>03A2</t>
  </si>
  <si>
    <t>03A3</t>
  </si>
  <si>
    <t>03A4</t>
  </si>
  <si>
    <t>000051E1</t>
  </si>
  <si>
    <t>813082E0</t>
  </si>
  <si>
    <t>00005311</t>
  </si>
  <si>
    <t>021081E2</t>
  </si>
  <si>
    <t>230051E3</t>
  </si>
  <si>
    <t>Table for Bag Z-Crystal</t>
  </si>
  <si>
    <t>00376000</t>
  </si>
  <si>
    <t>mov r1, #0x23</t>
  </si>
  <si>
    <t>str r1, [r0]</t>
  </si>
  <si>
    <t>ldr r0, [pc]</t>
  </si>
  <si>
    <t>2310A0E3</t>
  </si>
  <si>
    <t>001080E5</t>
  </si>
  <si>
    <t>00009FE5</t>
  </si>
  <si>
    <t>load offset of table</t>
  </si>
  <si>
    <t>r0 is hold Z-Crystal</t>
  </si>
  <si>
    <t>00375F44</t>
  </si>
  <si>
    <t>Table for Hold Z-Crystal</t>
  </si>
  <si>
    <t>005BB8EC</t>
  </si>
  <si>
    <t>0312</t>
  </si>
  <si>
    <t>0313</t>
  </si>
  <si>
    <t>0314</t>
  </si>
  <si>
    <t>0315</t>
  </si>
  <si>
    <t>0316</t>
  </si>
  <si>
    <t>0317</t>
  </si>
  <si>
    <t>0318</t>
  </si>
  <si>
    <t>0319</t>
  </si>
  <si>
    <t>031A</t>
  </si>
  <si>
    <t>031E</t>
  </si>
  <si>
    <t>031F</t>
  </si>
  <si>
    <t>0320</t>
  </si>
  <si>
    <t>0321</t>
  </si>
  <si>
    <t>0322</t>
  </si>
  <si>
    <t>0323</t>
  </si>
  <si>
    <t>0324</t>
  </si>
  <si>
    <t>0325</t>
  </si>
  <si>
    <t>0326</t>
  </si>
  <si>
    <t>0344</t>
  </si>
  <si>
    <t>0399</t>
  </si>
  <si>
    <t>039A</t>
  </si>
  <si>
    <t>039B</t>
  </si>
  <si>
    <t>039C</t>
  </si>
  <si>
    <t>039D</t>
  </si>
  <si>
    <t>039E</t>
  </si>
  <si>
    <t>0308</t>
  </si>
  <si>
    <t>0309</t>
  </si>
  <si>
    <t>030A</t>
  </si>
  <si>
    <t>030B</t>
  </si>
  <si>
    <t>030C</t>
  </si>
  <si>
    <t>030D</t>
  </si>
  <si>
    <t>030E</t>
  </si>
  <si>
    <t>030F</t>
  </si>
  <si>
    <t>0310</t>
  </si>
  <si>
    <t>0311</t>
  </si>
  <si>
    <t>00376014</t>
  </si>
  <si>
    <t>32B95B00</t>
  </si>
  <si>
    <t>005BB932</t>
  </si>
  <si>
    <t>F-US</t>
  </si>
  <si>
    <t>L-US</t>
  </si>
  <si>
    <t>Pointer to table</t>
  </si>
  <si>
    <t>Count of Z-Crystals</t>
  </si>
  <si>
    <t>ldrh r12, [r3]</t>
  </si>
  <si>
    <t>cmp r12, r0</t>
  </si>
  <si>
    <t>46</t>
  </si>
  <si>
    <t>mov r1, 0x0</t>
  </si>
  <si>
    <t>add r1, r1, 0x1</t>
  </si>
  <si>
    <t>CCCCCCCC</t>
  </si>
  <si>
    <t>F-UM</t>
  </si>
  <si>
    <t>L-UM</t>
  </si>
  <si>
    <t>00445354</t>
  </si>
  <si>
    <t>00445358</t>
  </si>
  <si>
    <t>007B</t>
  </si>
  <si>
    <t>Squirtilium-Z</t>
  </si>
  <si>
    <t>2C209FE5</t>
  </si>
  <si>
    <t>0010A0E3</t>
  </si>
  <si>
    <t>011081E2</t>
  </si>
  <si>
    <t>F6FFFF3A</t>
  </si>
  <si>
    <t>037D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</si>
</sst>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scadia Code"/>
      <family val="3"/>
    </font>
    <font>
      <sz val="11"/>
      <color theme="1"/>
      <name val="Cascadia Code"/>
      <family val="3"/>
    </font>
    <font>
      <sz val="11"/>
      <name val="Cascadi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quotePrefix="1" applyFont="1"/>
    <xf numFmtId="0" fontId="3" fillId="0" borderId="0" xfId="0" quotePrefix="1" applyFont="1"/>
    <xf numFmtId="0" fontId="3" fillId="0" borderId="0" xfId="0" applyFont="1"/>
    <xf numFmtId="49" fontId="1" fillId="0" borderId="0" xfId="0" applyNumberFormat="1" applyFont="1"/>
    <xf numFmtId="49" fontId="2" fillId="0" borderId="0" xfId="0" quotePrefix="1" applyNumberFormat="1" applyFont="1"/>
    <xf numFmtId="49" fontId="3" fillId="0" borderId="0" xfId="0" quotePrefix="1" applyNumberFormat="1" applyFont="1"/>
    <xf numFmtId="49" fontId="2" fillId="0" borderId="0" xfId="0" applyNumberFormat="1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4"/>
  <sheetViews>
    <sheetView workbookViewId="0">
      <pane ySplit="1" topLeftCell="A2" activePane="bottomLeft" state="frozen"/>
      <selection pane="bottomLeft" activeCell="C12" sqref="C12"/>
    </sheetView>
  </sheetViews>
  <sheetFormatPr defaultColWidth="9.26953125" defaultRowHeight="14.5"/>
  <cols>
    <col min="1" max="1" width="10.08984375" style="2" bestFit="1" customWidth="1"/>
    <col min="2" max="2" width="12.54296875" style="2" bestFit="1" customWidth="1"/>
    <col min="3" max="3" width="10.08984375" style="2" bestFit="1" customWidth="1"/>
    <col min="4" max="4" width="51.36328125" style="2" bestFit="1" customWidth="1"/>
    <col min="5" max="5" width="29.36328125" style="2" bestFit="1" customWidth="1"/>
    <col min="6" max="8" width="10.08984375" style="2" bestFit="1" customWidth="1"/>
    <col min="9" max="9" width="26.54296875" style="2" bestFit="1" customWidth="1"/>
    <col min="10" max="16384" width="9.26953125" style="2"/>
  </cols>
  <sheetData>
    <row r="1" spans="1:9" ht="15">
      <c r="A1" s="1" t="s">
        <v>127</v>
      </c>
      <c r="B1" s="1" t="s">
        <v>128</v>
      </c>
      <c r="C1" s="1" t="s">
        <v>2</v>
      </c>
      <c r="D1" s="1" t="s">
        <v>3</v>
      </c>
      <c r="E1" s="1" t="s">
        <v>0</v>
      </c>
      <c r="F1" s="1" t="s">
        <v>137</v>
      </c>
      <c r="G1" s="2" t="s">
        <v>138</v>
      </c>
      <c r="H1" s="1" t="s">
        <v>5</v>
      </c>
      <c r="I1" s="1" t="s">
        <v>6</v>
      </c>
    </row>
    <row r="2" spans="1:9" ht="15">
      <c r="B2" s="10" t="s">
        <v>85</v>
      </c>
      <c r="C2" s="10"/>
      <c r="D2" s="10"/>
      <c r="E2" s="10"/>
      <c r="F2" s="10"/>
      <c r="G2" s="10"/>
      <c r="H2" s="10"/>
    </row>
    <row r="3" spans="1:9">
      <c r="A3" s="2" t="str">
        <f>DEC2HEX(HEX2DEC(B3)-1048576,8)</f>
        <v>00275F44</v>
      </c>
      <c r="B3" s="2" t="s">
        <v>86</v>
      </c>
      <c r="C3" s="3" t="s">
        <v>143</v>
      </c>
      <c r="D3" s="2" t="str">
        <f>_xlfn.CONCAT("ldr r2, [pc, #0x",DEC2HEX(HEX2DEC(B16)-HEX2DEC(B3)-8,2),"]")</f>
        <v>ldr r2, [pc, #0x2C]</v>
      </c>
      <c r="E3" s="2" t="s">
        <v>33</v>
      </c>
      <c r="F3" s="2" t="str">
        <f>DEC2HEX(HEX2DEC(G3)-1048576,8)</f>
        <v>00275F44</v>
      </c>
      <c r="G3" s="2" t="s">
        <v>86</v>
      </c>
      <c r="H3" s="3" t="s">
        <v>143</v>
      </c>
      <c r="I3" s="2" t="str">
        <f>_xlfn.CONCAT("ldr r2, [pc, #0x",DEC2HEX(HEX2DEC(G16)-HEX2DEC(G3)-8,2),"]")</f>
        <v>ldr r2, [pc, #0x2C]</v>
      </c>
    </row>
    <row r="4" spans="1:9">
      <c r="A4" s="2" t="str">
        <f t="shared" ref="A4:A27" si="0">DEC2HEX(HEX2DEC(B4)-1048576,8)</f>
        <v>00275F48</v>
      </c>
      <c r="B4" s="2" t="str">
        <f t="shared" ref="B4:B21" si="1">DEC2HEX(HEX2DEC(B3)+4,8)</f>
        <v>00375F48</v>
      </c>
      <c r="C4" s="4" t="s">
        <v>144</v>
      </c>
      <c r="D4" s="2" t="s">
        <v>134</v>
      </c>
      <c r="E4" s="5"/>
      <c r="F4" s="2" t="str">
        <f t="shared" ref="F4:F21" si="2">DEC2HEX(HEX2DEC(G4)-1048576,8)</f>
        <v>00275F48</v>
      </c>
      <c r="G4" s="2" t="str">
        <f t="shared" ref="G4:G21" si="3">DEC2HEX(HEX2DEC(G3)+4,8)</f>
        <v>00375F48</v>
      </c>
      <c r="H4" s="4" t="s">
        <v>144</v>
      </c>
      <c r="I4" s="2" t="s">
        <v>134</v>
      </c>
    </row>
    <row r="5" spans="1:9">
      <c r="A5" s="2" t="str">
        <f t="shared" si="0"/>
        <v>00275F4C</v>
      </c>
      <c r="B5" s="2" t="str">
        <f t="shared" si="1"/>
        <v>00375F4C</v>
      </c>
      <c r="C5" s="4" t="s">
        <v>72</v>
      </c>
      <c r="D5" s="2" t="s">
        <v>15</v>
      </c>
      <c r="F5" s="2" t="str">
        <f t="shared" si="2"/>
        <v>00275F4C</v>
      </c>
      <c r="G5" s="2" t="str">
        <f t="shared" si="3"/>
        <v>00375F4C</v>
      </c>
      <c r="H5" s="4" t="s">
        <v>72</v>
      </c>
      <c r="I5" s="2" t="s">
        <v>15</v>
      </c>
    </row>
    <row r="6" spans="1:9">
      <c r="A6" s="2" t="str">
        <f t="shared" si="0"/>
        <v>00275F50</v>
      </c>
      <c r="B6" s="2" t="str">
        <f t="shared" si="1"/>
        <v>00375F50</v>
      </c>
      <c r="C6" s="4" t="s">
        <v>26</v>
      </c>
      <c r="D6" s="2" t="s">
        <v>131</v>
      </c>
      <c r="F6" s="2" t="str">
        <f t="shared" si="2"/>
        <v>00275F50</v>
      </c>
      <c r="G6" s="2" t="str">
        <f t="shared" si="3"/>
        <v>00375F50</v>
      </c>
      <c r="H6" s="4" t="s">
        <v>26</v>
      </c>
      <c r="I6" s="2" t="s">
        <v>131</v>
      </c>
    </row>
    <row r="7" spans="1:9">
      <c r="A7" s="2" t="str">
        <f t="shared" si="0"/>
        <v>00275F54</v>
      </c>
      <c r="B7" s="2" t="str">
        <f t="shared" si="1"/>
        <v>00375F54</v>
      </c>
      <c r="C7" s="4" t="s">
        <v>27</v>
      </c>
      <c r="D7" s="2" t="s">
        <v>132</v>
      </c>
      <c r="F7" s="2" t="str">
        <f t="shared" si="2"/>
        <v>00275F54</v>
      </c>
      <c r="G7" s="2" t="str">
        <f t="shared" si="3"/>
        <v>00375F54</v>
      </c>
      <c r="H7" s="4" t="s">
        <v>27</v>
      </c>
      <c r="I7" s="2" t="s">
        <v>132</v>
      </c>
    </row>
    <row r="8" spans="1:9">
      <c r="A8" s="2" t="str">
        <f t="shared" si="0"/>
        <v>00275F58</v>
      </c>
      <c r="B8" s="2" t="str">
        <f t="shared" si="1"/>
        <v>00375F58</v>
      </c>
      <c r="C8" s="4" t="s">
        <v>29</v>
      </c>
      <c r="D8" s="2" t="str">
        <f>_xlfn.CONCAT("bne 0x",B11)</f>
        <v>bne 0x00375F64</v>
      </c>
      <c r="F8" s="2" t="str">
        <f t="shared" si="2"/>
        <v>00275F58</v>
      </c>
      <c r="G8" s="2" t="str">
        <f t="shared" si="3"/>
        <v>00375F58</v>
      </c>
      <c r="H8" s="4" t="s">
        <v>29</v>
      </c>
      <c r="I8" s="2" t="str">
        <f>_xlfn.CONCAT("bne 0x",G11)</f>
        <v>bne 0x00375F64</v>
      </c>
    </row>
    <row r="9" spans="1:9">
      <c r="A9" s="2" t="str">
        <f t="shared" si="0"/>
        <v>00275F5C</v>
      </c>
      <c r="B9" s="2" t="str">
        <f t="shared" si="1"/>
        <v>00375F5C</v>
      </c>
      <c r="C9" s="4" t="s">
        <v>30</v>
      </c>
      <c r="D9" s="2" t="s">
        <v>18</v>
      </c>
      <c r="F9" s="2" t="str">
        <f t="shared" si="2"/>
        <v>00275F5C</v>
      </c>
      <c r="G9" s="2" t="str">
        <f t="shared" si="3"/>
        <v>00375F5C</v>
      </c>
      <c r="H9" s="4" t="s">
        <v>30</v>
      </c>
      <c r="I9" s="2" t="s">
        <v>18</v>
      </c>
    </row>
    <row r="10" spans="1:9">
      <c r="A10" s="2" t="str">
        <f t="shared" si="0"/>
        <v>00275F60</v>
      </c>
      <c r="B10" s="2" t="str">
        <f t="shared" si="1"/>
        <v>00375F60</v>
      </c>
      <c r="C10" s="4" t="s">
        <v>7</v>
      </c>
      <c r="D10" s="2" t="s">
        <v>8</v>
      </c>
      <c r="F10" s="2" t="str">
        <f t="shared" si="2"/>
        <v>00275F60</v>
      </c>
      <c r="G10" s="2" t="str">
        <f t="shared" si="3"/>
        <v>00375F60</v>
      </c>
      <c r="H10" s="4" t="s">
        <v>7</v>
      </c>
      <c r="I10" s="2" t="s">
        <v>8</v>
      </c>
    </row>
    <row r="11" spans="1:9">
      <c r="A11" s="2" t="str">
        <f t="shared" si="0"/>
        <v>00275F64</v>
      </c>
      <c r="B11" s="2" t="str">
        <f t="shared" si="1"/>
        <v>00375F64</v>
      </c>
      <c r="C11" s="4" t="s">
        <v>145</v>
      </c>
      <c r="D11" s="2" t="s">
        <v>135</v>
      </c>
      <c r="F11" s="2" t="str">
        <f t="shared" si="2"/>
        <v>00275F64</v>
      </c>
      <c r="G11" s="2" t="str">
        <f t="shared" si="3"/>
        <v>00375F64</v>
      </c>
      <c r="H11" s="4" t="s">
        <v>145</v>
      </c>
      <c r="I11" s="2" t="s">
        <v>135</v>
      </c>
    </row>
    <row r="12" spans="1:9">
      <c r="A12" s="2" t="str">
        <f t="shared" si="0"/>
        <v>00275F68</v>
      </c>
      <c r="B12" s="2" t="str">
        <f t="shared" si="1"/>
        <v>00375F68</v>
      </c>
      <c r="C12" s="4" t="str">
        <f>_xlfn.CONCAT(RIGHT(D12,2),"0051E3")</f>
        <v>240051E3</v>
      </c>
      <c r="D12" s="2" t="str">
        <f>_xlfn.CONCAT("cmp r1, 0x",DEC2HEX(HEX2DEC($I93)/2))</f>
        <v>cmp r1, 0x24</v>
      </c>
      <c r="E12" s="2" t="s">
        <v>130</v>
      </c>
      <c r="F12" s="2" t="str">
        <f t="shared" si="2"/>
        <v>00275F68</v>
      </c>
      <c r="G12" s="2" t="str">
        <f t="shared" si="3"/>
        <v>00375F68</v>
      </c>
      <c r="H12" s="4" t="str">
        <f>_xlfn.CONCAT(RIGHT(I12,2),"0051E3")</f>
        <v>240051E3</v>
      </c>
      <c r="I12" s="2" t="str">
        <f>_xlfn.CONCAT("cmp r1, 0x",DEC2HEX(HEX2DEC($I93)/2))</f>
        <v>cmp r1, 0x24</v>
      </c>
    </row>
    <row r="13" spans="1:9">
      <c r="A13" s="2" t="str">
        <f t="shared" si="0"/>
        <v>00275F6C</v>
      </c>
      <c r="B13" s="2" t="str">
        <f t="shared" si="1"/>
        <v>00375F6C</v>
      </c>
      <c r="C13" s="4" t="s">
        <v>146</v>
      </c>
      <c r="D13" s="2" t="str">
        <f>_xlfn.CONCAT("blo 0x",B5)</f>
        <v>blo 0x00375F4C</v>
      </c>
      <c r="F13" s="2" t="str">
        <f t="shared" si="2"/>
        <v>00275F6C</v>
      </c>
      <c r="G13" s="2" t="str">
        <f t="shared" si="3"/>
        <v>00375F6C</v>
      </c>
      <c r="H13" s="4" t="s">
        <v>146</v>
      </c>
      <c r="I13" s="2" t="str">
        <f>_xlfn.CONCAT("blo 0x",G5)</f>
        <v>blo 0x00375F4C</v>
      </c>
    </row>
    <row r="14" spans="1:9">
      <c r="A14" s="2" t="str">
        <f t="shared" si="0"/>
        <v>00275F70</v>
      </c>
      <c r="B14" s="2" t="str">
        <f t="shared" si="1"/>
        <v>00375F70</v>
      </c>
      <c r="C14" s="4" t="s">
        <v>32</v>
      </c>
      <c r="D14" s="2" t="s">
        <v>21</v>
      </c>
      <c r="F14" s="2" t="str">
        <f t="shared" si="2"/>
        <v>00275F70</v>
      </c>
      <c r="G14" s="2" t="str">
        <f t="shared" si="3"/>
        <v>00375F70</v>
      </c>
      <c r="H14" s="4" t="s">
        <v>32</v>
      </c>
      <c r="I14" s="2" t="s">
        <v>21</v>
      </c>
    </row>
    <row r="15" spans="1:9">
      <c r="A15" s="2" t="str">
        <f t="shared" si="0"/>
        <v>00275F74</v>
      </c>
      <c r="B15" s="2" t="str">
        <f t="shared" si="1"/>
        <v>00375F74</v>
      </c>
      <c r="C15" s="4" t="s">
        <v>7</v>
      </c>
      <c r="D15" s="2" t="s">
        <v>8</v>
      </c>
      <c r="F15" s="2" t="str">
        <f t="shared" si="2"/>
        <v>00275F74</v>
      </c>
      <c r="G15" s="2" t="str">
        <f t="shared" si="3"/>
        <v>00375F74</v>
      </c>
      <c r="H15" s="4" t="s">
        <v>7</v>
      </c>
      <c r="I15" s="2" t="s">
        <v>8</v>
      </c>
    </row>
    <row r="16" spans="1:9">
      <c r="A16" s="2" t="str">
        <f t="shared" si="0"/>
        <v>00275F78</v>
      </c>
      <c r="B16" s="2" t="str">
        <f t="shared" si="1"/>
        <v>00375F78</v>
      </c>
      <c r="C16" s="2" t="str">
        <f>_xlfn.LET(_xlpm.x,B57,_xlfn.CONCAT(MID(_xlpm.x,7,2),MID(_xlpm.x,5,2),MID(_xlpm.x,3,2),MID(_xlpm.x,1,2)))</f>
        <v>54534400</v>
      </c>
      <c r="F16" s="2" t="str">
        <f t="shared" si="2"/>
        <v>00275F78</v>
      </c>
      <c r="G16" s="2" t="str">
        <f t="shared" si="3"/>
        <v>00375F78</v>
      </c>
      <c r="H16" s="2" t="str">
        <f>_xlfn.LET(_xlpm.x,G57,_xlfn.CONCAT(MID(_xlpm.x,7,2),MID(_xlpm.x,5,2),MID(_xlpm.x,3,2),MID(_xlpm.x,1,2)))</f>
        <v>58534400</v>
      </c>
    </row>
    <row r="17" spans="1:9">
      <c r="A17" s="2" t="str">
        <f t="shared" si="0"/>
        <v>00275F7C</v>
      </c>
      <c r="B17" s="2" t="str">
        <f t="shared" si="1"/>
        <v>00375F7C</v>
      </c>
      <c r="C17" s="4" t="s">
        <v>136</v>
      </c>
      <c r="F17" s="2" t="str">
        <f t="shared" si="2"/>
        <v>00275F7C</v>
      </c>
      <c r="G17" s="2" t="str">
        <f t="shared" si="3"/>
        <v>00375F7C</v>
      </c>
      <c r="H17" s="4" t="s">
        <v>136</v>
      </c>
    </row>
    <row r="18" spans="1:9">
      <c r="A18" s="2" t="str">
        <f t="shared" si="0"/>
        <v>00275F80</v>
      </c>
      <c r="B18" s="2" t="str">
        <f t="shared" si="1"/>
        <v>00375F80</v>
      </c>
      <c r="C18" s="4" t="s">
        <v>136</v>
      </c>
      <c r="F18" s="2" t="str">
        <f t="shared" si="2"/>
        <v>00275F80</v>
      </c>
      <c r="G18" s="2" t="str">
        <f t="shared" si="3"/>
        <v>00375F80</v>
      </c>
      <c r="H18" s="4" t="s">
        <v>136</v>
      </c>
    </row>
    <row r="19" spans="1:9">
      <c r="A19" s="2" t="str">
        <f t="shared" si="0"/>
        <v>00275F84</v>
      </c>
      <c r="B19" s="2" t="str">
        <f t="shared" si="1"/>
        <v>00375F84</v>
      </c>
      <c r="C19" s="4" t="s">
        <v>136</v>
      </c>
      <c r="F19" s="2" t="str">
        <f t="shared" si="2"/>
        <v>00275F84</v>
      </c>
      <c r="G19" s="2" t="str">
        <f t="shared" si="3"/>
        <v>00375F84</v>
      </c>
      <c r="H19" s="4" t="s">
        <v>136</v>
      </c>
    </row>
    <row r="20" spans="1:9">
      <c r="A20" s="2" t="str">
        <f t="shared" si="0"/>
        <v>00275F88</v>
      </c>
      <c r="B20" s="2" t="str">
        <f t="shared" si="1"/>
        <v>00375F88</v>
      </c>
      <c r="C20" s="4" t="s">
        <v>136</v>
      </c>
      <c r="F20" s="2" t="str">
        <f t="shared" si="2"/>
        <v>00275F88</v>
      </c>
      <c r="G20" s="2" t="str">
        <f t="shared" si="3"/>
        <v>00375F88</v>
      </c>
      <c r="H20" s="4" t="s">
        <v>136</v>
      </c>
    </row>
    <row r="21" spans="1:9">
      <c r="A21" s="2" t="str">
        <f t="shared" si="0"/>
        <v>00275F8C</v>
      </c>
      <c r="B21" s="2" t="str">
        <f t="shared" si="1"/>
        <v>00375F8C</v>
      </c>
      <c r="C21" s="4" t="s">
        <v>136</v>
      </c>
      <c r="E21" s="2" t="s">
        <v>129</v>
      </c>
      <c r="F21" s="2" t="str">
        <f t="shared" si="2"/>
        <v>00275F8C</v>
      </c>
      <c r="G21" s="2" t="str">
        <f t="shared" si="3"/>
        <v>00375F8C</v>
      </c>
      <c r="H21" s="4" t="s">
        <v>136</v>
      </c>
    </row>
    <row r="22" spans="1:9" ht="15">
      <c r="B22" s="10" t="s">
        <v>87</v>
      </c>
      <c r="C22" s="10"/>
      <c r="D22" s="10"/>
      <c r="E22" s="10"/>
      <c r="F22" s="10"/>
      <c r="G22" s="10"/>
      <c r="H22" s="10"/>
    </row>
    <row r="23" spans="1:9">
      <c r="A23" s="2" t="str">
        <f t="shared" si="0"/>
        <v>00276014</v>
      </c>
      <c r="B23" s="2" t="s">
        <v>124</v>
      </c>
      <c r="C23" s="4" t="str">
        <f>_xlfn.CONCAT(RIGHT(D23,2),"10A0E3")</f>
        <v>2410A0E3</v>
      </c>
      <c r="D23" s="2" t="str">
        <f>SUBSTITUTE(D12,"cmp","mov")</f>
        <v>mov r1, 0x24</v>
      </c>
      <c r="E23" s="2" t="s">
        <v>130</v>
      </c>
      <c r="F23" s="2" t="str">
        <f t="shared" ref="F23:F27" si="4">DEC2HEX(HEX2DEC(G23)-1048576,8)</f>
        <v>00276014</v>
      </c>
      <c r="G23" s="2" t="s">
        <v>124</v>
      </c>
      <c r="H23" s="4" t="str">
        <f>_xlfn.CONCAT(RIGHT(I23,2),"10A0E3")</f>
        <v>2410A0E3</v>
      </c>
      <c r="I23" s="2" t="str">
        <f>SUBSTITUTE(I12,"cmp","mov")</f>
        <v>mov r1, 0x24</v>
      </c>
    </row>
    <row r="24" spans="1:9">
      <c r="A24" s="2" t="str">
        <f t="shared" si="0"/>
        <v>00276018</v>
      </c>
      <c r="B24" s="2" t="str">
        <f t="shared" ref="B24:B27" si="5">DEC2HEX(HEX2DEC(B23)+4,8)</f>
        <v>00376018</v>
      </c>
      <c r="C24" s="2" t="s">
        <v>82</v>
      </c>
      <c r="D24" s="2" t="s">
        <v>79</v>
      </c>
      <c r="F24" s="2" t="str">
        <f t="shared" si="4"/>
        <v>00276018</v>
      </c>
      <c r="G24" s="2" t="str">
        <f t="shared" ref="G24:G27" si="6">DEC2HEX(HEX2DEC(G23)+4,8)</f>
        <v>00376018</v>
      </c>
      <c r="H24" s="3" t="s">
        <v>82</v>
      </c>
      <c r="I24" s="2" t="s">
        <v>79</v>
      </c>
    </row>
    <row r="25" spans="1:9">
      <c r="A25" s="2" t="str">
        <f t="shared" si="0"/>
        <v>0027601C</v>
      </c>
      <c r="B25" s="2" t="str">
        <f t="shared" si="5"/>
        <v>0037601C</v>
      </c>
      <c r="C25" s="2" t="s">
        <v>83</v>
      </c>
      <c r="D25" s="2" t="s">
        <v>80</v>
      </c>
      <c r="E25" s="2" t="s">
        <v>84</v>
      </c>
      <c r="F25" s="2" t="str">
        <f t="shared" si="4"/>
        <v>0027601C</v>
      </c>
      <c r="G25" s="2" t="str">
        <f t="shared" si="6"/>
        <v>0037601C</v>
      </c>
      <c r="H25" s="2" t="s">
        <v>83</v>
      </c>
      <c r="I25" s="2" t="s">
        <v>80</v>
      </c>
    </row>
    <row r="26" spans="1:9">
      <c r="A26" s="2" t="str">
        <f t="shared" si="0"/>
        <v>00276020</v>
      </c>
      <c r="B26" s="2" t="str">
        <f t="shared" si="5"/>
        <v>00376020</v>
      </c>
      <c r="C26" s="2" t="s">
        <v>7</v>
      </c>
      <c r="D26" s="2" t="s">
        <v>8</v>
      </c>
      <c r="F26" s="2" t="str">
        <f t="shared" si="4"/>
        <v>00276020</v>
      </c>
      <c r="G26" s="2" t="str">
        <f t="shared" si="6"/>
        <v>00376020</v>
      </c>
      <c r="H26" s="2" t="s">
        <v>7</v>
      </c>
      <c r="I26" s="2" t="s">
        <v>8</v>
      </c>
    </row>
    <row r="27" spans="1:9">
      <c r="A27" s="2" t="str">
        <f t="shared" si="0"/>
        <v>00276024</v>
      </c>
      <c r="B27" s="2" t="str">
        <f t="shared" si="5"/>
        <v>00376024</v>
      </c>
      <c r="C27" s="2" t="str">
        <f>C16</f>
        <v>54534400</v>
      </c>
      <c r="E27" s="2" t="s">
        <v>129</v>
      </c>
      <c r="F27" s="2" t="str">
        <f t="shared" si="4"/>
        <v>00276024</v>
      </c>
      <c r="G27" s="2" t="str">
        <f t="shared" si="6"/>
        <v>00376024</v>
      </c>
      <c r="H27" s="2" t="str">
        <f>H16</f>
        <v>58534400</v>
      </c>
      <c r="I27" s="2">
        <f>I16</f>
        <v>0</v>
      </c>
    </row>
    <row r="29" spans="1:9" ht="15">
      <c r="B29" s="10" t="s">
        <v>9</v>
      </c>
      <c r="C29" s="10"/>
      <c r="D29" s="10"/>
      <c r="E29" s="10"/>
      <c r="F29" s="10"/>
      <c r="G29" s="10"/>
      <c r="H29" s="10"/>
    </row>
    <row r="30" spans="1:9">
      <c r="A30" s="2" t="str">
        <f t="shared" ref="A30:A48" si="7">DEC2HEX(HEX2DEC(B30)-1048576,8)</f>
        <v>00275EB8</v>
      </c>
      <c r="B30" s="2" t="s">
        <v>10</v>
      </c>
      <c r="C30" s="3" t="s">
        <v>143</v>
      </c>
      <c r="D30" s="2" t="str">
        <f>_xlfn.CONCAT("ldr r2, [pc, #0x",DEC2HEX(HEX2DEC(B43)-HEX2DEC(B30)-8,2),"]")</f>
        <v>ldr r2, [pc, #0x2C]</v>
      </c>
      <c r="E30" s="2" t="s">
        <v>33</v>
      </c>
      <c r="F30" s="2" t="str">
        <f t="shared" ref="F30:F48" si="8">DEC2HEX(HEX2DEC(G30)-1048576,8)</f>
        <v>00275EB8</v>
      </c>
      <c r="G30" s="2" t="s">
        <v>10</v>
      </c>
      <c r="H30" s="3" t="s">
        <v>143</v>
      </c>
      <c r="I30" s="2" t="str">
        <f>_xlfn.CONCAT("ldr r2, [pc, #0x",DEC2HEX(HEX2DEC(G43)-HEX2DEC(G30)-8,2),"]")</f>
        <v>ldr r2, [pc, #0x2C]</v>
      </c>
    </row>
    <row r="31" spans="1:9">
      <c r="A31" s="2" t="str">
        <f t="shared" si="7"/>
        <v>00275EBC</v>
      </c>
      <c r="B31" s="2" t="str">
        <f t="shared" ref="B31:B48" si="9">DEC2HEX(HEX2DEC(B30)+4,8)</f>
        <v>00375EBC</v>
      </c>
      <c r="C31" s="4" t="s">
        <v>144</v>
      </c>
      <c r="D31" s="2" t="s">
        <v>134</v>
      </c>
      <c r="E31" s="5" t="s">
        <v>34</v>
      </c>
      <c r="F31" s="2" t="str">
        <f t="shared" si="8"/>
        <v>00275EBC</v>
      </c>
      <c r="G31" s="2" t="str">
        <f t="shared" ref="G31:G48" si="10">DEC2HEX(HEX2DEC(G30)+4,8)</f>
        <v>00375EBC</v>
      </c>
      <c r="H31" s="4" t="s">
        <v>144</v>
      </c>
      <c r="I31" s="2" t="s">
        <v>134</v>
      </c>
    </row>
    <row r="32" spans="1:9">
      <c r="A32" s="2" t="str">
        <f t="shared" si="7"/>
        <v>00275EC0</v>
      </c>
      <c r="B32" s="2" t="str">
        <f t="shared" si="9"/>
        <v>00375EC0</v>
      </c>
      <c r="C32" s="4" t="s">
        <v>72</v>
      </c>
      <c r="D32" s="2" t="s">
        <v>15</v>
      </c>
      <c r="E32" s="5"/>
      <c r="F32" s="2" t="str">
        <f t="shared" si="8"/>
        <v>00275EC0</v>
      </c>
      <c r="G32" s="2" t="str">
        <f t="shared" si="10"/>
        <v>00375EC0</v>
      </c>
      <c r="H32" s="4" t="s">
        <v>72</v>
      </c>
      <c r="I32" s="2" t="s">
        <v>15</v>
      </c>
    </row>
    <row r="33" spans="1:9">
      <c r="A33" s="2" t="str">
        <f t="shared" si="7"/>
        <v>00275EC4</v>
      </c>
      <c r="B33" s="2" t="str">
        <f t="shared" si="9"/>
        <v>00375EC4</v>
      </c>
      <c r="C33" s="4" t="s">
        <v>26</v>
      </c>
      <c r="D33" s="2" t="s">
        <v>131</v>
      </c>
      <c r="F33" s="2" t="str">
        <f t="shared" si="8"/>
        <v>00275EC4</v>
      </c>
      <c r="G33" s="2" t="str">
        <f t="shared" si="10"/>
        <v>00375EC4</v>
      </c>
      <c r="H33" s="4" t="s">
        <v>26</v>
      </c>
      <c r="I33" s="2" t="s">
        <v>131</v>
      </c>
    </row>
    <row r="34" spans="1:9">
      <c r="A34" s="2" t="str">
        <f t="shared" si="7"/>
        <v>00275EC8</v>
      </c>
      <c r="B34" s="2" t="str">
        <f t="shared" si="9"/>
        <v>00375EC8</v>
      </c>
      <c r="C34" s="4" t="s">
        <v>27</v>
      </c>
      <c r="D34" s="2" t="s">
        <v>132</v>
      </c>
      <c r="F34" s="2" t="str">
        <f t="shared" si="8"/>
        <v>00275EC8</v>
      </c>
      <c r="G34" s="2" t="str">
        <f t="shared" si="10"/>
        <v>00375EC8</v>
      </c>
      <c r="H34" s="4" t="s">
        <v>27</v>
      </c>
      <c r="I34" s="2" t="s">
        <v>132</v>
      </c>
    </row>
    <row r="35" spans="1:9">
      <c r="A35" s="2" t="str">
        <f t="shared" si="7"/>
        <v>00275ECC</v>
      </c>
      <c r="B35" s="2" t="str">
        <f t="shared" si="9"/>
        <v>00375ECC</v>
      </c>
      <c r="C35" s="4" t="s">
        <v>29</v>
      </c>
      <c r="D35" s="2" t="str">
        <f>_xlfn.CONCAT("bne 0x",B38)</f>
        <v>bne 0x00375ED8</v>
      </c>
      <c r="F35" s="2" t="str">
        <f t="shared" si="8"/>
        <v>00275ECC</v>
      </c>
      <c r="G35" s="2" t="str">
        <f t="shared" si="10"/>
        <v>00375ECC</v>
      </c>
      <c r="H35" s="4" t="s">
        <v>29</v>
      </c>
      <c r="I35" s="2" t="str">
        <f>_xlfn.CONCAT("bne 0x",G38)</f>
        <v>bne 0x00375ED8</v>
      </c>
    </row>
    <row r="36" spans="1:9">
      <c r="A36" s="2" t="str">
        <f t="shared" si="7"/>
        <v>00275ED0</v>
      </c>
      <c r="B36" s="2" t="str">
        <f t="shared" si="9"/>
        <v>00375ED0</v>
      </c>
      <c r="C36" s="4" t="s">
        <v>30</v>
      </c>
      <c r="D36" s="2" t="s">
        <v>18</v>
      </c>
      <c r="F36" s="2" t="str">
        <f t="shared" si="8"/>
        <v>00275ED0</v>
      </c>
      <c r="G36" s="2" t="str">
        <f t="shared" si="10"/>
        <v>00375ED0</v>
      </c>
      <c r="H36" s="4" t="s">
        <v>30</v>
      </c>
      <c r="I36" s="2" t="s">
        <v>18</v>
      </c>
    </row>
    <row r="37" spans="1:9">
      <c r="A37" s="2" t="str">
        <f t="shared" si="7"/>
        <v>00275ED4</v>
      </c>
      <c r="B37" s="2" t="str">
        <f t="shared" si="9"/>
        <v>00375ED4</v>
      </c>
      <c r="C37" s="4" t="s">
        <v>7</v>
      </c>
      <c r="D37" s="2" t="s">
        <v>8</v>
      </c>
      <c r="F37" s="2" t="str">
        <f t="shared" si="8"/>
        <v>00275ED4</v>
      </c>
      <c r="G37" s="2" t="str">
        <f t="shared" si="10"/>
        <v>00375ED4</v>
      </c>
      <c r="H37" s="4" t="s">
        <v>7</v>
      </c>
      <c r="I37" s="2" t="s">
        <v>8</v>
      </c>
    </row>
    <row r="38" spans="1:9">
      <c r="A38" s="2" t="str">
        <f t="shared" si="7"/>
        <v>00275ED8</v>
      </c>
      <c r="B38" s="2" t="str">
        <f t="shared" si="9"/>
        <v>00375ED8</v>
      </c>
      <c r="C38" s="4" t="s">
        <v>145</v>
      </c>
      <c r="D38" s="2" t="s">
        <v>135</v>
      </c>
      <c r="F38" s="2" t="str">
        <f t="shared" si="8"/>
        <v>00275ED8</v>
      </c>
      <c r="G38" s="2" t="str">
        <f t="shared" si="10"/>
        <v>00375ED8</v>
      </c>
      <c r="H38" s="4" t="s">
        <v>145</v>
      </c>
      <c r="I38" s="2" t="s">
        <v>135</v>
      </c>
    </row>
    <row r="39" spans="1:9">
      <c r="A39" s="2" t="str">
        <f t="shared" si="7"/>
        <v>00275EDC</v>
      </c>
      <c r="B39" s="2" t="str">
        <f t="shared" si="9"/>
        <v>00375EDC</v>
      </c>
      <c r="C39" s="4" t="s">
        <v>75</v>
      </c>
      <c r="D39" s="2" t="str">
        <f>_xlfn.CONCAT("cmp r1, 0x",DEC2HEX(HEX2DEC($I133)/2))</f>
        <v>cmp r1, 0x24</v>
      </c>
      <c r="F39" s="2" t="str">
        <f t="shared" si="8"/>
        <v>00275EDC</v>
      </c>
      <c r="G39" s="2" t="str">
        <f t="shared" si="10"/>
        <v>00375EDC</v>
      </c>
      <c r="H39" s="4" t="s">
        <v>75</v>
      </c>
      <c r="I39" s="2" t="str">
        <f>_xlfn.CONCAT("cmp r1, 0x",DEC2HEX(HEX2DEC($I133)/2))</f>
        <v>cmp r1, 0x24</v>
      </c>
    </row>
    <row r="40" spans="1:9">
      <c r="A40" s="2" t="str">
        <f t="shared" si="7"/>
        <v>00275EE0</v>
      </c>
      <c r="B40" s="2" t="str">
        <f t="shared" si="9"/>
        <v>00375EE0</v>
      </c>
      <c r="C40" s="4" t="s">
        <v>146</v>
      </c>
      <c r="D40" s="2" t="str">
        <f>_xlfn.CONCAT("blo 0x",B32)</f>
        <v>blo 0x00375EC0</v>
      </c>
      <c r="F40" s="2" t="str">
        <f t="shared" si="8"/>
        <v>00275EE0</v>
      </c>
      <c r="G40" s="2" t="str">
        <f t="shared" si="10"/>
        <v>00375EE0</v>
      </c>
      <c r="H40" s="4" t="s">
        <v>146</v>
      </c>
      <c r="I40" s="2" t="str">
        <f>_xlfn.CONCAT("blo 0x",G32)</f>
        <v>blo 0x00375EC0</v>
      </c>
    </row>
    <row r="41" spans="1:9">
      <c r="A41" s="2" t="str">
        <f t="shared" si="7"/>
        <v>00275EE4</v>
      </c>
      <c r="B41" s="2" t="str">
        <f t="shared" si="9"/>
        <v>00375EE4</v>
      </c>
      <c r="C41" s="4" t="s">
        <v>32</v>
      </c>
      <c r="D41" s="2" t="s">
        <v>21</v>
      </c>
      <c r="F41" s="2" t="str">
        <f t="shared" si="8"/>
        <v>00275EE4</v>
      </c>
      <c r="G41" s="2" t="str">
        <f t="shared" si="10"/>
        <v>00375EE4</v>
      </c>
      <c r="H41" s="4" t="s">
        <v>32</v>
      </c>
      <c r="I41" s="2" t="s">
        <v>21</v>
      </c>
    </row>
    <row r="42" spans="1:9">
      <c r="A42" s="2" t="str">
        <f t="shared" si="7"/>
        <v>00275EE8</v>
      </c>
      <c r="B42" s="2" t="str">
        <f t="shared" si="9"/>
        <v>00375EE8</v>
      </c>
      <c r="C42" s="4" t="s">
        <v>7</v>
      </c>
      <c r="D42" s="2" t="s">
        <v>8</v>
      </c>
      <c r="F42" s="2" t="str">
        <f t="shared" si="8"/>
        <v>00275EE8</v>
      </c>
      <c r="G42" s="2" t="str">
        <f t="shared" si="10"/>
        <v>00375EE8</v>
      </c>
      <c r="H42" s="4" t="s">
        <v>7</v>
      </c>
      <c r="I42" s="2" t="s">
        <v>8</v>
      </c>
    </row>
    <row r="43" spans="1:9">
      <c r="A43" s="2" t="str">
        <f t="shared" si="7"/>
        <v>00275EEC</v>
      </c>
      <c r="B43" s="2" t="str">
        <f t="shared" si="9"/>
        <v>00375EEC</v>
      </c>
      <c r="C43" s="2" t="str">
        <f>_xlfn.LET(_xlpm.x,B97,_xlfn.CONCAT(MID(_xlpm.x,7,2),MID(_xlpm.x,5,2),MID(_xlpm.x,3,2),MID(_xlpm.x,1,2)))</f>
        <v>ECB85B00</v>
      </c>
      <c r="F43" s="2" t="str">
        <f t="shared" si="8"/>
        <v>00275EEC</v>
      </c>
      <c r="G43" s="2" t="str">
        <f t="shared" si="10"/>
        <v>00375EEC</v>
      </c>
      <c r="H43" s="2" t="str">
        <f>_xlfn.LET(_xlpm.x,G97,_xlfn.CONCAT(MID(_xlpm.x,7,2),MID(_xlpm.x,5,2),MID(_xlpm.x,3,2),MID(_xlpm.x,1,2)))</f>
        <v>ECB85B00</v>
      </c>
    </row>
    <row r="44" spans="1:9">
      <c r="A44" s="2" t="str">
        <f t="shared" si="7"/>
        <v>00275EF0</v>
      </c>
      <c r="B44" s="2" t="str">
        <f t="shared" si="9"/>
        <v>00375EF0</v>
      </c>
      <c r="C44" s="4" t="s">
        <v>136</v>
      </c>
      <c r="E44" s="2" t="s">
        <v>130</v>
      </c>
      <c r="F44" s="2" t="str">
        <f t="shared" si="8"/>
        <v>00275EF0</v>
      </c>
      <c r="G44" s="2" t="str">
        <f t="shared" si="10"/>
        <v>00375EF0</v>
      </c>
      <c r="H44" s="4" t="s">
        <v>136</v>
      </c>
    </row>
    <row r="45" spans="1:9">
      <c r="A45" s="2" t="str">
        <f t="shared" si="7"/>
        <v>00275EF4</v>
      </c>
      <c r="B45" s="2" t="str">
        <f t="shared" si="9"/>
        <v>00375EF4</v>
      </c>
      <c r="C45" s="4" t="s">
        <v>136</v>
      </c>
      <c r="F45" s="2" t="str">
        <f t="shared" si="8"/>
        <v>00275EF4</v>
      </c>
      <c r="G45" s="2" t="str">
        <f t="shared" si="10"/>
        <v>00375EF4</v>
      </c>
      <c r="H45" s="4" t="s">
        <v>136</v>
      </c>
    </row>
    <row r="46" spans="1:9">
      <c r="A46" s="2" t="str">
        <f t="shared" si="7"/>
        <v>00275EF8</v>
      </c>
      <c r="B46" s="2" t="str">
        <f t="shared" si="9"/>
        <v>00375EF8</v>
      </c>
      <c r="C46" s="4" t="s">
        <v>136</v>
      </c>
      <c r="F46" s="2" t="str">
        <f t="shared" si="8"/>
        <v>00275EF8</v>
      </c>
      <c r="G46" s="2" t="str">
        <f t="shared" si="10"/>
        <v>00375EF8</v>
      </c>
      <c r="H46" s="4" t="s">
        <v>136</v>
      </c>
    </row>
    <row r="47" spans="1:9">
      <c r="A47" s="2" t="str">
        <f t="shared" si="7"/>
        <v>00275EFC</v>
      </c>
      <c r="B47" s="2" t="str">
        <f t="shared" si="9"/>
        <v>00375EFC</v>
      </c>
      <c r="C47" s="4" t="s">
        <v>136</v>
      </c>
      <c r="F47" s="2" t="str">
        <f t="shared" si="8"/>
        <v>00275EFC</v>
      </c>
      <c r="G47" s="2" t="str">
        <f t="shared" si="10"/>
        <v>00375EFC</v>
      </c>
      <c r="H47" s="4" t="s">
        <v>136</v>
      </c>
    </row>
    <row r="48" spans="1:9">
      <c r="A48" s="2" t="str">
        <f t="shared" si="7"/>
        <v>00275F00</v>
      </c>
      <c r="B48" s="2" t="str">
        <f t="shared" si="9"/>
        <v>00375F00</v>
      </c>
      <c r="C48" s="4" t="s">
        <v>136</v>
      </c>
      <c r="E48" s="2" t="s">
        <v>35</v>
      </c>
      <c r="F48" s="2" t="str">
        <f t="shared" si="8"/>
        <v>00275F00</v>
      </c>
      <c r="G48" s="2" t="str">
        <f t="shared" si="10"/>
        <v>00375F00</v>
      </c>
      <c r="H48" s="4" t="s">
        <v>136</v>
      </c>
    </row>
    <row r="49" spans="1:9" ht="15">
      <c r="B49" s="10" t="s">
        <v>76</v>
      </c>
      <c r="C49" s="10"/>
      <c r="D49" s="10"/>
      <c r="E49" s="10"/>
      <c r="F49" s="10"/>
      <c r="G49" s="10"/>
      <c r="H49" s="10"/>
    </row>
    <row r="50" spans="1:9">
      <c r="A50" s="2" t="str">
        <f t="shared" ref="A50:A54" si="11">DEC2HEX(HEX2DEC(B50)-1048576,8)</f>
        <v>00276000</v>
      </c>
      <c r="B50" s="2" t="s">
        <v>77</v>
      </c>
      <c r="C50" s="2" t="s">
        <v>81</v>
      </c>
      <c r="D50" s="2" t="str">
        <f>SUBSTITUTE(D39,"cmp","mov")</f>
        <v>mov r1, 0x24</v>
      </c>
      <c r="E50" s="2" t="s">
        <v>130</v>
      </c>
      <c r="F50" s="2" t="str">
        <f t="shared" ref="F50:F54" si="12">DEC2HEX(HEX2DEC(G50)-1048576,8)</f>
        <v>00276000</v>
      </c>
      <c r="G50" s="2" t="s">
        <v>77</v>
      </c>
      <c r="H50" s="2" t="s">
        <v>81</v>
      </c>
      <c r="I50" s="2" t="str">
        <f>SUBSTITUTE(I39,"cmp","mov")</f>
        <v>mov r1, 0x24</v>
      </c>
    </row>
    <row r="51" spans="1:9">
      <c r="A51" s="2" t="str">
        <f t="shared" si="11"/>
        <v>00276004</v>
      </c>
      <c r="B51" s="2" t="str">
        <f t="shared" ref="B51:B54" si="13">DEC2HEX(HEX2DEC(B50)+4,8)</f>
        <v>00376004</v>
      </c>
      <c r="C51" s="2" t="s">
        <v>82</v>
      </c>
      <c r="D51" s="2" t="s">
        <v>79</v>
      </c>
      <c r="F51" s="2" t="str">
        <f t="shared" si="12"/>
        <v>00276004</v>
      </c>
      <c r="G51" s="2" t="str">
        <f t="shared" ref="G51:G54" si="14">DEC2HEX(HEX2DEC(G50)+4,8)</f>
        <v>00376004</v>
      </c>
      <c r="H51" s="3" t="s">
        <v>82</v>
      </c>
      <c r="I51" s="2" t="s">
        <v>79</v>
      </c>
    </row>
    <row r="52" spans="1:9">
      <c r="A52" s="2" t="str">
        <f t="shared" si="11"/>
        <v>00276008</v>
      </c>
      <c r="B52" s="2" t="str">
        <f t="shared" si="13"/>
        <v>00376008</v>
      </c>
      <c r="C52" s="2" t="s">
        <v>83</v>
      </c>
      <c r="D52" s="2" t="s">
        <v>80</v>
      </c>
      <c r="E52" s="2" t="s">
        <v>84</v>
      </c>
      <c r="F52" s="2" t="str">
        <f t="shared" si="12"/>
        <v>00276008</v>
      </c>
      <c r="G52" s="2" t="str">
        <f t="shared" si="14"/>
        <v>00376008</v>
      </c>
      <c r="H52" s="2" t="s">
        <v>83</v>
      </c>
      <c r="I52" s="2" t="s">
        <v>80</v>
      </c>
    </row>
    <row r="53" spans="1:9">
      <c r="A53" s="2" t="str">
        <f t="shared" si="11"/>
        <v>0027600C</v>
      </c>
      <c r="B53" s="2" t="str">
        <f t="shared" si="13"/>
        <v>0037600C</v>
      </c>
      <c r="C53" s="2" t="s">
        <v>7</v>
      </c>
      <c r="D53" s="2" t="s">
        <v>8</v>
      </c>
      <c r="F53" s="2" t="str">
        <f t="shared" si="12"/>
        <v>0027600C</v>
      </c>
      <c r="G53" s="2" t="str">
        <f t="shared" si="14"/>
        <v>0037600C</v>
      </c>
      <c r="H53" s="2" t="s">
        <v>7</v>
      </c>
      <c r="I53" s="2" t="s">
        <v>8</v>
      </c>
    </row>
    <row r="54" spans="1:9">
      <c r="A54" s="2" t="str">
        <f t="shared" si="11"/>
        <v>00276010</v>
      </c>
      <c r="B54" s="2" t="str">
        <f t="shared" si="13"/>
        <v>00376010</v>
      </c>
      <c r="C54" s="2" t="str">
        <f>C43</f>
        <v>ECB85B00</v>
      </c>
      <c r="F54" s="2" t="str">
        <f t="shared" si="12"/>
        <v>00276010</v>
      </c>
      <c r="G54" s="2" t="str">
        <f t="shared" si="14"/>
        <v>00376010</v>
      </c>
      <c r="H54" s="2" t="str">
        <f>H43</f>
        <v>ECB85B00</v>
      </c>
    </row>
    <row r="56" spans="1:9" ht="15">
      <c r="B56" s="10" t="s">
        <v>87</v>
      </c>
      <c r="C56" s="10"/>
      <c r="D56" s="10"/>
      <c r="E56" s="10"/>
      <c r="F56" s="10"/>
      <c r="G56" s="10"/>
      <c r="H56" s="10"/>
    </row>
    <row r="57" spans="1:9">
      <c r="A57" s="2" t="str">
        <f t="shared" ref="A57:A90" si="15">DEC2HEX(HEX2DEC(B57)-1048576,8)</f>
        <v>00345354</v>
      </c>
      <c r="B57" s="3" t="s">
        <v>139</v>
      </c>
      <c r="C57" s="4" t="s">
        <v>114</v>
      </c>
      <c r="D57" s="2">
        <f>HEX2DEC(C57)</f>
        <v>776</v>
      </c>
      <c r="F57" s="2" t="str">
        <f t="shared" ref="F57:F91" si="16">DEC2HEX(HEX2DEC(G57)-1048576,8)</f>
        <v>00345358</v>
      </c>
      <c r="G57" s="3" t="s">
        <v>140</v>
      </c>
      <c r="H57" s="2" t="str">
        <f>RIGHT(C57,2)&amp;LEFT(C57,2)</f>
        <v>0803</v>
      </c>
    </row>
    <row r="58" spans="1:9">
      <c r="A58" s="2" t="str">
        <f t="shared" si="15"/>
        <v>00345356</v>
      </c>
      <c r="B58" s="2" t="str">
        <f>DEC2HEX(HEX2DEC(B57)+2,8)</f>
        <v>00445356</v>
      </c>
      <c r="C58" s="4" t="s">
        <v>115</v>
      </c>
      <c r="D58" s="2">
        <f t="shared" ref="D58:D92" si="17">HEX2DEC(C58)</f>
        <v>777</v>
      </c>
      <c r="F58" s="2" t="str">
        <f t="shared" si="16"/>
        <v>0034535A</v>
      </c>
      <c r="G58" s="2" t="str">
        <f>DEC2HEX(HEX2DEC(G57)+2,8)</f>
        <v>0044535A</v>
      </c>
      <c r="H58" s="2" t="str">
        <f t="shared" ref="H58:H92" si="18">RIGHT(C58,2)&amp;LEFT(C58,2)</f>
        <v>0903</v>
      </c>
    </row>
    <row r="59" spans="1:9">
      <c r="A59" s="2" t="str">
        <f t="shared" si="15"/>
        <v>00345358</v>
      </c>
      <c r="B59" s="2" t="str">
        <f t="shared" ref="B59:B92" si="19">DEC2HEX(HEX2DEC(B58)+2,8)</f>
        <v>00445358</v>
      </c>
      <c r="C59" s="4" t="s">
        <v>116</v>
      </c>
      <c r="D59" s="2">
        <f t="shared" si="17"/>
        <v>778</v>
      </c>
      <c r="F59" s="2" t="str">
        <f t="shared" si="16"/>
        <v>0034535C</v>
      </c>
      <c r="G59" s="2" t="str">
        <f t="shared" ref="G59:G92" si="20">DEC2HEX(HEX2DEC(G58)+2,8)</f>
        <v>0044535C</v>
      </c>
      <c r="H59" s="2" t="str">
        <f t="shared" si="18"/>
        <v>0A03</v>
      </c>
    </row>
    <row r="60" spans="1:9">
      <c r="A60" s="2" t="str">
        <f t="shared" si="15"/>
        <v>0034535A</v>
      </c>
      <c r="B60" s="2" t="str">
        <f t="shared" si="19"/>
        <v>0044535A</v>
      </c>
      <c r="C60" s="4" t="s">
        <v>117</v>
      </c>
      <c r="D60" s="2">
        <f t="shared" si="17"/>
        <v>779</v>
      </c>
      <c r="F60" s="2" t="str">
        <f t="shared" si="16"/>
        <v>0034535E</v>
      </c>
      <c r="G60" s="2" t="str">
        <f t="shared" si="20"/>
        <v>0044535E</v>
      </c>
      <c r="H60" s="2" t="str">
        <f t="shared" si="18"/>
        <v>0B03</v>
      </c>
    </row>
    <row r="61" spans="1:9">
      <c r="A61" s="2" t="str">
        <f t="shared" si="15"/>
        <v>0034535C</v>
      </c>
      <c r="B61" s="2" t="str">
        <f t="shared" si="19"/>
        <v>0044535C</v>
      </c>
      <c r="C61" s="4" t="s">
        <v>118</v>
      </c>
      <c r="D61" s="2">
        <f t="shared" si="17"/>
        <v>780</v>
      </c>
      <c r="F61" s="2" t="str">
        <f t="shared" si="16"/>
        <v>00345360</v>
      </c>
      <c r="G61" s="2" t="str">
        <f t="shared" si="20"/>
        <v>00445360</v>
      </c>
      <c r="H61" s="2" t="str">
        <f t="shared" si="18"/>
        <v>0C03</v>
      </c>
    </row>
    <row r="62" spans="1:9">
      <c r="A62" s="2" t="str">
        <f t="shared" si="15"/>
        <v>0034535E</v>
      </c>
      <c r="B62" s="2" t="str">
        <f t="shared" si="19"/>
        <v>0044535E</v>
      </c>
      <c r="C62" s="4" t="s">
        <v>119</v>
      </c>
      <c r="D62" s="2">
        <f t="shared" si="17"/>
        <v>781</v>
      </c>
      <c r="F62" s="2" t="str">
        <f t="shared" si="16"/>
        <v>00345362</v>
      </c>
      <c r="G62" s="2" t="str">
        <f t="shared" si="20"/>
        <v>00445362</v>
      </c>
      <c r="H62" s="2" t="str">
        <f t="shared" si="18"/>
        <v>0D03</v>
      </c>
    </row>
    <row r="63" spans="1:9">
      <c r="A63" s="2" t="str">
        <f t="shared" si="15"/>
        <v>00345360</v>
      </c>
      <c r="B63" s="2" t="str">
        <f t="shared" si="19"/>
        <v>00445360</v>
      </c>
      <c r="C63" s="4" t="s">
        <v>120</v>
      </c>
      <c r="D63" s="2">
        <f t="shared" si="17"/>
        <v>782</v>
      </c>
      <c r="F63" s="2" t="str">
        <f t="shared" si="16"/>
        <v>00345364</v>
      </c>
      <c r="G63" s="2" t="str">
        <f t="shared" si="20"/>
        <v>00445364</v>
      </c>
      <c r="H63" s="2" t="str">
        <f t="shared" si="18"/>
        <v>0E03</v>
      </c>
    </row>
    <row r="64" spans="1:9">
      <c r="A64" s="2" t="str">
        <f t="shared" si="15"/>
        <v>00345362</v>
      </c>
      <c r="B64" s="2" t="str">
        <f t="shared" si="19"/>
        <v>00445362</v>
      </c>
      <c r="C64" s="4" t="s">
        <v>121</v>
      </c>
      <c r="D64" s="2">
        <f t="shared" si="17"/>
        <v>783</v>
      </c>
      <c r="F64" s="2" t="str">
        <f t="shared" si="16"/>
        <v>00345366</v>
      </c>
      <c r="G64" s="2" t="str">
        <f t="shared" si="20"/>
        <v>00445366</v>
      </c>
      <c r="H64" s="2" t="str">
        <f t="shared" si="18"/>
        <v>0F03</v>
      </c>
    </row>
    <row r="65" spans="1:8">
      <c r="A65" s="2" t="str">
        <f t="shared" si="15"/>
        <v>00345364</v>
      </c>
      <c r="B65" s="2" t="str">
        <f t="shared" si="19"/>
        <v>00445364</v>
      </c>
      <c r="C65" s="4" t="s">
        <v>122</v>
      </c>
      <c r="D65" s="2">
        <f t="shared" si="17"/>
        <v>784</v>
      </c>
      <c r="F65" s="2" t="str">
        <f t="shared" si="16"/>
        <v>00345368</v>
      </c>
      <c r="G65" s="2" t="str">
        <f t="shared" si="20"/>
        <v>00445368</v>
      </c>
      <c r="H65" s="2" t="str">
        <f t="shared" si="18"/>
        <v>1003</v>
      </c>
    </row>
    <row r="66" spans="1:8">
      <c r="A66" s="2" t="str">
        <f t="shared" si="15"/>
        <v>00345366</v>
      </c>
      <c r="B66" s="2" t="str">
        <f t="shared" si="19"/>
        <v>00445366</v>
      </c>
      <c r="C66" s="4" t="s">
        <v>123</v>
      </c>
      <c r="D66" s="2">
        <f t="shared" si="17"/>
        <v>785</v>
      </c>
      <c r="F66" s="2" t="str">
        <f t="shared" si="16"/>
        <v>0034536A</v>
      </c>
      <c r="G66" s="2" t="str">
        <f t="shared" si="20"/>
        <v>0044536A</v>
      </c>
      <c r="H66" s="2" t="str">
        <f t="shared" si="18"/>
        <v>1103</v>
      </c>
    </row>
    <row r="67" spans="1:8">
      <c r="A67" s="2" t="str">
        <f t="shared" si="15"/>
        <v>00345368</v>
      </c>
      <c r="B67" s="2" t="str">
        <f t="shared" si="19"/>
        <v>00445368</v>
      </c>
      <c r="C67" s="4" t="s">
        <v>89</v>
      </c>
      <c r="D67" s="2">
        <f t="shared" si="17"/>
        <v>786</v>
      </c>
      <c r="F67" s="2" t="str">
        <f t="shared" si="16"/>
        <v>0034536C</v>
      </c>
      <c r="G67" s="2" t="str">
        <f t="shared" si="20"/>
        <v>0044536C</v>
      </c>
      <c r="H67" s="2" t="str">
        <f t="shared" si="18"/>
        <v>1203</v>
      </c>
    </row>
    <row r="68" spans="1:8">
      <c r="A68" s="2" t="str">
        <f t="shared" si="15"/>
        <v>0034536A</v>
      </c>
      <c r="B68" s="2" t="str">
        <f t="shared" si="19"/>
        <v>0044536A</v>
      </c>
      <c r="C68" s="4" t="s">
        <v>90</v>
      </c>
      <c r="D68" s="2">
        <f t="shared" si="17"/>
        <v>787</v>
      </c>
      <c r="F68" s="2" t="str">
        <f t="shared" si="16"/>
        <v>0034536E</v>
      </c>
      <c r="G68" s="2" t="str">
        <f t="shared" si="20"/>
        <v>0044536E</v>
      </c>
      <c r="H68" s="2" t="str">
        <f t="shared" si="18"/>
        <v>1303</v>
      </c>
    </row>
    <row r="69" spans="1:8">
      <c r="A69" s="2" t="str">
        <f t="shared" si="15"/>
        <v>0034536C</v>
      </c>
      <c r="B69" s="2" t="str">
        <f t="shared" si="19"/>
        <v>0044536C</v>
      </c>
      <c r="C69" s="4" t="s">
        <v>91</v>
      </c>
      <c r="D69" s="2">
        <f t="shared" si="17"/>
        <v>788</v>
      </c>
      <c r="F69" s="2" t="str">
        <f t="shared" si="16"/>
        <v>00345370</v>
      </c>
      <c r="G69" s="2" t="str">
        <f t="shared" si="20"/>
        <v>00445370</v>
      </c>
      <c r="H69" s="2" t="str">
        <f t="shared" si="18"/>
        <v>1403</v>
      </c>
    </row>
    <row r="70" spans="1:8">
      <c r="A70" s="2" t="str">
        <f t="shared" si="15"/>
        <v>0034536E</v>
      </c>
      <c r="B70" s="2" t="str">
        <f t="shared" si="19"/>
        <v>0044536E</v>
      </c>
      <c r="C70" s="4" t="s">
        <v>92</v>
      </c>
      <c r="D70" s="2">
        <f t="shared" si="17"/>
        <v>789</v>
      </c>
      <c r="F70" s="2" t="str">
        <f t="shared" si="16"/>
        <v>00345372</v>
      </c>
      <c r="G70" s="2" t="str">
        <f t="shared" si="20"/>
        <v>00445372</v>
      </c>
      <c r="H70" s="2" t="str">
        <f t="shared" si="18"/>
        <v>1503</v>
      </c>
    </row>
    <row r="71" spans="1:8">
      <c r="A71" s="2" t="str">
        <f t="shared" si="15"/>
        <v>00345370</v>
      </c>
      <c r="B71" s="2" t="str">
        <f t="shared" si="19"/>
        <v>00445370</v>
      </c>
      <c r="C71" s="4" t="s">
        <v>93</v>
      </c>
      <c r="D71" s="2">
        <f t="shared" si="17"/>
        <v>790</v>
      </c>
      <c r="F71" s="2" t="str">
        <f t="shared" si="16"/>
        <v>00345374</v>
      </c>
      <c r="G71" s="2" t="str">
        <f t="shared" si="20"/>
        <v>00445374</v>
      </c>
      <c r="H71" s="2" t="str">
        <f t="shared" si="18"/>
        <v>1603</v>
      </c>
    </row>
    <row r="72" spans="1:8">
      <c r="A72" s="2" t="str">
        <f t="shared" si="15"/>
        <v>00345372</v>
      </c>
      <c r="B72" s="2" t="str">
        <f t="shared" si="19"/>
        <v>00445372</v>
      </c>
      <c r="C72" s="4" t="s">
        <v>94</v>
      </c>
      <c r="D72" s="2">
        <f t="shared" si="17"/>
        <v>791</v>
      </c>
      <c r="F72" s="2" t="str">
        <f t="shared" si="16"/>
        <v>00345376</v>
      </c>
      <c r="G72" s="2" t="str">
        <f t="shared" si="20"/>
        <v>00445376</v>
      </c>
      <c r="H72" s="2" t="str">
        <f t="shared" si="18"/>
        <v>1703</v>
      </c>
    </row>
    <row r="73" spans="1:8">
      <c r="A73" s="2" t="str">
        <f t="shared" si="15"/>
        <v>00345374</v>
      </c>
      <c r="B73" s="2" t="str">
        <f t="shared" si="19"/>
        <v>00445374</v>
      </c>
      <c r="C73" s="4" t="s">
        <v>95</v>
      </c>
      <c r="D73" s="2">
        <f t="shared" si="17"/>
        <v>792</v>
      </c>
      <c r="F73" s="2" t="str">
        <f t="shared" si="16"/>
        <v>00345378</v>
      </c>
      <c r="G73" s="2" t="str">
        <f t="shared" si="20"/>
        <v>00445378</v>
      </c>
      <c r="H73" s="2" t="str">
        <f t="shared" si="18"/>
        <v>1803</v>
      </c>
    </row>
    <row r="74" spans="1:8">
      <c r="A74" s="2" t="str">
        <f t="shared" si="15"/>
        <v>00345376</v>
      </c>
      <c r="B74" s="2" t="str">
        <f t="shared" si="19"/>
        <v>00445376</v>
      </c>
      <c r="C74" s="4" t="s">
        <v>96</v>
      </c>
      <c r="D74" s="2">
        <f t="shared" si="17"/>
        <v>793</v>
      </c>
      <c r="F74" s="2" t="str">
        <f t="shared" si="16"/>
        <v>0034537A</v>
      </c>
      <c r="G74" s="2" t="str">
        <f t="shared" si="20"/>
        <v>0044537A</v>
      </c>
      <c r="H74" s="2" t="str">
        <f t="shared" si="18"/>
        <v>1903</v>
      </c>
    </row>
    <row r="75" spans="1:8">
      <c r="A75" s="2" t="str">
        <f t="shared" si="15"/>
        <v>00345378</v>
      </c>
      <c r="B75" s="2" t="str">
        <f t="shared" si="19"/>
        <v>00445378</v>
      </c>
      <c r="C75" s="4" t="s">
        <v>97</v>
      </c>
      <c r="D75" s="2">
        <f t="shared" si="17"/>
        <v>794</v>
      </c>
      <c r="F75" s="2" t="str">
        <f t="shared" si="16"/>
        <v>0034537C</v>
      </c>
      <c r="G75" s="2" t="str">
        <f t="shared" si="20"/>
        <v>0044537C</v>
      </c>
      <c r="H75" s="2" t="str">
        <f t="shared" si="18"/>
        <v>1A03</v>
      </c>
    </row>
    <row r="76" spans="1:8">
      <c r="A76" s="2" t="str">
        <f t="shared" si="15"/>
        <v>0034537A</v>
      </c>
      <c r="B76" s="2" t="str">
        <f t="shared" si="19"/>
        <v>0044537A</v>
      </c>
      <c r="C76" s="4" t="s">
        <v>98</v>
      </c>
      <c r="D76" s="2">
        <f t="shared" si="17"/>
        <v>798</v>
      </c>
      <c r="F76" s="2" t="str">
        <f t="shared" si="16"/>
        <v>0034537E</v>
      </c>
      <c r="G76" s="2" t="str">
        <f t="shared" si="20"/>
        <v>0044537E</v>
      </c>
      <c r="H76" s="2" t="str">
        <f t="shared" si="18"/>
        <v>1E03</v>
      </c>
    </row>
    <row r="77" spans="1:8">
      <c r="A77" s="2" t="str">
        <f t="shared" si="15"/>
        <v>0034537C</v>
      </c>
      <c r="B77" s="2" t="str">
        <f t="shared" si="19"/>
        <v>0044537C</v>
      </c>
      <c r="C77" s="4" t="s">
        <v>99</v>
      </c>
      <c r="D77" s="2">
        <f t="shared" si="17"/>
        <v>799</v>
      </c>
      <c r="F77" s="2" t="str">
        <f t="shared" si="16"/>
        <v>00345380</v>
      </c>
      <c r="G77" s="2" t="str">
        <f t="shared" si="20"/>
        <v>00445380</v>
      </c>
      <c r="H77" s="2" t="str">
        <f t="shared" si="18"/>
        <v>1F03</v>
      </c>
    </row>
    <row r="78" spans="1:8">
      <c r="A78" s="2" t="str">
        <f t="shared" si="15"/>
        <v>0034537E</v>
      </c>
      <c r="B78" s="2" t="str">
        <f t="shared" si="19"/>
        <v>0044537E</v>
      </c>
      <c r="C78" s="4" t="s">
        <v>100</v>
      </c>
      <c r="D78" s="2">
        <f t="shared" si="17"/>
        <v>800</v>
      </c>
      <c r="F78" s="2" t="str">
        <f t="shared" si="16"/>
        <v>00345382</v>
      </c>
      <c r="G78" s="2" t="str">
        <f t="shared" si="20"/>
        <v>00445382</v>
      </c>
      <c r="H78" s="2" t="str">
        <f t="shared" si="18"/>
        <v>2003</v>
      </c>
    </row>
    <row r="79" spans="1:8">
      <c r="A79" s="2" t="str">
        <f t="shared" si="15"/>
        <v>00345380</v>
      </c>
      <c r="B79" s="2" t="str">
        <f t="shared" si="19"/>
        <v>00445380</v>
      </c>
      <c r="C79" s="4" t="s">
        <v>101</v>
      </c>
      <c r="D79" s="2">
        <f t="shared" si="17"/>
        <v>801</v>
      </c>
      <c r="F79" s="2" t="str">
        <f t="shared" si="16"/>
        <v>00345384</v>
      </c>
      <c r="G79" s="2" t="str">
        <f t="shared" si="20"/>
        <v>00445384</v>
      </c>
      <c r="H79" s="2" t="str">
        <f t="shared" si="18"/>
        <v>2103</v>
      </c>
    </row>
    <row r="80" spans="1:8">
      <c r="A80" s="2" t="str">
        <f t="shared" si="15"/>
        <v>00345382</v>
      </c>
      <c r="B80" s="2" t="str">
        <f t="shared" si="19"/>
        <v>00445382</v>
      </c>
      <c r="C80" s="4" t="s">
        <v>102</v>
      </c>
      <c r="D80" s="2">
        <f t="shared" si="17"/>
        <v>802</v>
      </c>
      <c r="F80" s="2" t="str">
        <f t="shared" si="16"/>
        <v>00345386</v>
      </c>
      <c r="G80" s="2" t="str">
        <f t="shared" si="20"/>
        <v>00445386</v>
      </c>
      <c r="H80" s="2" t="str">
        <f t="shared" si="18"/>
        <v>2203</v>
      </c>
    </row>
    <row r="81" spans="1:9">
      <c r="A81" s="2" t="str">
        <f t="shared" si="15"/>
        <v>00345384</v>
      </c>
      <c r="B81" s="2" t="str">
        <f t="shared" si="19"/>
        <v>00445384</v>
      </c>
      <c r="C81" s="4" t="s">
        <v>103</v>
      </c>
      <c r="D81" s="2">
        <f t="shared" si="17"/>
        <v>803</v>
      </c>
      <c r="F81" s="2" t="str">
        <f t="shared" si="16"/>
        <v>00345388</v>
      </c>
      <c r="G81" s="2" t="str">
        <f t="shared" si="20"/>
        <v>00445388</v>
      </c>
      <c r="H81" s="2" t="str">
        <f t="shared" si="18"/>
        <v>2303</v>
      </c>
    </row>
    <row r="82" spans="1:9">
      <c r="A82" s="2" t="str">
        <f t="shared" si="15"/>
        <v>00345386</v>
      </c>
      <c r="B82" s="2" t="str">
        <f t="shared" si="19"/>
        <v>00445386</v>
      </c>
      <c r="C82" s="4" t="s">
        <v>104</v>
      </c>
      <c r="D82" s="2">
        <f t="shared" si="17"/>
        <v>804</v>
      </c>
      <c r="F82" s="2" t="str">
        <f t="shared" si="16"/>
        <v>0034538A</v>
      </c>
      <c r="G82" s="2" t="str">
        <f t="shared" si="20"/>
        <v>0044538A</v>
      </c>
      <c r="H82" s="2" t="str">
        <f t="shared" si="18"/>
        <v>2403</v>
      </c>
    </row>
    <row r="83" spans="1:9">
      <c r="A83" s="2" t="str">
        <f t="shared" si="15"/>
        <v>00345388</v>
      </c>
      <c r="B83" s="2" t="str">
        <f t="shared" si="19"/>
        <v>00445388</v>
      </c>
      <c r="C83" s="4" t="s">
        <v>105</v>
      </c>
      <c r="D83" s="2">
        <f t="shared" si="17"/>
        <v>805</v>
      </c>
      <c r="F83" s="2" t="str">
        <f t="shared" si="16"/>
        <v>0034538C</v>
      </c>
      <c r="G83" s="2" t="str">
        <f t="shared" si="20"/>
        <v>0044538C</v>
      </c>
      <c r="H83" s="2" t="str">
        <f t="shared" si="18"/>
        <v>2503</v>
      </c>
    </row>
    <row r="84" spans="1:9">
      <c r="A84" s="2" t="str">
        <f t="shared" si="15"/>
        <v>0034538A</v>
      </c>
      <c r="B84" s="2" t="str">
        <f t="shared" si="19"/>
        <v>0044538A</v>
      </c>
      <c r="C84" s="4" t="s">
        <v>106</v>
      </c>
      <c r="D84" s="2">
        <f t="shared" si="17"/>
        <v>806</v>
      </c>
      <c r="F84" s="2" t="str">
        <f t="shared" si="16"/>
        <v>0034538E</v>
      </c>
      <c r="G84" s="2" t="str">
        <f t="shared" si="20"/>
        <v>0044538E</v>
      </c>
      <c r="H84" s="2" t="str">
        <f t="shared" si="18"/>
        <v>2603</v>
      </c>
    </row>
    <row r="85" spans="1:9">
      <c r="A85" s="2" t="str">
        <f t="shared" si="15"/>
        <v>0034538C</v>
      </c>
      <c r="B85" s="2" t="str">
        <f t="shared" si="19"/>
        <v>0044538C</v>
      </c>
      <c r="C85" s="4" t="s">
        <v>107</v>
      </c>
      <c r="D85" s="2">
        <f t="shared" si="17"/>
        <v>836</v>
      </c>
      <c r="F85" s="2" t="str">
        <f t="shared" si="16"/>
        <v>00345390</v>
      </c>
      <c r="G85" s="2" t="str">
        <f t="shared" si="20"/>
        <v>00445390</v>
      </c>
      <c r="H85" s="2" t="str">
        <f t="shared" si="18"/>
        <v>4403</v>
      </c>
    </row>
    <row r="86" spans="1:9">
      <c r="A86" s="2" t="str">
        <f t="shared" si="15"/>
        <v>0034538E</v>
      </c>
      <c r="B86" s="2" t="str">
        <f t="shared" si="19"/>
        <v>0044538E</v>
      </c>
      <c r="C86" s="4" t="s">
        <v>108</v>
      </c>
      <c r="D86" s="2">
        <f t="shared" si="17"/>
        <v>921</v>
      </c>
      <c r="F86" s="2" t="str">
        <f t="shared" si="16"/>
        <v>00345392</v>
      </c>
      <c r="G86" s="2" t="str">
        <f t="shared" si="20"/>
        <v>00445392</v>
      </c>
      <c r="H86" s="2" t="str">
        <f t="shared" si="18"/>
        <v>9903</v>
      </c>
    </row>
    <row r="87" spans="1:9">
      <c r="A87" s="2" t="str">
        <f t="shared" si="15"/>
        <v>00345390</v>
      </c>
      <c r="B87" s="2" t="str">
        <f t="shared" si="19"/>
        <v>00445390</v>
      </c>
      <c r="C87" s="4" t="s">
        <v>109</v>
      </c>
      <c r="D87" s="2">
        <f t="shared" si="17"/>
        <v>922</v>
      </c>
      <c r="F87" s="2" t="str">
        <f t="shared" si="16"/>
        <v>00345394</v>
      </c>
      <c r="G87" s="2" t="str">
        <f t="shared" si="20"/>
        <v>00445394</v>
      </c>
      <c r="H87" s="2" t="str">
        <f t="shared" si="18"/>
        <v>9A03</v>
      </c>
    </row>
    <row r="88" spans="1:9">
      <c r="A88" s="2" t="str">
        <f t="shared" si="15"/>
        <v>00345392</v>
      </c>
      <c r="B88" s="2" t="str">
        <f t="shared" si="19"/>
        <v>00445392</v>
      </c>
      <c r="C88" s="4" t="s">
        <v>110</v>
      </c>
      <c r="D88" s="2">
        <f t="shared" si="17"/>
        <v>923</v>
      </c>
      <c r="F88" s="2" t="str">
        <f t="shared" si="16"/>
        <v>00345396</v>
      </c>
      <c r="G88" s="2" t="str">
        <f t="shared" si="20"/>
        <v>00445396</v>
      </c>
      <c r="H88" s="2" t="str">
        <f t="shared" si="18"/>
        <v>9B03</v>
      </c>
    </row>
    <row r="89" spans="1:9">
      <c r="A89" s="2" t="str">
        <f t="shared" si="15"/>
        <v>00345394</v>
      </c>
      <c r="B89" s="2" t="str">
        <f t="shared" si="19"/>
        <v>00445394</v>
      </c>
      <c r="C89" s="4" t="s">
        <v>111</v>
      </c>
      <c r="D89" s="2">
        <f t="shared" si="17"/>
        <v>924</v>
      </c>
      <c r="F89" s="2" t="str">
        <f t="shared" si="16"/>
        <v>00345398</v>
      </c>
      <c r="G89" s="2" t="str">
        <f t="shared" si="20"/>
        <v>00445398</v>
      </c>
      <c r="H89" s="2" t="str">
        <f t="shared" si="18"/>
        <v>9C03</v>
      </c>
    </row>
    <row r="90" spans="1:9">
      <c r="A90" s="2" t="str">
        <f t="shared" si="15"/>
        <v>00345396</v>
      </c>
      <c r="B90" s="2" t="str">
        <f t="shared" si="19"/>
        <v>00445396</v>
      </c>
      <c r="C90" s="4" t="s">
        <v>112</v>
      </c>
      <c r="D90" s="2">
        <f t="shared" si="17"/>
        <v>925</v>
      </c>
      <c r="F90" s="2" t="str">
        <f t="shared" si="16"/>
        <v>0034539A</v>
      </c>
      <c r="G90" s="2" t="str">
        <f t="shared" si="20"/>
        <v>0044539A</v>
      </c>
      <c r="H90" s="2" t="str">
        <f t="shared" si="18"/>
        <v>9D03</v>
      </c>
    </row>
    <row r="91" spans="1:9">
      <c r="A91" s="2" t="str">
        <f t="shared" ref="A91:A92" si="21">DEC2HEX(HEX2DEC(B91)-1048576,8)</f>
        <v>00345398</v>
      </c>
      <c r="B91" s="2" t="str">
        <f t="shared" si="19"/>
        <v>00445398</v>
      </c>
      <c r="C91" s="4" t="s">
        <v>113</v>
      </c>
      <c r="D91" s="2">
        <f t="shared" ref="D91" si="22">HEX2DEC(C91)</f>
        <v>926</v>
      </c>
      <c r="F91" s="2" t="str">
        <f t="shared" si="16"/>
        <v>0034539C</v>
      </c>
      <c r="G91" s="2" t="str">
        <f t="shared" si="20"/>
        <v>0044539C</v>
      </c>
      <c r="H91" s="2" t="str">
        <f t="shared" ref="H91" si="23">RIGHT(C91,2)&amp;LEFT(C91,2)</f>
        <v>9E03</v>
      </c>
    </row>
    <row r="92" spans="1:9">
      <c r="A92" s="2" t="str">
        <f t="shared" si="21"/>
        <v>0034539A</v>
      </c>
      <c r="B92" s="2" t="str">
        <f t="shared" si="19"/>
        <v>0044539A</v>
      </c>
      <c r="C92" s="4" t="s">
        <v>141</v>
      </c>
      <c r="D92" s="2">
        <f t="shared" si="17"/>
        <v>123</v>
      </c>
      <c r="E92" s="2" t="s">
        <v>142</v>
      </c>
      <c r="F92" s="2" t="str">
        <f t="shared" ref="F92" si="24">DEC2HEX(HEX2DEC(G92)-1048576,8)</f>
        <v>0034539E</v>
      </c>
      <c r="G92" s="2" t="str">
        <f t="shared" si="20"/>
        <v>0044539E</v>
      </c>
      <c r="H92" s="2" t="str">
        <f t="shared" si="18"/>
        <v>7B00</v>
      </c>
    </row>
    <row r="93" spans="1:9">
      <c r="C93" s="2" t="s">
        <v>133</v>
      </c>
      <c r="G93" s="4"/>
      <c r="H93" s="2" t="str">
        <f>_xlfn.CONCAT(H57:H92)</f>
        <v>080309030A030B030C030D030E030F0310031103120313031403150316031703180319031A031E031F032003210322032303240325032603440399039A039B039C039D039E037B00</v>
      </c>
      <c r="I93" s="2" t="str">
        <f>DEC2HEX(LEN(H93)/2)</f>
        <v>48</v>
      </c>
    </row>
    <row r="94" spans="1:9">
      <c r="G94" s="4"/>
    </row>
    <row r="95" spans="1:9">
      <c r="G95" s="4"/>
    </row>
    <row r="96" spans="1:9" ht="15">
      <c r="B96" s="10" t="s">
        <v>76</v>
      </c>
      <c r="C96" s="10"/>
      <c r="D96" s="10"/>
      <c r="E96" s="10"/>
      <c r="F96" s="10"/>
      <c r="G96" s="10"/>
      <c r="H96" s="10"/>
    </row>
    <row r="97" spans="1:8">
      <c r="A97" s="2" t="str">
        <f t="shared" ref="A97:A123" si="25">DEC2HEX(HEX2DEC(B97)-1048576,8)</f>
        <v>004BB8EC</v>
      </c>
      <c r="B97" s="2" t="s">
        <v>88</v>
      </c>
      <c r="C97" s="2" t="s">
        <v>36</v>
      </c>
      <c r="D97" s="2">
        <f t="shared" ref="D97:D132" si="26">HEX2DEC(C97)</f>
        <v>807</v>
      </c>
      <c r="F97" s="2" t="str">
        <f t="shared" ref="F97" si="27">DEC2HEX(HEX2DEC(G97)-1048576,8)</f>
        <v>004BB8EC</v>
      </c>
      <c r="G97" s="2" t="s">
        <v>88</v>
      </c>
      <c r="H97" s="2" t="str">
        <f>RIGHT(C97,2)&amp;LEFT(C97,2)</f>
        <v>2703</v>
      </c>
    </row>
    <row r="98" spans="1:8">
      <c r="A98" s="2" t="str">
        <f t="shared" si="25"/>
        <v>004BB8EE</v>
      </c>
      <c r="B98" s="2" t="str">
        <f t="shared" ref="B98:B132" si="28">DEC2HEX(HEX2DEC(B97)+2,8)</f>
        <v>005BB8EE</v>
      </c>
      <c r="C98" s="2" t="s">
        <v>37</v>
      </c>
      <c r="D98" s="2">
        <f t="shared" si="26"/>
        <v>808</v>
      </c>
      <c r="F98" s="2" t="str">
        <f t="shared" ref="F98:F122" si="29">DEC2HEX(HEX2DEC(G98)-1048576,8)</f>
        <v>004BB8EE</v>
      </c>
      <c r="G98" s="2" t="str">
        <f t="shared" ref="G98:G132" si="30">DEC2HEX(HEX2DEC(G97)+2,8)</f>
        <v>005BB8EE</v>
      </c>
      <c r="H98" s="2" t="str">
        <f t="shared" ref="H98:H132" si="31">RIGHT(C98,2)&amp;LEFT(C98,2)</f>
        <v>2803</v>
      </c>
    </row>
    <row r="99" spans="1:8">
      <c r="A99" s="2" t="str">
        <f t="shared" si="25"/>
        <v>004BB8F0</v>
      </c>
      <c r="B99" s="2" t="str">
        <f t="shared" si="28"/>
        <v>005BB8F0</v>
      </c>
      <c r="C99" s="2" t="s">
        <v>38</v>
      </c>
      <c r="D99" s="2">
        <f t="shared" si="26"/>
        <v>809</v>
      </c>
      <c r="F99" s="2" t="str">
        <f t="shared" si="29"/>
        <v>004BB8F0</v>
      </c>
      <c r="G99" s="2" t="str">
        <f t="shared" si="30"/>
        <v>005BB8F0</v>
      </c>
      <c r="H99" s="2" t="str">
        <f t="shared" si="31"/>
        <v>2903</v>
      </c>
    </row>
    <row r="100" spans="1:8">
      <c r="A100" s="2" t="str">
        <f t="shared" si="25"/>
        <v>004BB8F2</v>
      </c>
      <c r="B100" s="2" t="str">
        <f t="shared" si="28"/>
        <v>005BB8F2</v>
      </c>
      <c r="C100" s="2" t="s">
        <v>39</v>
      </c>
      <c r="D100" s="2">
        <f t="shared" si="26"/>
        <v>810</v>
      </c>
      <c r="F100" s="2" t="str">
        <f t="shared" si="29"/>
        <v>004BB8F2</v>
      </c>
      <c r="G100" s="2" t="str">
        <f t="shared" si="30"/>
        <v>005BB8F2</v>
      </c>
      <c r="H100" s="2" t="str">
        <f t="shared" si="31"/>
        <v>2A03</v>
      </c>
    </row>
    <row r="101" spans="1:8">
      <c r="A101" s="2" t="str">
        <f t="shared" si="25"/>
        <v>004BB8F4</v>
      </c>
      <c r="B101" s="2" t="str">
        <f t="shared" si="28"/>
        <v>005BB8F4</v>
      </c>
      <c r="C101" s="2" t="s">
        <v>40</v>
      </c>
      <c r="D101" s="2">
        <f t="shared" si="26"/>
        <v>811</v>
      </c>
      <c r="F101" s="2" t="str">
        <f t="shared" si="29"/>
        <v>004BB8F4</v>
      </c>
      <c r="G101" s="2" t="str">
        <f t="shared" si="30"/>
        <v>005BB8F4</v>
      </c>
      <c r="H101" s="2" t="str">
        <f t="shared" si="31"/>
        <v>2B03</v>
      </c>
    </row>
    <row r="102" spans="1:8">
      <c r="A102" s="2" t="str">
        <f t="shared" si="25"/>
        <v>004BB8F6</v>
      </c>
      <c r="B102" s="2" t="str">
        <f t="shared" si="28"/>
        <v>005BB8F6</v>
      </c>
      <c r="C102" s="2" t="s">
        <v>41</v>
      </c>
      <c r="D102" s="2">
        <f t="shared" si="26"/>
        <v>812</v>
      </c>
      <c r="F102" s="2" t="str">
        <f t="shared" si="29"/>
        <v>004BB8F6</v>
      </c>
      <c r="G102" s="2" t="str">
        <f t="shared" si="30"/>
        <v>005BB8F6</v>
      </c>
      <c r="H102" s="2" t="str">
        <f t="shared" si="31"/>
        <v>2C03</v>
      </c>
    </row>
    <row r="103" spans="1:8">
      <c r="A103" s="2" t="str">
        <f t="shared" si="25"/>
        <v>004BB8F8</v>
      </c>
      <c r="B103" s="2" t="str">
        <f t="shared" si="28"/>
        <v>005BB8F8</v>
      </c>
      <c r="C103" s="2" t="s">
        <v>42</v>
      </c>
      <c r="D103" s="2">
        <f t="shared" si="26"/>
        <v>813</v>
      </c>
      <c r="F103" s="2" t="str">
        <f t="shared" si="29"/>
        <v>004BB8F8</v>
      </c>
      <c r="G103" s="2" t="str">
        <f t="shared" si="30"/>
        <v>005BB8F8</v>
      </c>
      <c r="H103" s="2" t="str">
        <f t="shared" si="31"/>
        <v>2D03</v>
      </c>
    </row>
    <row r="104" spans="1:8">
      <c r="A104" s="2" t="str">
        <f t="shared" si="25"/>
        <v>004BB8FA</v>
      </c>
      <c r="B104" s="2" t="str">
        <f t="shared" si="28"/>
        <v>005BB8FA</v>
      </c>
      <c r="C104" s="2" t="s">
        <v>43</v>
      </c>
      <c r="D104" s="2">
        <f t="shared" si="26"/>
        <v>814</v>
      </c>
      <c r="F104" s="2" t="str">
        <f t="shared" si="29"/>
        <v>004BB8FA</v>
      </c>
      <c r="G104" s="2" t="str">
        <f t="shared" si="30"/>
        <v>005BB8FA</v>
      </c>
      <c r="H104" s="2" t="str">
        <f t="shared" si="31"/>
        <v>2E03</v>
      </c>
    </row>
    <row r="105" spans="1:8">
      <c r="A105" s="2" t="str">
        <f t="shared" si="25"/>
        <v>004BB8FC</v>
      </c>
      <c r="B105" s="2" t="str">
        <f t="shared" si="28"/>
        <v>005BB8FC</v>
      </c>
      <c r="C105" s="2" t="s">
        <v>44</v>
      </c>
      <c r="D105" s="2">
        <f t="shared" si="26"/>
        <v>815</v>
      </c>
      <c r="F105" s="2" t="str">
        <f t="shared" si="29"/>
        <v>004BB8FC</v>
      </c>
      <c r="G105" s="2" t="str">
        <f t="shared" si="30"/>
        <v>005BB8FC</v>
      </c>
      <c r="H105" s="2" t="str">
        <f t="shared" si="31"/>
        <v>2F03</v>
      </c>
    </row>
    <row r="106" spans="1:8">
      <c r="A106" s="2" t="str">
        <f t="shared" si="25"/>
        <v>004BB8FE</v>
      </c>
      <c r="B106" s="2" t="str">
        <f t="shared" si="28"/>
        <v>005BB8FE</v>
      </c>
      <c r="C106" s="2" t="s">
        <v>45</v>
      </c>
      <c r="D106" s="2">
        <f t="shared" si="26"/>
        <v>816</v>
      </c>
      <c r="F106" s="2" t="str">
        <f t="shared" si="29"/>
        <v>004BB8FE</v>
      </c>
      <c r="G106" s="2" t="str">
        <f t="shared" si="30"/>
        <v>005BB8FE</v>
      </c>
      <c r="H106" s="2" t="str">
        <f t="shared" si="31"/>
        <v>3003</v>
      </c>
    </row>
    <row r="107" spans="1:8">
      <c r="A107" s="2" t="str">
        <f t="shared" si="25"/>
        <v>004BB900</v>
      </c>
      <c r="B107" s="2" t="str">
        <f t="shared" si="28"/>
        <v>005BB900</v>
      </c>
      <c r="C107" s="2" t="s">
        <v>46</v>
      </c>
      <c r="D107" s="2">
        <f t="shared" si="26"/>
        <v>817</v>
      </c>
      <c r="F107" s="2" t="str">
        <f t="shared" si="29"/>
        <v>004BB900</v>
      </c>
      <c r="G107" s="2" t="str">
        <f t="shared" si="30"/>
        <v>005BB900</v>
      </c>
      <c r="H107" s="2" t="str">
        <f t="shared" si="31"/>
        <v>3103</v>
      </c>
    </row>
    <row r="108" spans="1:8">
      <c r="A108" s="2" t="str">
        <f t="shared" si="25"/>
        <v>004BB902</v>
      </c>
      <c r="B108" s="2" t="str">
        <f t="shared" si="28"/>
        <v>005BB902</v>
      </c>
      <c r="C108" s="2" t="s">
        <v>47</v>
      </c>
      <c r="D108" s="2">
        <f t="shared" si="26"/>
        <v>818</v>
      </c>
      <c r="F108" s="2" t="str">
        <f t="shared" si="29"/>
        <v>004BB902</v>
      </c>
      <c r="G108" s="2" t="str">
        <f t="shared" si="30"/>
        <v>005BB902</v>
      </c>
      <c r="H108" s="2" t="str">
        <f t="shared" si="31"/>
        <v>3203</v>
      </c>
    </row>
    <row r="109" spans="1:8">
      <c r="A109" s="2" t="str">
        <f t="shared" si="25"/>
        <v>004BB904</v>
      </c>
      <c r="B109" s="2" t="str">
        <f t="shared" si="28"/>
        <v>005BB904</v>
      </c>
      <c r="C109" s="2" t="s">
        <v>48</v>
      </c>
      <c r="D109" s="2">
        <f t="shared" si="26"/>
        <v>819</v>
      </c>
      <c r="F109" s="2" t="str">
        <f t="shared" si="29"/>
        <v>004BB904</v>
      </c>
      <c r="G109" s="2" t="str">
        <f t="shared" si="30"/>
        <v>005BB904</v>
      </c>
      <c r="H109" s="2" t="str">
        <f t="shared" si="31"/>
        <v>3303</v>
      </c>
    </row>
    <row r="110" spans="1:8">
      <c r="A110" s="2" t="str">
        <f t="shared" si="25"/>
        <v>004BB906</v>
      </c>
      <c r="B110" s="2" t="str">
        <f t="shared" si="28"/>
        <v>005BB906</v>
      </c>
      <c r="C110" s="2" t="s">
        <v>49</v>
      </c>
      <c r="D110" s="2">
        <f t="shared" si="26"/>
        <v>820</v>
      </c>
      <c r="F110" s="2" t="str">
        <f t="shared" si="29"/>
        <v>004BB906</v>
      </c>
      <c r="G110" s="2" t="str">
        <f t="shared" si="30"/>
        <v>005BB906</v>
      </c>
      <c r="H110" s="2" t="str">
        <f t="shared" si="31"/>
        <v>3403</v>
      </c>
    </row>
    <row r="111" spans="1:8">
      <c r="A111" s="2" t="str">
        <f t="shared" si="25"/>
        <v>004BB908</v>
      </c>
      <c r="B111" s="2" t="str">
        <f t="shared" si="28"/>
        <v>005BB908</v>
      </c>
      <c r="C111" s="2" t="s">
        <v>50</v>
      </c>
      <c r="D111" s="2">
        <f t="shared" si="26"/>
        <v>821</v>
      </c>
      <c r="F111" s="2" t="str">
        <f t="shared" si="29"/>
        <v>004BB908</v>
      </c>
      <c r="G111" s="2" t="str">
        <f t="shared" si="30"/>
        <v>005BB908</v>
      </c>
      <c r="H111" s="2" t="str">
        <f t="shared" si="31"/>
        <v>3503</v>
      </c>
    </row>
    <row r="112" spans="1:8">
      <c r="A112" s="2" t="str">
        <f t="shared" si="25"/>
        <v>004BB90A</v>
      </c>
      <c r="B112" s="2" t="str">
        <f t="shared" si="28"/>
        <v>005BB90A</v>
      </c>
      <c r="C112" s="2" t="s">
        <v>51</v>
      </c>
      <c r="D112" s="2">
        <f t="shared" si="26"/>
        <v>822</v>
      </c>
      <c r="F112" s="2" t="str">
        <f t="shared" si="29"/>
        <v>004BB90A</v>
      </c>
      <c r="G112" s="2" t="str">
        <f t="shared" si="30"/>
        <v>005BB90A</v>
      </c>
      <c r="H112" s="2" t="str">
        <f t="shared" si="31"/>
        <v>3603</v>
      </c>
    </row>
    <row r="113" spans="1:8">
      <c r="A113" s="2" t="str">
        <f t="shared" si="25"/>
        <v>004BB90C</v>
      </c>
      <c r="B113" s="2" t="str">
        <f t="shared" si="28"/>
        <v>005BB90C</v>
      </c>
      <c r="C113" s="2" t="s">
        <v>52</v>
      </c>
      <c r="D113" s="2">
        <f t="shared" si="26"/>
        <v>823</v>
      </c>
      <c r="F113" s="2" t="str">
        <f t="shared" si="29"/>
        <v>004BB90C</v>
      </c>
      <c r="G113" s="2" t="str">
        <f t="shared" si="30"/>
        <v>005BB90C</v>
      </c>
      <c r="H113" s="2" t="str">
        <f t="shared" si="31"/>
        <v>3703</v>
      </c>
    </row>
    <row r="114" spans="1:8">
      <c r="A114" s="2" t="str">
        <f t="shared" si="25"/>
        <v>004BB90E</v>
      </c>
      <c r="B114" s="2" t="str">
        <f t="shared" si="28"/>
        <v>005BB90E</v>
      </c>
      <c r="C114" s="2" t="s">
        <v>53</v>
      </c>
      <c r="D114" s="2">
        <f t="shared" si="26"/>
        <v>824</v>
      </c>
      <c r="F114" s="2" t="str">
        <f t="shared" si="29"/>
        <v>004BB90E</v>
      </c>
      <c r="G114" s="2" t="str">
        <f t="shared" si="30"/>
        <v>005BB90E</v>
      </c>
      <c r="H114" s="2" t="str">
        <f t="shared" si="31"/>
        <v>3803</v>
      </c>
    </row>
    <row r="115" spans="1:8">
      <c r="A115" s="2" t="str">
        <f t="shared" si="25"/>
        <v>004BB910</v>
      </c>
      <c r="B115" s="2" t="str">
        <f t="shared" si="28"/>
        <v>005BB910</v>
      </c>
      <c r="C115" s="2" t="s">
        <v>54</v>
      </c>
      <c r="D115" s="2">
        <f t="shared" si="26"/>
        <v>825</v>
      </c>
      <c r="F115" s="2" t="str">
        <f t="shared" si="29"/>
        <v>004BB910</v>
      </c>
      <c r="G115" s="2" t="str">
        <f t="shared" si="30"/>
        <v>005BB910</v>
      </c>
      <c r="H115" s="2" t="str">
        <f t="shared" si="31"/>
        <v>3903</v>
      </c>
    </row>
    <row r="116" spans="1:8">
      <c r="A116" s="2" t="str">
        <f t="shared" si="25"/>
        <v>004BB912</v>
      </c>
      <c r="B116" s="2" t="str">
        <f t="shared" si="28"/>
        <v>005BB912</v>
      </c>
      <c r="C116" s="2" t="s">
        <v>55</v>
      </c>
      <c r="D116" s="2">
        <f t="shared" si="26"/>
        <v>826</v>
      </c>
      <c r="F116" s="2" t="str">
        <f t="shared" si="29"/>
        <v>004BB912</v>
      </c>
      <c r="G116" s="2" t="str">
        <f t="shared" si="30"/>
        <v>005BB912</v>
      </c>
      <c r="H116" s="2" t="str">
        <f t="shared" si="31"/>
        <v>3A03</v>
      </c>
    </row>
    <row r="117" spans="1:8">
      <c r="A117" s="2" t="str">
        <f t="shared" si="25"/>
        <v>004BB914</v>
      </c>
      <c r="B117" s="2" t="str">
        <f t="shared" si="28"/>
        <v>005BB914</v>
      </c>
      <c r="C117" s="2" t="s">
        <v>56</v>
      </c>
      <c r="D117" s="2">
        <f t="shared" si="26"/>
        <v>827</v>
      </c>
      <c r="F117" s="2" t="str">
        <f t="shared" si="29"/>
        <v>004BB914</v>
      </c>
      <c r="G117" s="2" t="str">
        <f t="shared" si="30"/>
        <v>005BB914</v>
      </c>
      <c r="H117" s="2" t="str">
        <f t="shared" si="31"/>
        <v>3B03</v>
      </c>
    </row>
    <row r="118" spans="1:8">
      <c r="A118" s="2" t="str">
        <f t="shared" si="25"/>
        <v>004BB916</v>
      </c>
      <c r="B118" s="2" t="str">
        <f t="shared" si="28"/>
        <v>005BB916</v>
      </c>
      <c r="C118" s="2" t="s">
        <v>57</v>
      </c>
      <c r="D118" s="2">
        <f t="shared" si="26"/>
        <v>828</v>
      </c>
      <c r="F118" s="2" t="str">
        <f t="shared" si="29"/>
        <v>004BB916</v>
      </c>
      <c r="G118" s="2" t="str">
        <f t="shared" si="30"/>
        <v>005BB916</v>
      </c>
      <c r="H118" s="2" t="str">
        <f t="shared" si="31"/>
        <v>3C03</v>
      </c>
    </row>
    <row r="119" spans="1:8">
      <c r="A119" s="2" t="str">
        <f t="shared" si="25"/>
        <v>004BB918</v>
      </c>
      <c r="B119" s="2" t="str">
        <f t="shared" si="28"/>
        <v>005BB918</v>
      </c>
      <c r="C119" s="2" t="s">
        <v>58</v>
      </c>
      <c r="D119" s="2">
        <f t="shared" si="26"/>
        <v>829</v>
      </c>
      <c r="F119" s="2" t="str">
        <f t="shared" si="29"/>
        <v>004BB918</v>
      </c>
      <c r="G119" s="2" t="str">
        <f t="shared" si="30"/>
        <v>005BB918</v>
      </c>
      <c r="H119" s="2" t="str">
        <f t="shared" si="31"/>
        <v>3D03</v>
      </c>
    </row>
    <row r="120" spans="1:8">
      <c r="A120" s="2" t="str">
        <f t="shared" si="25"/>
        <v>004BB91A</v>
      </c>
      <c r="B120" s="2" t="str">
        <f t="shared" si="28"/>
        <v>005BB91A</v>
      </c>
      <c r="C120" s="2" t="s">
        <v>59</v>
      </c>
      <c r="D120" s="2">
        <f t="shared" si="26"/>
        <v>830</v>
      </c>
      <c r="F120" s="2" t="str">
        <f t="shared" si="29"/>
        <v>004BB91A</v>
      </c>
      <c r="G120" s="2" t="str">
        <f t="shared" si="30"/>
        <v>005BB91A</v>
      </c>
      <c r="H120" s="2" t="str">
        <f t="shared" si="31"/>
        <v>3E03</v>
      </c>
    </row>
    <row r="121" spans="1:8">
      <c r="A121" s="2" t="str">
        <f t="shared" si="25"/>
        <v>004BB91C</v>
      </c>
      <c r="B121" s="2" t="str">
        <f t="shared" si="28"/>
        <v>005BB91C</v>
      </c>
      <c r="C121" s="2" t="s">
        <v>60</v>
      </c>
      <c r="D121" s="2">
        <f t="shared" si="26"/>
        <v>831</v>
      </c>
      <c r="F121" s="2" t="str">
        <f t="shared" si="29"/>
        <v>004BB91C</v>
      </c>
      <c r="G121" s="2" t="str">
        <f t="shared" si="30"/>
        <v>005BB91C</v>
      </c>
      <c r="H121" s="2" t="str">
        <f t="shared" si="31"/>
        <v>3F03</v>
      </c>
    </row>
    <row r="122" spans="1:8">
      <c r="A122" s="2" t="str">
        <f t="shared" si="25"/>
        <v>004BB91E</v>
      </c>
      <c r="B122" s="2" t="str">
        <f t="shared" si="28"/>
        <v>005BB91E</v>
      </c>
      <c r="C122" s="2" t="s">
        <v>61</v>
      </c>
      <c r="D122" s="2">
        <f t="shared" si="26"/>
        <v>832</v>
      </c>
      <c r="F122" s="2" t="str">
        <f t="shared" si="29"/>
        <v>004BB91E</v>
      </c>
      <c r="G122" s="2" t="str">
        <f t="shared" si="30"/>
        <v>005BB91E</v>
      </c>
      <c r="H122" s="2" t="str">
        <f t="shared" si="31"/>
        <v>4003</v>
      </c>
    </row>
    <row r="123" spans="1:8">
      <c r="A123" s="2" t="str">
        <f t="shared" si="25"/>
        <v>004BB920</v>
      </c>
      <c r="B123" s="2" t="str">
        <f t="shared" si="28"/>
        <v>005BB920</v>
      </c>
      <c r="C123" s="2" t="s">
        <v>62</v>
      </c>
      <c r="D123" s="2">
        <f t="shared" si="26"/>
        <v>833</v>
      </c>
      <c r="F123" s="2" t="str">
        <f t="shared" ref="F123:F132" si="32">DEC2HEX(HEX2DEC(G123)-1048576,8)</f>
        <v>004BB920</v>
      </c>
      <c r="G123" s="2" t="str">
        <f t="shared" si="30"/>
        <v>005BB920</v>
      </c>
      <c r="H123" s="2" t="str">
        <f t="shared" si="31"/>
        <v>4103</v>
      </c>
    </row>
    <row r="124" spans="1:8">
      <c r="A124" s="2" t="str">
        <f t="shared" ref="A124:A132" si="33">DEC2HEX(HEX2DEC(B124)-1048576,8)</f>
        <v>004BB922</v>
      </c>
      <c r="B124" s="2" t="str">
        <f t="shared" si="28"/>
        <v>005BB922</v>
      </c>
      <c r="C124" s="2" t="s">
        <v>63</v>
      </c>
      <c r="D124" s="2">
        <f t="shared" si="26"/>
        <v>834</v>
      </c>
      <c r="F124" s="2" t="str">
        <f t="shared" si="32"/>
        <v>004BB922</v>
      </c>
      <c r="G124" s="2" t="str">
        <f t="shared" si="30"/>
        <v>005BB922</v>
      </c>
      <c r="H124" s="2" t="str">
        <f t="shared" si="31"/>
        <v>4203</v>
      </c>
    </row>
    <row r="125" spans="1:8">
      <c r="A125" s="2" t="str">
        <f t="shared" si="33"/>
        <v>004BB924</v>
      </c>
      <c r="B125" s="2" t="str">
        <f t="shared" si="28"/>
        <v>005BB924</v>
      </c>
      <c r="C125" s="2" t="s">
        <v>64</v>
      </c>
      <c r="D125" s="2">
        <f t="shared" si="26"/>
        <v>835</v>
      </c>
      <c r="F125" s="2" t="str">
        <f t="shared" si="32"/>
        <v>004BB924</v>
      </c>
      <c r="G125" s="2" t="str">
        <f t="shared" si="30"/>
        <v>005BB924</v>
      </c>
      <c r="H125" s="2" t="str">
        <f t="shared" si="31"/>
        <v>4303</v>
      </c>
    </row>
    <row r="126" spans="1:8">
      <c r="A126" s="2" t="str">
        <f t="shared" si="33"/>
        <v>004BB926</v>
      </c>
      <c r="B126" s="2" t="str">
        <f t="shared" si="28"/>
        <v>005BB926</v>
      </c>
      <c r="C126" s="2" t="s">
        <v>65</v>
      </c>
      <c r="D126" s="2">
        <f t="shared" si="26"/>
        <v>927</v>
      </c>
      <c r="F126" s="2" t="str">
        <f t="shared" si="32"/>
        <v>004BB926</v>
      </c>
      <c r="G126" s="2" t="str">
        <f t="shared" si="30"/>
        <v>005BB926</v>
      </c>
      <c r="H126" s="2" t="str">
        <f t="shared" si="31"/>
        <v>9F03</v>
      </c>
    </row>
    <row r="127" spans="1:8">
      <c r="A127" s="2" t="str">
        <f t="shared" si="33"/>
        <v>004BB928</v>
      </c>
      <c r="B127" s="2" t="str">
        <f t="shared" si="28"/>
        <v>005BB928</v>
      </c>
      <c r="C127" s="2" t="s">
        <v>66</v>
      </c>
      <c r="D127" s="2">
        <f t="shared" si="26"/>
        <v>928</v>
      </c>
      <c r="F127" s="2" t="str">
        <f t="shared" si="32"/>
        <v>004BB928</v>
      </c>
      <c r="G127" s="2" t="str">
        <f t="shared" si="30"/>
        <v>005BB928</v>
      </c>
      <c r="H127" s="2" t="str">
        <f t="shared" si="31"/>
        <v>A003</v>
      </c>
    </row>
    <row r="128" spans="1:8">
      <c r="A128" s="2" t="str">
        <f t="shared" si="33"/>
        <v>004BB92A</v>
      </c>
      <c r="B128" s="2" t="str">
        <f t="shared" si="28"/>
        <v>005BB92A</v>
      </c>
      <c r="C128" s="2" t="s">
        <v>67</v>
      </c>
      <c r="D128" s="2">
        <f t="shared" si="26"/>
        <v>929</v>
      </c>
      <c r="F128" s="2" t="str">
        <f t="shared" si="32"/>
        <v>004BB92A</v>
      </c>
      <c r="G128" s="2" t="str">
        <f t="shared" si="30"/>
        <v>005BB92A</v>
      </c>
      <c r="H128" s="2" t="str">
        <f t="shared" si="31"/>
        <v>A103</v>
      </c>
    </row>
    <row r="129" spans="1:9">
      <c r="A129" s="2" t="str">
        <f t="shared" si="33"/>
        <v>004BB92C</v>
      </c>
      <c r="B129" s="2" t="str">
        <f t="shared" si="28"/>
        <v>005BB92C</v>
      </c>
      <c r="C129" s="2" t="s">
        <v>68</v>
      </c>
      <c r="D129" s="2">
        <f t="shared" si="26"/>
        <v>930</v>
      </c>
      <c r="F129" s="2" t="str">
        <f t="shared" si="32"/>
        <v>004BB92C</v>
      </c>
      <c r="G129" s="2" t="str">
        <f t="shared" si="30"/>
        <v>005BB92C</v>
      </c>
      <c r="H129" s="2" t="str">
        <f t="shared" si="31"/>
        <v>A203</v>
      </c>
    </row>
    <row r="130" spans="1:9">
      <c r="A130" s="2" t="str">
        <f t="shared" si="33"/>
        <v>004BB92E</v>
      </c>
      <c r="B130" s="2" t="str">
        <f t="shared" si="28"/>
        <v>005BB92E</v>
      </c>
      <c r="C130" s="2" t="s">
        <v>69</v>
      </c>
      <c r="D130" s="2">
        <f t="shared" si="26"/>
        <v>931</v>
      </c>
      <c r="F130" s="2" t="str">
        <f t="shared" si="32"/>
        <v>004BB92E</v>
      </c>
      <c r="G130" s="2" t="str">
        <f t="shared" si="30"/>
        <v>005BB92E</v>
      </c>
      <c r="H130" s="2" t="str">
        <f t="shared" si="31"/>
        <v>A303</v>
      </c>
    </row>
    <row r="131" spans="1:9">
      <c r="A131" s="2" t="str">
        <f t="shared" si="33"/>
        <v>004BB930</v>
      </c>
      <c r="B131" s="2" t="str">
        <f t="shared" si="28"/>
        <v>005BB930</v>
      </c>
      <c r="C131" s="2" t="s">
        <v>70</v>
      </c>
      <c r="D131" s="2">
        <f t="shared" ref="D131" si="34">HEX2DEC(C131)</f>
        <v>932</v>
      </c>
      <c r="F131" s="2" t="str">
        <f t="shared" si="32"/>
        <v>004BB930</v>
      </c>
      <c r="G131" s="2" t="str">
        <f t="shared" si="30"/>
        <v>005BB930</v>
      </c>
      <c r="H131" s="2" t="str">
        <f t="shared" ref="H131" si="35">RIGHT(C131,2)&amp;LEFT(C131,2)</f>
        <v>A403</v>
      </c>
    </row>
    <row r="132" spans="1:9" ht="15.5" customHeight="1">
      <c r="A132" s="2" t="str">
        <f t="shared" si="33"/>
        <v>004BB932</v>
      </c>
      <c r="B132" s="2" t="str">
        <f t="shared" si="28"/>
        <v>005BB932</v>
      </c>
      <c r="C132" s="2" t="s">
        <v>147</v>
      </c>
      <c r="D132" s="2">
        <f t="shared" si="26"/>
        <v>893</v>
      </c>
      <c r="F132" s="2" t="str">
        <f t="shared" si="32"/>
        <v>004BB932</v>
      </c>
      <c r="G132" s="2" t="str">
        <f t="shared" si="30"/>
        <v>005BB932</v>
      </c>
      <c r="H132" s="2" t="str">
        <f t="shared" si="31"/>
        <v>7D03</v>
      </c>
    </row>
    <row r="133" spans="1:9">
      <c r="C133" s="2" t="s">
        <v>133</v>
      </c>
      <c r="G133" s="4"/>
      <c r="H133" s="2" t="str">
        <f>_xlfn.CONCAT(H97:H132)</f>
        <v>2703280329032A032B032C032D032E032F0330033103320333033403350336033703380339033A033B033C033D033E033F0340034103420343039F03A003A103A203A303A4037D03</v>
      </c>
      <c r="I133" s="2" t="str">
        <f>DEC2HEX(LEN(H133)/2)</f>
        <v>48</v>
      </c>
    </row>
    <row r="134" spans="1:9">
      <c r="G134" s="4"/>
    </row>
  </sheetData>
  <mergeCells count="6">
    <mergeCell ref="B96:H96"/>
    <mergeCell ref="B2:H2"/>
    <mergeCell ref="B22:H22"/>
    <mergeCell ref="B29:H29"/>
    <mergeCell ref="B49:H49"/>
    <mergeCell ref="B56:H5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75A8F-DB1A-42EE-8331-0B020CBE416F}">
  <dimension ref="A1:I132"/>
  <sheetViews>
    <sheetView tabSelected="1" workbookViewId="0">
      <pane ySplit="1" topLeftCell="A2" activePane="bottomLeft" state="frozen"/>
      <selection pane="bottomLeft" activeCell="H12" sqref="H12"/>
    </sheetView>
  </sheetViews>
  <sheetFormatPr defaultColWidth="9.26953125" defaultRowHeight="14.5"/>
  <cols>
    <col min="1" max="1" width="10.08984375" style="2" bestFit="1" customWidth="1"/>
    <col min="2" max="2" width="12.54296875" style="2" bestFit="1" customWidth="1"/>
    <col min="3" max="3" width="10.08984375" style="2" bestFit="1" customWidth="1"/>
    <col min="4" max="4" width="51.36328125" style="2" bestFit="1" customWidth="1"/>
    <col min="5" max="5" width="29.36328125" style="2" bestFit="1" customWidth="1"/>
    <col min="6" max="8" width="10.08984375" style="2" bestFit="1" customWidth="1"/>
    <col min="9" max="9" width="26.54296875" style="2" bestFit="1" customWidth="1"/>
    <col min="10" max="16384" width="9.26953125" style="2"/>
  </cols>
  <sheetData>
    <row r="1" spans="1:9" ht="15">
      <c r="A1" s="1" t="s">
        <v>127</v>
      </c>
      <c r="B1" s="1" t="s">
        <v>128</v>
      </c>
      <c r="C1" s="1" t="s">
        <v>2</v>
      </c>
      <c r="D1" s="1" t="s">
        <v>3</v>
      </c>
      <c r="E1" s="1" t="s">
        <v>0</v>
      </c>
      <c r="F1" s="1" t="s">
        <v>137</v>
      </c>
      <c r="G1" s="2" t="s">
        <v>138</v>
      </c>
      <c r="H1" s="1" t="s">
        <v>5</v>
      </c>
      <c r="I1" s="1" t="s">
        <v>6</v>
      </c>
    </row>
    <row r="2" spans="1:9" ht="15">
      <c r="B2" s="10" t="s">
        <v>85</v>
      </c>
      <c r="C2" s="10"/>
      <c r="D2" s="10"/>
      <c r="E2" s="10"/>
      <c r="F2" s="10"/>
      <c r="G2" s="10"/>
      <c r="H2" s="10"/>
    </row>
    <row r="3" spans="1:9">
      <c r="A3" s="2" t="str">
        <f>DEC2HEX(HEX2DEC(B3)-1048576,8)</f>
        <v>00275F44</v>
      </c>
      <c r="B3" s="2" t="s">
        <v>86</v>
      </c>
      <c r="C3" s="3" t="s">
        <v>143</v>
      </c>
      <c r="D3" s="2" t="str">
        <f>_xlfn.CONCAT("ldr r2, [pc, #0x",DEC2HEX(HEX2DEC(B16)-HEX2DEC(B3)-8,2),"]")</f>
        <v>ldr r2, [pc, #0x2C]</v>
      </c>
      <c r="E3" s="2" t="s">
        <v>33</v>
      </c>
      <c r="F3" s="2" t="str">
        <f>DEC2HEX(HEX2DEC(G3)-1048576,8)</f>
        <v>00275F44</v>
      </c>
      <c r="G3" s="2" t="s">
        <v>86</v>
      </c>
      <c r="H3" s="3" t="s">
        <v>143</v>
      </c>
      <c r="I3" s="2" t="str">
        <f>_xlfn.CONCAT("ldr r2, [pc, #0x",DEC2HEX(HEX2DEC(G16)-HEX2DEC(G3)-8,2),"]")</f>
        <v>ldr r2, [pc, #0x2C]</v>
      </c>
    </row>
    <row r="4" spans="1:9">
      <c r="A4" s="2" t="str">
        <f t="shared" ref="A4:A27" si="0">DEC2HEX(HEX2DEC(B4)-1048576,8)</f>
        <v>00275F48</v>
      </c>
      <c r="B4" s="2" t="str">
        <f t="shared" ref="B4:B21" si="1">DEC2HEX(HEX2DEC(B3)+4,8)</f>
        <v>00375F48</v>
      </c>
      <c r="C4" s="4" t="s">
        <v>144</v>
      </c>
      <c r="D4" s="2" t="s">
        <v>134</v>
      </c>
      <c r="E4" s="5"/>
      <c r="F4" s="2" t="str">
        <f t="shared" ref="F4:F21" si="2">DEC2HEX(HEX2DEC(G4)-1048576,8)</f>
        <v>00275F48</v>
      </c>
      <c r="G4" s="2" t="str">
        <f t="shared" ref="G4:G21" si="3">DEC2HEX(HEX2DEC(G3)+4,8)</f>
        <v>00375F48</v>
      </c>
      <c r="H4" s="4" t="s">
        <v>144</v>
      </c>
      <c r="I4" s="2" t="s">
        <v>134</v>
      </c>
    </row>
    <row r="5" spans="1:9">
      <c r="A5" s="2" t="str">
        <f t="shared" si="0"/>
        <v>00275F4C</v>
      </c>
      <c r="B5" s="2" t="str">
        <f t="shared" si="1"/>
        <v>00375F4C</v>
      </c>
      <c r="C5" s="4" t="s">
        <v>72</v>
      </c>
      <c r="D5" s="2" t="s">
        <v>15</v>
      </c>
      <c r="F5" s="2" t="str">
        <f t="shared" si="2"/>
        <v>00275F4C</v>
      </c>
      <c r="G5" s="2" t="str">
        <f t="shared" si="3"/>
        <v>00375F4C</v>
      </c>
      <c r="H5" s="4" t="s">
        <v>72</v>
      </c>
      <c r="I5" s="2" t="s">
        <v>15</v>
      </c>
    </row>
    <row r="6" spans="1:9">
      <c r="A6" s="2" t="str">
        <f t="shared" si="0"/>
        <v>00275F50</v>
      </c>
      <c r="B6" s="2" t="str">
        <f t="shared" si="1"/>
        <v>00375F50</v>
      </c>
      <c r="C6" s="4" t="s">
        <v>26</v>
      </c>
      <c r="D6" s="2" t="s">
        <v>131</v>
      </c>
      <c r="F6" s="2" t="str">
        <f t="shared" si="2"/>
        <v>00275F50</v>
      </c>
      <c r="G6" s="2" t="str">
        <f t="shared" si="3"/>
        <v>00375F50</v>
      </c>
      <c r="H6" s="4" t="s">
        <v>26</v>
      </c>
      <c r="I6" s="2" t="s">
        <v>131</v>
      </c>
    </row>
    <row r="7" spans="1:9">
      <c r="A7" s="2" t="str">
        <f t="shared" si="0"/>
        <v>00275F54</v>
      </c>
      <c r="B7" s="2" t="str">
        <f t="shared" si="1"/>
        <v>00375F54</v>
      </c>
      <c r="C7" s="4" t="s">
        <v>27</v>
      </c>
      <c r="D7" s="2" t="s">
        <v>132</v>
      </c>
      <c r="F7" s="2" t="str">
        <f t="shared" si="2"/>
        <v>00275F54</v>
      </c>
      <c r="G7" s="2" t="str">
        <f t="shared" si="3"/>
        <v>00375F54</v>
      </c>
      <c r="H7" s="4" t="s">
        <v>27</v>
      </c>
      <c r="I7" s="2" t="s">
        <v>132</v>
      </c>
    </row>
    <row r="8" spans="1:9">
      <c r="A8" s="2" t="str">
        <f t="shared" si="0"/>
        <v>00275F58</v>
      </c>
      <c r="B8" s="2" t="str">
        <f t="shared" si="1"/>
        <v>00375F58</v>
      </c>
      <c r="C8" s="4" t="s">
        <v>29</v>
      </c>
      <c r="D8" s="2" t="str">
        <f>_xlfn.CONCAT("bne 0x",B11)</f>
        <v>bne 0x00375F64</v>
      </c>
      <c r="F8" s="2" t="str">
        <f t="shared" si="2"/>
        <v>00275F58</v>
      </c>
      <c r="G8" s="2" t="str">
        <f t="shared" si="3"/>
        <v>00375F58</v>
      </c>
      <c r="H8" s="4" t="s">
        <v>29</v>
      </c>
      <c r="I8" s="2" t="str">
        <f>_xlfn.CONCAT("bne 0x",G11)</f>
        <v>bne 0x00375F64</v>
      </c>
    </row>
    <row r="9" spans="1:9">
      <c r="A9" s="2" t="str">
        <f t="shared" si="0"/>
        <v>00275F5C</v>
      </c>
      <c r="B9" s="2" t="str">
        <f t="shared" si="1"/>
        <v>00375F5C</v>
      </c>
      <c r="C9" s="4" t="s">
        <v>30</v>
      </c>
      <c r="D9" s="2" t="s">
        <v>18</v>
      </c>
      <c r="F9" s="2" t="str">
        <f t="shared" si="2"/>
        <v>00275F5C</v>
      </c>
      <c r="G9" s="2" t="str">
        <f t="shared" si="3"/>
        <v>00375F5C</v>
      </c>
      <c r="H9" s="4" t="s">
        <v>30</v>
      </c>
      <c r="I9" s="2" t="s">
        <v>18</v>
      </c>
    </row>
    <row r="10" spans="1:9">
      <c r="A10" s="2" t="str">
        <f t="shared" si="0"/>
        <v>00275F60</v>
      </c>
      <c r="B10" s="2" t="str">
        <f t="shared" si="1"/>
        <v>00375F60</v>
      </c>
      <c r="C10" s="4" t="s">
        <v>7</v>
      </c>
      <c r="D10" s="2" t="s">
        <v>8</v>
      </c>
      <c r="F10" s="2" t="str">
        <f t="shared" si="2"/>
        <v>00275F60</v>
      </c>
      <c r="G10" s="2" t="str">
        <f t="shared" si="3"/>
        <v>00375F60</v>
      </c>
      <c r="H10" s="4" t="s">
        <v>7</v>
      </c>
      <c r="I10" s="2" t="s">
        <v>8</v>
      </c>
    </row>
    <row r="11" spans="1:9">
      <c r="A11" s="2" t="str">
        <f t="shared" si="0"/>
        <v>00275F64</v>
      </c>
      <c r="B11" s="2" t="str">
        <f t="shared" si="1"/>
        <v>00375F64</v>
      </c>
      <c r="C11" s="4" t="s">
        <v>145</v>
      </c>
      <c r="D11" s="2" t="s">
        <v>135</v>
      </c>
      <c r="F11" s="2" t="str">
        <f t="shared" si="2"/>
        <v>00275F64</v>
      </c>
      <c r="G11" s="2" t="str">
        <f t="shared" si="3"/>
        <v>00375F64</v>
      </c>
      <c r="H11" s="4" t="s">
        <v>145</v>
      </c>
      <c r="I11" s="2" t="s">
        <v>135</v>
      </c>
    </row>
    <row r="12" spans="1:9">
      <c r="A12" s="2" t="str">
        <f t="shared" si="0"/>
        <v>00275F68</v>
      </c>
      <c r="B12" s="2" t="str">
        <f t="shared" si="1"/>
        <v>00375F68</v>
      </c>
      <c r="C12" s="4" t="str">
        <f>_xlfn.CONCAT(RIGHT(D12,2),"0051E3")</f>
        <v>230051E3</v>
      </c>
      <c r="D12" s="2" t="str">
        <f>_xlfn.CONCAT("cmp r1, 0x",DEC2HEX(HEX2DEC($I92)/2))</f>
        <v>cmp r1, 0x23</v>
      </c>
      <c r="E12" s="2" t="s">
        <v>130</v>
      </c>
      <c r="F12" s="2" t="str">
        <f t="shared" si="2"/>
        <v>00275F68</v>
      </c>
      <c r="G12" s="2" t="str">
        <f t="shared" si="3"/>
        <v>00375F68</v>
      </c>
      <c r="H12" s="4" t="str">
        <f>_xlfn.CONCAT(RIGHT(I12,2),"0051E3")</f>
        <v>230051E3</v>
      </c>
      <c r="I12" s="2" t="str">
        <f>_xlfn.CONCAT("cmp r1, 0x",DEC2HEX(HEX2DEC($I92)/2))</f>
        <v>cmp r1, 0x23</v>
      </c>
    </row>
    <row r="13" spans="1:9">
      <c r="A13" s="2" t="str">
        <f t="shared" si="0"/>
        <v>00275F6C</v>
      </c>
      <c r="B13" s="2" t="str">
        <f t="shared" si="1"/>
        <v>00375F6C</v>
      </c>
      <c r="C13" s="4" t="s">
        <v>146</v>
      </c>
      <c r="D13" s="2" t="str">
        <f>_xlfn.CONCAT("blo 0x",B5)</f>
        <v>blo 0x00375F4C</v>
      </c>
      <c r="F13" s="2" t="str">
        <f t="shared" si="2"/>
        <v>00275F6C</v>
      </c>
      <c r="G13" s="2" t="str">
        <f t="shared" si="3"/>
        <v>00375F6C</v>
      </c>
      <c r="H13" s="4" t="s">
        <v>146</v>
      </c>
      <c r="I13" s="2" t="str">
        <f>_xlfn.CONCAT("blo 0x",G5)</f>
        <v>blo 0x00375F4C</v>
      </c>
    </row>
    <row r="14" spans="1:9">
      <c r="A14" s="2" t="str">
        <f t="shared" si="0"/>
        <v>00275F70</v>
      </c>
      <c r="B14" s="2" t="str">
        <f t="shared" si="1"/>
        <v>00375F70</v>
      </c>
      <c r="C14" s="4" t="s">
        <v>32</v>
      </c>
      <c r="D14" s="2" t="s">
        <v>21</v>
      </c>
      <c r="F14" s="2" t="str">
        <f t="shared" si="2"/>
        <v>00275F70</v>
      </c>
      <c r="G14" s="2" t="str">
        <f t="shared" si="3"/>
        <v>00375F70</v>
      </c>
      <c r="H14" s="4" t="s">
        <v>32</v>
      </c>
      <c r="I14" s="2" t="s">
        <v>21</v>
      </c>
    </row>
    <row r="15" spans="1:9">
      <c r="A15" s="2" t="str">
        <f t="shared" si="0"/>
        <v>00275F74</v>
      </c>
      <c r="B15" s="2" t="str">
        <f t="shared" si="1"/>
        <v>00375F74</v>
      </c>
      <c r="C15" s="4" t="s">
        <v>7</v>
      </c>
      <c r="D15" s="2" t="s">
        <v>8</v>
      </c>
      <c r="F15" s="2" t="str">
        <f t="shared" si="2"/>
        <v>00275F74</v>
      </c>
      <c r="G15" s="2" t="str">
        <f t="shared" si="3"/>
        <v>00375F74</v>
      </c>
      <c r="H15" s="4" t="s">
        <v>7</v>
      </c>
      <c r="I15" s="2" t="s">
        <v>8</v>
      </c>
    </row>
    <row r="16" spans="1:9">
      <c r="A16" s="2" t="str">
        <f t="shared" si="0"/>
        <v>00275F78</v>
      </c>
      <c r="B16" s="2" t="str">
        <f t="shared" si="1"/>
        <v>00375F78</v>
      </c>
      <c r="C16" s="2" t="str">
        <f>_xlfn.LET(_xlpm.x,B57,_xlfn.CONCAT(MID(_xlpm.x,7,2),MID(_xlpm.x,5,2),MID(_xlpm.x,3,2),MID(_xlpm.x,1,2)))</f>
        <v>54534400</v>
      </c>
      <c r="F16" s="2" t="str">
        <f t="shared" si="2"/>
        <v>00275F78</v>
      </c>
      <c r="G16" s="2" t="str">
        <f t="shared" si="3"/>
        <v>00375F78</v>
      </c>
      <c r="H16" s="2" t="str">
        <f>_xlfn.LET(_xlpm.x,G57,_xlfn.CONCAT(MID(_xlpm.x,7,2),MID(_xlpm.x,5,2),MID(_xlpm.x,3,2),MID(_xlpm.x,1,2)))</f>
        <v>58534400</v>
      </c>
    </row>
    <row r="17" spans="1:9">
      <c r="A17" s="2" t="str">
        <f t="shared" si="0"/>
        <v>00275F7C</v>
      </c>
      <c r="B17" s="2" t="str">
        <f t="shared" si="1"/>
        <v>00375F7C</v>
      </c>
      <c r="C17" s="4" t="s">
        <v>136</v>
      </c>
      <c r="F17" s="2" t="str">
        <f t="shared" si="2"/>
        <v>00275F7C</v>
      </c>
      <c r="G17" s="2" t="str">
        <f t="shared" si="3"/>
        <v>00375F7C</v>
      </c>
      <c r="H17" s="4" t="s">
        <v>136</v>
      </c>
    </row>
    <row r="18" spans="1:9">
      <c r="A18" s="2" t="str">
        <f t="shared" si="0"/>
        <v>00275F80</v>
      </c>
      <c r="B18" s="2" t="str">
        <f t="shared" si="1"/>
        <v>00375F80</v>
      </c>
      <c r="C18" s="4" t="s">
        <v>136</v>
      </c>
      <c r="F18" s="2" t="str">
        <f t="shared" si="2"/>
        <v>00275F80</v>
      </c>
      <c r="G18" s="2" t="str">
        <f t="shared" si="3"/>
        <v>00375F80</v>
      </c>
      <c r="H18" s="4" t="s">
        <v>136</v>
      </c>
    </row>
    <row r="19" spans="1:9">
      <c r="A19" s="2" t="str">
        <f t="shared" si="0"/>
        <v>00275F84</v>
      </c>
      <c r="B19" s="2" t="str">
        <f t="shared" si="1"/>
        <v>00375F84</v>
      </c>
      <c r="C19" s="4" t="s">
        <v>136</v>
      </c>
      <c r="F19" s="2" t="str">
        <f t="shared" si="2"/>
        <v>00275F84</v>
      </c>
      <c r="G19" s="2" t="str">
        <f t="shared" si="3"/>
        <v>00375F84</v>
      </c>
      <c r="H19" s="4" t="s">
        <v>136</v>
      </c>
    </row>
    <row r="20" spans="1:9">
      <c r="A20" s="2" t="str">
        <f t="shared" si="0"/>
        <v>00275F88</v>
      </c>
      <c r="B20" s="2" t="str">
        <f t="shared" si="1"/>
        <v>00375F88</v>
      </c>
      <c r="C20" s="4" t="s">
        <v>136</v>
      </c>
      <c r="F20" s="2" t="str">
        <f t="shared" si="2"/>
        <v>00275F88</v>
      </c>
      <c r="G20" s="2" t="str">
        <f t="shared" si="3"/>
        <v>00375F88</v>
      </c>
      <c r="H20" s="4" t="s">
        <v>136</v>
      </c>
    </row>
    <row r="21" spans="1:9">
      <c r="A21" s="2" t="str">
        <f t="shared" si="0"/>
        <v>00275F8C</v>
      </c>
      <c r="B21" s="2" t="str">
        <f t="shared" si="1"/>
        <v>00375F8C</v>
      </c>
      <c r="C21" s="4" t="s">
        <v>136</v>
      </c>
      <c r="E21" s="2" t="s">
        <v>129</v>
      </c>
      <c r="F21" s="2" t="str">
        <f t="shared" si="2"/>
        <v>00275F8C</v>
      </c>
      <c r="G21" s="2" t="str">
        <f t="shared" si="3"/>
        <v>00375F8C</v>
      </c>
      <c r="H21" s="4" t="s">
        <v>136</v>
      </c>
    </row>
    <row r="22" spans="1:9" ht="15">
      <c r="B22" s="10" t="s">
        <v>87</v>
      </c>
      <c r="C22" s="10"/>
      <c r="D22" s="10"/>
      <c r="E22" s="10"/>
      <c r="F22" s="10"/>
      <c r="G22" s="10"/>
      <c r="H22" s="10"/>
    </row>
    <row r="23" spans="1:9">
      <c r="A23" s="2" t="str">
        <f t="shared" si="0"/>
        <v>00276014</v>
      </c>
      <c r="B23" s="2" t="s">
        <v>124</v>
      </c>
      <c r="C23" s="4" t="str">
        <f>_xlfn.CONCAT(RIGHT(D23,2),"10A0E3")</f>
        <v>2310A0E3</v>
      </c>
      <c r="D23" s="2" t="str">
        <f>SUBSTITUTE(D12,"cmp","mov")</f>
        <v>mov r1, 0x23</v>
      </c>
      <c r="E23" s="2" t="s">
        <v>130</v>
      </c>
      <c r="F23" s="2" t="str">
        <f t="shared" ref="F23:F27" si="4">DEC2HEX(HEX2DEC(G23)-1048576,8)</f>
        <v>00276014</v>
      </c>
      <c r="G23" s="2" t="s">
        <v>124</v>
      </c>
      <c r="H23" s="4" t="str">
        <f>_xlfn.CONCAT(RIGHT(I23,2),"10A0E3")</f>
        <v>2310A0E3</v>
      </c>
      <c r="I23" s="2" t="str">
        <f>SUBSTITUTE(I12,"cmp","mov")</f>
        <v>mov r1, 0x23</v>
      </c>
    </row>
    <row r="24" spans="1:9">
      <c r="A24" s="2" t="str">
        <f t="shared" si="0"/>
        <v>00276018</v>
      </c>
      <c r="B24" s="2" t="str">
        <f t="shared" ref="B24:B27" si="5">DEC2HEX(HEX2DEC(B23)+4,8)</f>
        <v>00376018</v>
      </c>
      <c r="C24" s="2" t="s">
        <v>82</v>
      </c>
      <c r="D24" s="2" t="s">
        <v>79</v>
      </c>
      <c r="F24" s="2" t="str">
        <f t="shared" si="4"/>
        <v>00276018</v>
      </c>
      <c r="G24" s="2" t="str">
        <f t="shared" ref="G24:G27" si="6">DEC2HEX(HEX2DEC(G23)+4,8)</f>
        <v>00376018</v>
      </c>
      <c r="H24" s="3" t="s">
        <v>82</v>
      </c>
      <c r="I24" s="2" t="s">
        <v>79</v>
      </c>
    </row>
    <row r="25" spans="1:9">
      <c r="A25" s="2" t="str">
        <f t="shared" si="0"/>
        <v>0027601C</v>
      </c>
      <c r="B25" s="2" t="str">
        <f t="shared" si="5"/>
        <v>0037601C</v>
      </c>
      <c r="C25" s="2" t="s">
        <v>83</v>
      </c>
      <c r="D25" s="2" t="s">
        <v>80</v>
      </c>
      <c r="E25" s="2" t="s">
        <v>84</v>
      </c>
      <c r="F25" s="2" t="str">
        <f t="shared" si="4"/>
        <v>0027601C</v>
      </c>
      <c r="G25" s="2" t="str">
        <f t="shared" si="6"/>
        <v>0037601C</v>
      </c>
      <c r="H25" s="2" t="s">
        <v>83</v>
      </c>
      <c r="I25" s="2" t="s">
        <v>80</v>
      </c>
    </row>
    <row r="26" spans="1:9">
      <c r="A26" s="2" t="str">
        <f t="shared" si="0"/>
        <v>00276020</v>
      </c>
      <c r="B26" s="2" t="str">
        <f t="shared" si="5"/>
        <v>00376020</v>
      </c>
      <c r="C26" s="2" t="s">
        <v>7</v>
      </c>
      <c r="D26" s="2" t="s">
        <v>8</v>
      </c>
      <c r="F26" s="2" t="str">
        <f t="shared" si="4"/>
        <v>00276020</v>
      </c>
      <c r="G26" s="2" t="str">
        <f t="shared" si="6"/>
        <v>00376020</v>
      </c>
      <c r="H26" s="2" t="s">
        <v>7</v>
      </c>
      <c r="I26" s="2" t="s">
        <v>8</v>
      </c>
    </row>
    <row r="27" spans="1:9">
      <c r="A27" s="2" t="str">
        <f t="shared" si="0"/>
        <v>00276024</v>
      </c>
      <c r="B27" s="2" t="str">
        <f t="shared" si="5"/>
        <v>00376024</v>
      </c>
      <c r="C27" s="2" t="str">
        <f>C16</f>
        <v>54534400</v>
      </c>
      <c r="E27" s="2" t="s">
        <v>129</v>
      </c>
      <c r="F27" s="2" t="str">
        <f t="shared" si="4"/>
        <v>00276024</v>
      </c>
      <c r="G27" s="2" t="str">
        <f t="shared" si="6"/>
        <v>00376024</v>
      </c>
      <c r="H27" s="2" t="str">
        <f>H16</f>
        <v>58534400</v>
      </c>
      <c r="I27" s="2">
        <f>I16</f>
        <v>0</v>
      </c>
    </row>
    <row r="29" spans="1:9" ht="15">
      <c r="B29" s="10" t="s">
        <v>9</v>
      </c>
      <c r="C29" s="10"/>
      <c r="D29" s="10"/>
      <c r="E29" s="10"/>
      <c r="F29" s="10"/>
      <c r="G29" s="10"/>
      <c r="H29" s="10"/>
    </row>
    <row r="30" spans="1:9">
      <c r="A30" s="2" t="str">
        <f t="shared" ref="A30:A48" si="7">DEC2HEX(HEX2DEC(B30)-1048576,8)</f>
        <v>00275EB8</v>
      </c>
      <c r="B30" s="2" t="s">
        <v>10</v>
      </c>
      <c r="C30" s="3" t="s">
        <v>143</v>
      </c>
      <c r="D30" s="2" t="str">
        <f>_xlfn.CONCAT("ldr r2, [pc, #0x",DEC2HEX(HEX2DEC(B43)-HEX2DEC(B30)-8,2),"]")</f>
        <v>ldr r2, [pc, #0x2C]</v>
      </c>
      <c r="E30" s="2" t="s">
        <v>33</v>
      </c>
      <c r="F30" s="2" t="str">
        <f t="shared" ref="F30:F48" si="8">DEC2HEX(HEX2DEC(G30)-1048576,8)</f>
        <v>00275EB8</v>
      </c>
      <c r="G30" s="2" t="s">
        <v>10</v>
      </c>
      <c r="H30" s="3" t="s">
        <v>143</v>
      </c>
      <c r="I30" s="2" t="str">
        <f>_xlfn.CONCAT("ldr r2, [pc, #0x",DEC2HEX(HEX2DEC(G43)-HEX2DEC(G30)-8,2),"]")</f>
        <v>ldr r2, [pc, #0x2C]</v>
      </c>
    </row>
    <row r="31" spans="1:9">
      <c r="A31" s="2" t="str">
        <f t="shared" si="7"/>
        <v>00275EBC</v>
      </c>
      <c r="B31" s="2" t="str">
        <f t="shared" ref="B31:B48" si="9">DEC2HEX(HEX2DEC(B30)+4,8)</f>
        <v>00375EBC</v>
      </c>
      <c r="C31" s="4" t="s">
        <v>144</v>
      </c>
      <c r="D31" s="2" t="s">
        <v>134</v>
      </c>
      <c r="E31" s="5" t="s">
        <v>34</v>
      </c>
      <c r="F31" s="2" t="str">
        <f t="shared" si="8"/>
        <v>00275EBC</v>
      </c>
      <c r="G31" s="2" t="str">
        <f t="shared" ref="G31:G48" si="10">DEC2HEX(HEX2DEC(G30)+4,8)</f>
        <v>00375EBC</v>
      </c>
      <c r="H31" s="4" t="s">
        <v>144</v>
      </c>
      <c r="I31" s="2" t="s">
        <v>134</v>
      </c>
    </row>
    <row r="32" spans="1:9">
      <c r="A32" s="2" t="str">
        <f t="shared" si="7"/>
        <v>00275EC0</v>
      </c>
      <c r="B32" s="2" t="str">
        <f t="shared" si="9"/>
        <v>00375EC0</v>
      </c>
      <c r="C32" s="4" t="s">
        <v>72</v>
      </c>
      <c r="D32" s="2" t="s">
        <v>15</v>
      </c>
      <c r="E32" s="5"/>
      <c r="F32" s="2" t="str">
        <f t="shared" si="8"/>
        <v>00275EC0</v>
      </c>
      <c r="G32" s="2" t="str">
        <f t="shared" si="10"/>
        <v>00375EC0</v>
      </c>
      <c r="H32" s="4" t="s">
        <v>72</v>
      </c>
      <c r="I32" s="2" t="s">
        <v>15</v>
      </c>
    </row>
    <row r="33" spans="1:9">
      <c r="A33" s="2" t="str">
        <f t="shared" si="7"/>
        <v>00275EC4</v>
      </c>
      <c r="B33" s="2" t="str">
        <f t="shared" si="9"/>
        <v>00375EC4</v>
      </c>
      <c r="C33" s="4" t="s">
        <v>26</v>
      </c>
      <c r="D33" s="2" t="s">
        <v>131</v>
      </c>
      <c r="F33" s="2" t="str">
        <f t="shared" si="8"/>
        <v>00275EC4</v>
      </c>
      <c r="G33" s="2" t="str">
        <f t="shared" si="10"/>
        <v>00375EC4</v>
      </c>
      <c r="H33" s="4" t="s">
        <v>26</v>
      </c>
      <c r="I33" s="2" t="s">
        <v>131</v>
      </c>
    </row>
    <row r="34" spans="1:9">
      <c r="A34" s="2" t="str">
        <f t="shared" si="7"/>
        <v>00275EC8</v>
      </c>
      <c r="B34" s="2" t="str">
        <f t="shared" si="9"/>
        <v>00375EC8</v>
      </c>
      <c r="C34" s="4" t="s">
        <v>27</v>
      </c>
      <c r="D34" s="2" t="s">
        <v>132</v>
      </c>
      <c r="F34" s="2" t="str">
        <f t="shared" si="8"/>
        <v>00275EC8</v>
      </c>
      <c r="G34" s="2" t="str">
        <f t="shared" si="10"/>
        <v>00375EC8</v>
      </c>
      <c r="H34" s="4" t="s">
        <v>27</v>
      </c>
      <c r="I34" s="2" t="s">
        <v>132</v>
      </c>
    </row>
    <row r="35" spans="1:9">
      <c r="A35" s="2" t="str">
        <f t="shared" si="7"/>
        <v>00275ECC</v>
      </c>
      <c r="B35" s="2" t="str">
        <f t="shared" si="9"/>
        <v>00375ECC</v>
      </c>
      <c r="C35" s="4" t="s">
        <v>29</v>
      </c>
      <c r="D35" s="2" t="str">
        <f>_xlfn.CONCAT("bne 0x",B38)</f>
        <v>bne 0x00375ED8</v>
      </c>
      <c r="F35" s="2" t="str">
        <f t="shared" si="8"/>
        <v>00275ECC</v>
      </c>
      <c r="G35" s="2" t="str">
        <f t="shared" si="10"/>
        <v>00375ECC</v>
      </c>
      <c r="H35" s="4" t="s">
        <v>29</v>
      </c>
      <c r="I35" s="2" t="str">
        <f>_xlfn.CONCAT("bne 0x",G38)</f>
        <v>bne 0x00375ED8</v>
      </c>
    </row>
    <row r="36" spans="1:9">
      <c r="A36" s="2" t="str">
        <f t="shared" si="7"/>
        <v>00275ED0</v>
      </c>
      <c r="B36" s="2" t="str">
        <f t="shared" si="9"/>
        <v>00375ED0</v>
      </c>
      <c r="C36" s="4" t="s">
        <v>30</v>
      </c>
      <c r="D36" s="2" t="s">
        <v>18</v>
      </c>
      <c r="F36" s="2" t="str">
        <f t="shared" si="8"/>
        <v>00275ED0</v>
      </c>
      <c r="G36" s="2" t="str">
        <f t="shared" si="10"/>
        <v>00375ED0</v>
      </c>
      <c r="H36" s="4" t="s">
        <v>30</v>
      </c>
      <c r="I36" s="2" t="s">
        <v>18</v>
      </c>
    </row>
    <row r="37" spans="1:9">
      <c r="A37" s="2" t="str">
        <f t="shared" si="7"/>
        <v>00275ED4</v>
      </c>
      <c r="B37" s="2" t="str">
        <f t="shared" si="9"/>
        <v>00375ED4</v>
      </c>
      <c r="C37" s="4" t="s">
        <v>7</v>
      </c>
      <c r="D37" s="2" t="s">
        <v>8</v>
      </c>
      <c r="F37" s="2" t="str">
        <f t="shared" si="8"/>
        <v>00275ED4</v>
      </c>
      <c r="G37" s="2" t="str">
        <f t="shared" si="10"/>
        <v>00375ED4</v>
      </c>
      <c r="H37" s="4" t="s">
        <v>7</v>
      </c>
      <c r="I37" s="2" t="s">
        <v>8</v>
      </c>
    </row>
    <row r="38" spans="1:9">
      <c r="A38" s="2" t="str">
        <f t="shared" si="7"/>
        <v>00275ED8</v>
      </c>
      <c r="B38" s="2" t="str">
        <f t="shared" si="9"/>
        <v>00375ED8</v>
      </c>
      <c r="C38" s="4" t="s">
        <v>145</v>
      </c>
      <c r="D38" s="2" t="s">
        <v>135</v>
      </c>
      <c r="F38" s="2" t="str">
        <f t="shared" si="8"/>
        <v>00275ED8</v>
      </c>
      <c r="G38" s="2" t="str">
        <f t="shared" si="10"/>
        <v>00375ED8</v>
      </c>
      <c r="H38" s="4" t="s">
        <v>145</v>
      </c>
      <c r="I38" s="2" t="s">
        <v>135</v>
      </c>
    </row>
    <row r="39" spans="1:9">
      <c r="A39" s="2" t="str">
        <f t="shared" si="7"/>
        <v>00275EDC</v>
      </c>
      <c r="B39" s="2" t="str">
        <f t="shared" si="9"/>
        <v>00375EDC</v>
      </c>
      <c r="C39" s="4" t="s">
        <v>75</v>
      </c>
      <c r="D39" s="2" t="str">
        <f>_xlfn.CONCAT("cmp r1, 0x",DEC2HEX(HEX2DEC($I131)/2))</f>
        <v>cmp r1, 0x23</v>
      </c>
      <c r="F39" s="2" t="str">
        <f t="shared" si="8"/>
        <v>00275EDC</v>
      </c>
      <c r="G39" s="2" t="str">
        <f t="shared" si="10"/>
        <v>00375EDC</v>
      </c>
      <c r="H39" s="4" t="s">
        <v>75</v>
      </c>
      <c r="I39" s="2" t="str">
        <f>_xlfn.CONCAT("cmp r1, 0x",DEC2HEX(HEX2DEC($I131)/2))</f>
        <v>cmp r1, 0x23</v>
      </c>
    </row>
    <row r="40" spans="1:9">
      <c r="A40" s="2" t="str">
        <f t="shared" si="7"/>
        <v>00275EE0</v>
      </c>
      <c r="B40" s="2" t="str">
        <f t="shared" si="9"/>
        <v>00375EE0</v>
      </c>
      <c r="C40" s="4" t="s">
        <v>146</v>
      </c>
      <c r="D40" s="2" t="str">
        <f>_xlfn.CONCAT("blo 0x",B32)</f>
        <v>blo 0x00375EC0</v>
      </c>
      <c r="F40" s="2" t="str">
        <f t="shared" si="8"/>
        <v>00275EE0</v>
      </c>
      <c r="G40" s="2" t="str">
        <f t="shared" si="10"/>
        <v>00375EE0</v>
      </c>
      <c r="H40" s="4" t="s">
        <v>146</v>
      </c>
      <c r="I40" s="2" t="str">
        <f>_xlfn.CONCAT("blo 0x",G32)</f>
        <v>blo 0x00375EC0</v>
      </c>
    </row>
    <row r="41" spans="1:9">
      <c r="A41" s="2" t="str">
        <f t="shared" si="7"/>
        <v>00275EE4</v>
      </c>
      <c r="B41" s="2" t="str">
        <f t="shared" si="9"/>
        <v>00375EE4</v>
      </c>
      <c r="C41" s="4" t="s">
        <v>32</v>
      </c>
      <c r="D41" s="2" t="s">
        <v>21</v>
      </c>
      <c r="F41" s="2" t="str">
        <f t="shared" si="8"/>
        <v>00275EE4</v>
      </c>
      <c r="G41" s="2" t="str">
        <f t="shared" si="10"/>
        <v>00375EE4</v>
      </c>
      <c r="H41" s="4" t="s">
        <v>32</v>
      </c>
      <c r="I41" s="2" t="s">
        <v>21</v>
      </c>
    </row>
    <row r="42" spans="1:9">
      <c r="A42" s="2" t="str">
        <f t="shared" si="7"/>
        <v>00275EE8</v>
      </c>
      <c r="B42" s="2" t="str">
        <f t="shared" si="9"/>
        <v>00375EE8</v>
      </c>
      <c r="C42" s="4" t="s">
        <v>7</v>
      </c>
      <c r="D42" s="2" t="s">
        <v>8</v>
      </c>
      <c r="F42" s="2" t="str">
        <f t="shared" si="8"/>
        <v>00275EE8</v>
      </c>
      <c r="G42" s="2" t="str">
        <f t="shared" si="10"/>
        <v>00375EE8</v>
      </c>
      <c r="H42" s="4" t="s">
        <v>7</v>
      </c>
      <c r="I42" s="2" t="s">
        <v>8</v>
      </c>
    </row>
    <row r="43" spans="1:9">
      <c r="A43" s="2" t="str">
        <f t="shared" si="7"/>
        <v>00275EEC</v>
      </c>
      <c r="B43" s="2" t="str">
        <f t="shared" si="9"/>
        <v>00375EEC</v>
      </c>
      <c r="C43" s="2" t="str">
        <f>_xlfn.LET(_xlpm.x,B96,_xlfn.CONCAT(MID(_xlpm.x,7,2),MID(_xlpm.x,5,2),MID(_xlpm.x,3,2),MID(_xlpm.x,1,2)))</f>
        <v>ECB85B00</v>
      </c>
      <c r="F43" s="2" t="str">
        <f t="shared" si="8"/>
        <v>00275EEC</v>
      </c>
      <c r="G43" s="2" t="str">
        <f t="shared" si="10"/>
        <v>00375EEC</v>
      </c>
      <c r="H43" s="2" t="str">
        <f>_xlfn.LET(_xlpm.x,G96,_xlfn.CONCAT(MID(_xlpm.x,7,2),MID(_xlpm.x,5,2),MID(_xlpm.x,3,2),MID(_xlpm.x,1,2)))</f>
        <v>ECB85B00</v>
      </c>
    </row>
    <row r="44" spans="1:9">
      <c r="A44" s="2" t="str">
        <f t="shared" si="7"/>
        <v>00275EF0</v>
      </c>
      <c r="B44" s="2" t="str">
        <f t="shared" si="9"/>
        <v>00375EF0</v>
      </c>
      <c r="C44" s="4" t="s">
        <v>136</v>
      </c>
      <c r="E44" s="2" t="s">
        <v>130</v>
      </c>
      <c r="F44" s="2" t="str">
        <f t="shared" si="8"/>
        <v>00275EF0</v>
      </c>
      <c r="G44" s="2" t="str">
        <f t="shared" si="10"/>
        <v>00375EF0</v>
      </c>
      <c r="H44" s="4" t="s">
        <v>136</v>
      </c>
    </row>
    <row r="45" spans="1:9">
      <c r="A45" s="2" t="str">
        <f t="shared" si="7"/>
        <v>00275EF4</v>
      </c>
      <c r="B45" s="2" t="str">
        <f t="shared" si="9"/>
        <v>00375EF4</v>
      </c>
      <c r="C45" s="4" t="s">
        <v>136</v>
      </c>
      <c r="F45" s="2" t="str">
        <f t="shared" si="8"/>
        <v>00275EF4</v>
      </c>
      <c r="G45" s="2" t="str">
        <f t="shared" si="10"/>
        <v>00375EF4</v>
      </c>
      <c r="H45" s="4" t="s">
        <v>136</v>
      </c>
    </row>
    <row r="46" spans="1:9">
      <c r="A46" s="2" t="str">
        <f t="shared" si="7"/>
        <v>00275EF8</v>
      </c>
      <c r="B46" s="2" t="str">
        <f t="shared" si="9"/>
        <v>00375EF8</v>
      </c>
      <c r="C46" s="4" t="s">
        <v>136</v>
      </c>
      <c r="F46" s="2" t="str">
        <f t="shared" si="8"/>
        <v>00275EF8</v>
      </c>
      <c r="G46" s="2" t="str">
        <f t="shared" si="10"/>
        <v>00375EF8</v>
      </c>
      <c r="H46" s="4" t="s">
        <v>136</v>
      </c>
    </row>
    <row r="47" spans="1:9">
      <c r="A47" s="2" t="str">
        <f t="shared" si="7"/>
        <v>00275EFC</v>
      </c>
      <c r="B47" s="2" t="str">
        <f t="shared" si="9"/>
        <v>00375EFC</v>
      </c>
      <c r="C47" s="4" t="s">
        <v>136</v>
      </c>
      <c r="F47" s="2" t="str">
        <f t="shared" si="8"/>
        <v>00275EFC</v>
      </c>
      <c r="G47" s="2" t="str">
        <f t="shared" si="10"/>
        <v>00375EFC</v>
      </c>
      <c r="H47" s="4" t="s">
        <v>136</v>
      </c>
    </row>
    <row r="48" spans="1:9">
      <c r="A48" s="2" t="str">
        <f t="shared" si="7"/>
        <v>00275F00</v>
      </c>
      <c r="B48" s="2" t="str">
        <f t="shared" si="9"/>
        <v>00375F00</v>
      </c>
      <c r="C48" s="4" t="s">
        <v>136</v>
      </c>
      <c r="E48" s="2" t="s">
        <v>35</v>
      </c>
      <c r="F48" s="2" t="str">
        <f t="shared" si="8"/>
        <v>00275F00</v>
      </c>
      <c r="G48" s="2" t="str">
        <f t="shared" si="10"/>
        <v>00375F00</v>
      </c>
      <c r="H48" s="4" t="s">
        <v>136</v>
      </c>
    </row>
    <row r="49" spans="1:9" ht="15">
      <c r="B49" s="10" t="s">
        <v>76</v>
      </c>
      <c r="C49" s="10"/>
      <c r="D49" s="10"/>
      <c r="E49" s="10"/>
      <c r="F49" s="10"/>
      <c r="G49" s="10"/>
      <c r="H49" s="10"/>
    </row>
    <row r="50" spans="1:9">
      <c r="A50" s="2" t="str">
        <f t="shared" ref="A50:A54" si="11">DEC2HEX(HEX2DEC(B50)-1048576,8)</f>
        <v>00276000</v>
      </c>
      <c r="B50" s="2" t="s">
        <v>77</v>
      </c>
      <c r="C50" s="2" t="s">
        <v>81</v>
      </c>
      <c r="D50" s="2" t="str">
        <f>SUBSTITUTE(D39,"cmp","mov")</f>
        <v>mov r1, 0x23</v>
      </c>
      <c r="E50" s="2" t="s">
        <v>130</v>
      </c>
      <c r="F50" s="2" t="str">
        <f t="shared" ref="F50:F54" si="12">DEC2HEX(HEX2DEC(G50)-1048576,8)</f>
        <v>00276000</v>
      </c>
      <c r="G50" s="2" t="s">
        <v>77</v>
      </c>
      <c r="H50" s="2" t="s">
        <v>81</v>
      </c>
      <c r="I50" s="2" t="str">
        <f>SUBSTITUTE(I39,"cmp","mov")</f>
        <v>mov r1, 0x23</v>
      </c>
    </row>
    <row r="51" spans="1:9">
      <c r="A51" s="2" t="str">
        <f t="shared" si="11"/>
        <v>00276004</v>
      </c>
      <c r="B51" s="2" t="str">
        <f t="shared" ref="B51:B54" si="13">DEC2HEX(HEX2DEC(B50)+4,8)</f>
        <v>00376004</v>
      </c>
      <c r="C51" s="2" t="s">
        <v>82</v>
      </c>
      <c r="D51" s="2" t="s">
        <v>79</v>
      </c>
      <c r="F51" s="2" t="str">
        <f t="shared" si="12"/>
        <v>00276004</v>
      </c>
      <c r="G51" s="2" t="str">
        <f t="shared" ref="G51:G54" si="14">DEC2HEX(HEX2DEC(G50)+4,8)</f>
        <v>00376004</v>
      </c>
      <c r="H51" s="3" t="s">
        <v>82</v>
      </c>
      <c r="I51" s="2" t="s">
        <v>79</v>
      </c>
    </row>
    <row r="52" spans="1:9">
      <c r="A52" s="2" t="str">
        <f t="shared" si="11"/>
        <v>00276008</v>
      </c>
      <c r="B52" s="2" t="str">
        <f t="shared" si="13"/>
        <v>00376008</v>
      </c>
      <c r="C52" s="2" t="s">
        <v>83</v>
      </c>
      <c r="D52" s="2" t="s">
        <v>80</v>
      </c>
      <c r="E52" s="2" t="s">
        <v>84</v>
      </c>
      <c r="F52" s="2" t="str">
        <f t="shared" si="12"/>
        <v>00276008</v>
      </c>
      <c r="G52" s="2" t="str">
        <f t="shared" si="14"/>
        <v>00376008</v>
      </c>
      <c r="H52" s="2" t="s">
        <v>83</v>
      </c>
      <c r="I52" s="2" t="s">
        <v>80</v>
      </c>
    </row>
    <row r="53" spans="1:9">
      <c r="A53" s="2" t="str">
        <f t="shared" si="11"/>
        <v>0027600C</v>
      </c>
      <c r="B53" s="2" t="str">
        <f t="shared" si="13"/>
        <v>0037600C</v>
      </c>
      <c r="C53" s="2" t="s">
        <v>7</v>
      </c>
      <c r="D53" s="2" t="s">
        <v>8</v>
      </c>
      <c r="F53" s="2" t="str">
        <f t="shared" si="12"/>
        <v>0027600C</v>
      </c>
      <c r="G53" s="2" t="str">
        <f t="shared" si="14"/>
        <v>0037600C</v>
      </c>
      <c r="H53" s="2" t="s">
        <v>7</v>
      </c>
      <c r="I53" s="2" t="s">
        <v>8</v>
      </c>
    </row>
    <row r="54" spans="1:9">
      <c r="A54" s="2" t="str">
        <f t="shared" si="11"/>
        <v>00276010</v>
      </c>
      <c r="B54" s="2" t="str">
        <f t="shared" si="13"/>
        <v>00376010</v>
      </c>
      <c r="C54" s="2" t="str">
        <f>C43</f>
        <v>ECB85B00</v>
      </c>
      <c r="F54" s="2" t="str">
        <f t="shared" si="12"/>
        <v>00276010</v>
      </c>
      <c r="G54" s="2" t="str">
        <f t="shared" si="14"/>
        <v>00376010</v>
      </c>
      <c r="H54" s="2" t="str">
        <f>H43</f>
        <v>ECB85B00</v>
      </c>
    </row>
    <row r="56" spans="1:9" ht="15">
      <c r="B56" s="10" t="s">
        <v>87</v>
      </c>
      <c r="C56" s="10"/>
      <c r="D56" s="10"/>
      <c r="E56" s="10"/>
      <c r="F56" s="10"/>
      <c r="G56" s="10"/>
      <c r="H56" s="10"/>
    </row>
    <row r="57" spans="1:9">
      <c r="A57" s="2" t="str">
        <f t="shared" ref="A57:A91" si="15">DEC2HEX(HEX2DEC(B57)-1048576,8)</f>
        <v>00345354</v>
      </c>
      <c r="B57" s="3" t="s">
        <v>139</v>
      </c>
      <c r="C57" s="4" t="s">
        <v>114</v>
      </c>
      <c r="D57" s="2">
        <f>HEX2DEC(C57)</f>
        <v>776</v>
      </c>
      <c r="F57" s="2" t="str">
        <f t="shared" ref="F57:F91" si="16">DEC2HEX(HEX2DEC(G57)-1048576,8)</f>
        <v>00345358</v>
      </c>
      <c r="G57" s="3" t="s">
        <v>140</v>
      </c>
      <c r="H57" s="2" t="str">
        <f>RIGHT(C57,2)&amp;LEFT(C57,2)</f>
        <v>0803</v>
      </c>
    </row>
    <row r="58" spans="1:9">
      <c r="A58" s="2" t="str">
        <f t="shared" si="15"/>
        <v>00345356</v>
      </c>
      <c r="B58" s="2" t="str">
        <f>DEC2HEX(HEX2DEC(B57)+2,8)</f>
        <v>00445356</v>
      </c>
      <c r="C58" s="4" t="s">
        <v>115</v>
      </c>
      <c r="D58" s="2">
        <f t="shared" ref="D58:D91" si="17">HEX2DEC(C58)</f>
        <v>777</v>
      </c>
      <c r="F58" s="2" t="str">
        <f t="shared" si="16"/>
        <v>0034535A</v>
      </c>
      <c r="G58" s="2" t="str">
        <f>DEC2HEX(HEX2DEC(G57)+2,8)</f>
        <v>0044535A</v>
      </c>
      <c r="H58" s="2" t="str">
        <f t="shared" ref="H58:H91" si="18">RIGHT(C58,2)&amp;LEFT(C58,2)</f>
        <v>0903</v>
      </c>
    </row>
    <row r="59" spans="1:9">
      <c r="A59" s="2" t="str">
        <f t="shared" si="15"/>
        <v>00345358</v>
      </c>
      <c r="B59" s="2" t="str">
        <f t="shared" ref="B59:B91" si="19">DEC2HEX(HEX2DEC(B58)+2,8)</f>
        <v>00445358</v>
      </c>
      <c r="C59" s="4" t="s">
        <v>116</v>
      </c>
      <c r="D59" s="2">
        <f t="shared" si="17"/>
        <v>778</v>
      </c>
      <c r="F59" s="2" t="str">
        <f t="shared" si="16"/>
        <v>0034535C</v>
      </c>
      <c r="G59" s="2" t="str">
        <f t="shared" ref="G59:G91" si="20">DEC2HEX(HEX2DEC(G58)+2,8)</f>
        <v>0044535C</v>
      </c>
      <c r="H59" s="2" t="str">
        <f t="shared" si="18"/>
        <v>0A03</v>
      </c>
    </row>
    <row r="60" spans="1:9">
      <c r="A60" s="2" t="str">
        <f t="shared" si="15"/>
        <v>0034535A</v>
      </c>
      <c r="B60" s="2" t="str">
        <f t="shared" si="19"/>
        <v>0044535A</v>
      </c>
      <c r="C60" s="4" t="s">
        <v>117</v>
      </c>
      <c r="D60" s="2">
        <f t="shared" si="17"/>
        <v>779</v>
      </c>
      <c r="F60" s="2" t="str">
        <f t="shared" si="16"/>
        <v>0034535E</v>
      </c>
      <c r="G60" s="2" t="str">
        <f t="shared" si="20"/>
        <v>0044535E</v>
      </c>
      <c r="H60" s="2" t="str">
        <f t="shared" si="18"/>
        <v>0B03</v>
      </c>
    </row>
    <row r="61" spans="1:9">
      <c r="A61" s="2" t="str">
        <f t="shared" si="15"/>
        <v>0034535C</v>
      </c>
      <c r="B61" s="2" t="str">
        <f t="shared" si="19"/>
        <v>0044535C</v>
      </c>
      <c r="C61" s="4" t="s">
        <v>118</v>
      </c>
      <c r="D61" s="2">
        <f t="shared" si="17"/>
        <v>780</v>
      </c>
      <c r="F61" s="2" t="str">
        <f t="shared" si="16"/>
        <v>00345360</v>
      </c>
      <c r="G61" s="2" t="str">
        <f t="shared" si="20"/>
        <v>00445360</v>
      </c>
      <c r="H61" s="2" t="str">
        <f t="shared" si="18"/>
        <v>0C03</v>
      </c>
    </row>
    <row r="62" spans="1:9">
      <c r="A62" s="2" t="str">
        <f t="shared" si="15"/>
        <v>0034535E</v>
      </c>
      <c r="B62" s="2" t="str">
        <f t="shared" si="19"/>
        <v>0044535E</v>
      </c>
      <c r="C62" s="4" t="s">
        <v>119</v>
      </c>
      <c r="D62" s="2">
        <f t="shared" si="17"/>
        <v>781</v>
      </c>
      <c r="F62" s="2" t="str">
        <f t="shared" si="16"/>
        <v>00345362</v>
      </c>
      <c r="G62" s="2" t="str">
        <f t="shared" si="20"/>
        <v>00445362</v>
      </c>
      <c r="H62" s="2" t="str">
        <f t="shared" si="18"/>
        <v>0D03</v>
      </c>
    </row>
    <row r="63" spans="1:9">
      <c r="A63" s="2" t="str">
        <f t="shared" si="15"/>
        <v>00345360</v>
      </c>
      <c r="B63" s="2" t="str">
        <f t="shared" si="19"/>
        <v>00445360</v>
      </c>
      <c r="C63" s="4" t="s">
        <v>120</v>
      </c>
      <c r="D63" s="2">
        <f t="shared" si="17"/>
        <v>782</v>
      </c>
      <c r="F63" s="2" t="str">
        <f t="shared" si="16"/>
        <v>00345364</v>
      </c>
      <c r="G63" s="2" t="str">
        <f t="shared" si="20"/>
        <v>00445364</v>
      </c>
      <c r="H63" s="2" t="str">
        <f t="shared" si="18"/>
        <v>0E03</v>
      </c>
    </row>
    <row r="64" spans="1:9">
      <c r="A64" s="2" t="str">
        <f t="shared" si="15"/>
        <v>00345362</v>
      </c>
      <c r="B64" s="2" t="str">
        <f t="shared" si="19"/>
        <v>00445362</v>
      </c>
      <c r="C64" s="4" t="s">
        <v>121</v>
      </c>
      <c r="D64" s="2">
        <f t="shared" si="17"/>
        <v>783</v>
      </c>
      <c r="F64" s="2" t="str">
        <f t="shared" si="16"/>
        <v>00345366</v>
      </c>
      <c r="G64" s="2" t="str">
        <f t="shared" si="20"/>
        <v>00445366</v>
      </c>
      <c r="H64" s="2" t="str">
        <f t="shared" si="18"/>
        <v>0F03</v>
      </c>
    </row>
    <row r="65" spans="1:8">
      <c r="A65" s="2" t="str">
        <f t="shared" si="15"/>
        <v>00345364</v>
      </c>
      <c r="B65" s="2" t="str">
        <f t="shared" si="19"/>
        <v>00445364</v>
      </c>
      <c r="C65" s="4" t="s">
        <v>122</v>
      </c>
      <c r="D65" s="2">
        <f t="shared" si="17"/>
        <v>784</v>
      </c>
      <c r="F65" s="2" t="str">
        <f t="shared" si="16"/>
        <v>00345368</v>
      </c>
      <c r="G65" s="2" t="str">
        <f t="shared" si="20"/>
        <v>00445368</v>
      </c>
      <c r="H65" s="2" t="str">
        <f t="shared" si="18"/>
        <v>1003</v>
      </c>
    </row>
    <row r="66" spans="1:8">
      <c r="A66" s="2" t="str">
        <f t="shared" si="15"/>
        <v>00345366</v>
      </c>
      <c r="B66" s="2" t="str">
        <f t="shared" si="19"/>
        <v>00445366</v>
      </c>
      <c r="C66" s="4" t="s">
        <v>123</v>
      </c>
      <c r="D66" s="2">
        <f t="shared" si="17"/>
        <v>785</v>
      </c>
      <c r="F66" s="2" t="str">
        <f t="shared" si="16"/>
        <v>0034536A</v>
      </c>
      <c r="G66" s="2" t="str">
        <f t="shared" si="20"/>
        <v>0044536A</v>
      </c>
      <c r="H66" s="2" t="str">
        <f t="shared" si="18"/>
        <v>1103</v>
      </c>
    </row>
    <row r="67" spans="1:8">
      <c r="A67" s="2" t="str">
        <f t="shared" si="15"/>
        <v>00345368</v>
      </c>
      <c r="B67" s="2" t="str">
        <f t="shared" si="19"/>
        <v>00445368</v>
      </c>
      <c r="C67" s="4" t="s">
        <v>89</v>
      </c>
      <c r="D67" s="2">
        <f t="shared" si="17"/>
        <v>786</v>
      </c>
      <c r="F67" s="2" t="str">
        <f t="shared" si="16"/>
        <v>0034536C</v>
      </c>
      <c r="G67" s="2" t="str">
        <f t="shared" si="20"/>
        <v>0044536C</v>
      </c>
      <c r="H67" s="2" t="str">
        <f t="shared" si="18"/>
        <v>1203</v>
      </c>
    </row>
    <row r="68" spans="1:8">
      <c r="A68" s="2" t="str">
        <f t="shared" si="15"/>
        <v>0034536A</v>
      </c>
      <c r="B68" s="2" t="str">
        <f t="shared" si="19"/>
        <v>0044536A</v>
      </c>
      <c r="C68" s="4" t="s">
        <v>90</v>
      </c>
      <c r="D68" s="2">
        <f t="shared" si="17"/>
        <v>787</v>
      </c>
      <c r="F68" s="2" t="str">
        <f t="shared" si="16"/>
        <v>0034536E</v>
      </c>
      <c r="G68" s="2" t="str">
        <f t="shared" si="20"/>
        <v>0044536E</v>
      </c>
      <c r="H68" s="2" t="str">
        <f t="shared" si="18"/>
        <v>1303</v>
      </c>
    </row>
    <row r="69" spans="1:8">
      <c r="A69" s="2" t="str">
        <f t="shared" si="15"/>
        <v>0034536C</v>
      </c>
      <c r="B69" s="2" t="str">
        <f t="shared" si="19"/>
        <v>0044536C</v>
      </c>
      <c r="C69" s="4" t="s">
        <v>91</v>
      </c>
      <c r="D69" s="2">
        <f t="shared" si="17"/>
        <v>788</v>
      </c>
      <c r="F69" s="2" t="str">
        <f t="shared" si="16"/>
        <v>00345370</v>
      </c>
      <c r="G69" s="2" t="str">
        <f t="shared" si="20"/>
        <v>00445370</v>
      </c>
      <c r="H69" s="2" t="str">
        <f t="shared" si="18"/>
        <v>1403</v>
      </c>
    </row>
    <row r="70" spans="1:8">
      <c r="A70" s="2" t="str">
        <f t="shared" si="15"/>
        <v>0034536E</v>
      </c>
      <c r="B70" s="2" t="str">
        <f t="shared" si="19"/>
        <v>0044536E</v>
      </c>
      <c r="C70" s="4" t="s">
        <v>92</v>
      </c>
      <c r="D70" s="2">
        <f t="shared" si="17"/>
        <v>789</v>
      </c>
      <c r="F70" s="2" t="str">
        <f t="shared" si="16"/>
        <v>00345372</v>
      </c>
      <c r="G70" s="2" t="str">
        <f t="shared" si="20"/>
        <v>00445372</v>
      </c>
      <c r="H70" s="2" t="str">
        <f t="shared" si="18"/>
        <v>1503</v>
      </c>
    </row>
    <row r="71" spans="1:8">
      <c r="A71" s="2" t="str">
        <f t="shared" si="15"/>
        <v>00345370</v>
      </c>
      <c r="B71" s="2" t="str">
        <f t="shared" si="19"/>
        <v>00445370</v>
      </c>
      <c r="C71" s="4" t="s">
        <v>93</v>
      </c>
      <c r="D71" s="2">
        <f t="shared" si="17"/>
        <v>790</v>
      </c>
      <c r="F71" s="2" t="str">
        <f t="shared" si="16"/>
        <v>00345374</v>
      </c>
      <c r="G71" s="2" t="str">
        <f t="shared" si="20"/>
        <v>00445374</v>
      </c>
      <c r="H71" s="2" t="str">
        <f t="shared" si="18"/>
        <v>1603</v>
      </c>
    </row>
    <row r="72" spans="1:8">
      <c r="A72" s="2" t="str">
        <f t="shared" si="15"/>
        <v>00345372</v>
      </c>
      <c r="B72" s="2" t="str">
        <f t="shared" si="19"/>
        <v>00445372</v>
      </c>
      <c r="C72" s="4" t="s">
        <v>94</v>
      </c>
      <c r="D72" s="2">
        <f t="shared" si="17"/>
        <v>791</v>
      </c>
      <c r="F72" s="2" t="str">
        <f t="shared" si="16"/>
        <v>00345376</v>
      </c>
      <c r="G72" s="2" t="str">
        <f t="shared" si="20"/>
        <v>00445376</v>
      </c>
      <c r="H72" s="2" t="str">
        <f t="shared" si="18"/>
        <v>1703</v>
      </c>
    </row>
    <row r="73" spans="1:8">
      <c r="A73" s="2" t="str">
        <f t="shared" si="15"/>
        <v>00345374</v>
      </c>
      <c r="B73" s="2" t="str">
        <f t="shared" si="19"/>
        <v>00445374</v>
      </c>
      <c r="C73" s="4" t="s">
        <v>95</v>
      </c>
      <c r="D73" s="2">
        <f t="shared" si="17"/>
        <v>792</v>
      </c>
      <c r="F73" s="2" t="str">
        <f t="shared" si="16"/>
        <v>00345378</v>
      </c>
      <c r="G73" s="2" t="str">
        <f t="shared" si="20"/>
        <v>00445378</v>
      </c>
      <c r="H73" s="2" t="str">
        <f t="shared" si="18"/>
        <v>1803</v>
      </c>
    </row>
    <row r="74" spans="1:8">
      <c r="A74" s="2" t="str">
        <f t="shared" si="15"/>
        <v>00345376</v>
      </c>
      <c r="B74" s="2" t="str">
        <f t="shared" si="19"/>
        <v>00445376</v>
      </c>
      <c r="C74" s="4" t="s">
        <v>96</v>
      </c>
      <c r="D74" s="2">
        <f t="shared" si="17"/>
        <v>793</v>
      </c>
      <c r="F74" s="2" t="str">
        <f t="shared" si="16"/>
        <v>0034537A</v>
      </c>
      <c r="G74" s="2" t="str">
        <f t="shared" si="20"/>
        <v>0044537A</v>
      </c>
      <c r="H74" s="2" t="str">
        <f t="shared" si="18"/>
        <v>1903</v>
      </c>
    </row>
    <row r="75" spans="1:8">
      <c r="A75" s="2" t="str">
        <f t="shared" si="15"/>
        <v>00345378</v>
      </c>
      <c r="B75" s="2" t="str">
        <f t="shared" si="19"/>
        <v>00445378</v>
      </c>
      <c r="C75" s="4" t="s">
        <v>97</v>
      </c>
      <c r="D75" s="2">
        <f t="shared" si="17"/>
        <v>794</v>
      </c>
      <c r="F75" s="2" t="str">
        <f t="shared" si="16"/>
        <v>0034537C</v>
      </c>
      <c r="G75" s="2" t="str">
        <f t="shared" si="20"/>
        <v>0044537C</v>
      </c>
      <c r="H75" s="2" t="str">
        <f t="shared" si="18"/>
        <v>1A03</v>
      </c>
    </row>
    <row r="76" spans="1:8">
      <c r="A76" s="2" t="str">
        <f t="shared" si="15"/>
        <v>0034537A</v>
      </c>
      <c r="B76" s="2" t="str">
        <f t="shared" si="19"/>
        <v>0044537A</v>
      </c>
      <c r="C76" s="4" t="s">
        <v>98</v>
      </c>
      <c r="D76" s="2">
        <f t="shared" si="17"/>
        <v>798</v>
      </c>
      <c r="F76" s="2" t="str">
        <f t="shared" si="16"/>
        <v>0034537E</v>
      </c>
      <c r="G76" s="2" t="str">
        <f t="shared" si="20"/>
        <v>0044537E</v>
      </c>
      <c r="H76" s="2" t="str">
        <f t="shared" si="18"/>
        <v>1E03</v>
      </c>
    </row>
    <row r="77" spans="1:8">
      <c r="A77" s="2" t="str">
        <f t="shared" si="15"/>
        <v>0034537C</v>
      </c>
      <c r="B77" s="2" t="str">
        <f t="shared" si="19"/>
        <v>0044537C</v>
      </c>
      <c r="C77" s="4" t="s">
        <v>99</v>
      </c>
      <c r="D77" s="2">
        <f t="shared" si="17"/>
        <v>799</v>
      </c>
      <c r="F77" s="2" t="str">
        <f t="shared" si="16"/>
        <v>00345380</v>
      </c>
      <c r="G77" s="2" t="str">
        <f t="shared" si="20"/>
        <v>00445380</v>
      </c>
      <c r="H77" s="2" t="str">
        <f t="shared" si="18"/>
        <v>1F03</v>
      </c>
    </row>
    <row r="78" spans="1:8">
      <c r="A78" s="2" t="str">
        <f t="shared" si="15"/>
        <v>0034537E</v>
      </c>
      <c r="B78" s="2" t="str">
        <f t="shared" si="19"/>
        <v>0044537E</v>
      </c>
      <c r="C78" s="4" t="s">
        <v>100</v>
      </c>
      <c r="D78" s="2">
        <f t="shared" si="17"/>
        <v>800</v>
      </c>
      <c r="F78" s="2" t="str">
        <f t="shared" si="16"/>
        <v>00345382</v>
      </c>
      <c r="G78" s="2" t="str">
        <f t="shared" si="20"/>
        <v>00445382</v>
      </c>
      <c r="H78" s="2" t="str">
        <f t="shared" si="18"/>
        <v>2003</v>
      </c>
    </row>
    <row r="79" spans="1:8">
      <c r="A79" s="2" t="str">
        <f t="shared" si="15"/>
        <v>00345380</v>
      </c>
      <c r="B79" s="2" t="str">
        <f t="shared" si="19"/>
        <v>00445380</v>
      </c>
      <c r="C79" s="4" t="s">
        <v>101</v>
      </c>
      <c r="D79" s="2">
        <f t="shared" si="17"/>
        <v>801</v>
      </c>
      <c r="F79" s="2" t="str">
        <f t="shared" si="16"/>
        <v>00345384</v>
      </c>
      <c r="G79" s="2" t="str">
        <f t="shared" si="20"/>
        <v>00445384</v>
      </c>
      <c r="H79" s="2" t="str">
        <f t="shared" si="18"/>
        <v>2103</v>
      </c>
    </row>
    <row r="80" spans="1:8">
      <c r="A80" s="2" t="str">
        <f t="shared" si="15"/>
        <v>00345382</v>
      </c>
      <c r="B80" s="2" t="str">
        <f t="shared" si="19"/>
        <v>00445382</v>
      </c>
      <c r="C80" s="4" t="s">
        <v>102</v>
      </c>
      <c r="D80" s="2">
        <f t="shared" si="17"/>
        <v>802</v>
      </c>
      <c r="F80" s="2" t="str">
        <f t="shared" si="16"/>
        <v>00345386</v>
      </c>
      <c r="G80" s="2" t="str">
        <f t="shared" si="20"/>
        <v>00445386</v>
      </c>
      <c r="H80" s="2" t="str">
        <f t="shared" si="18"/>
        <v>2203</v>
      </c>
    </row>
    <row r="81" spans="1:9">
      <c r="A81" s="2" t="str">
        <f t="shared" si="15"/>
        <v>00345384</v>
      </c>
      <c r="B81" s="2" t="str">
        <f t="shared" si="19"/>
        <v>00445384</v>
      </c>
      <c r="C81" s="4" t="s">
        <v>103</v>
      </c>
      <c r="D81" s="2">
        <f t="shared" si="17"/>
        <v>803</v>
      </c>
      <c r="F81" s="2" t="str">
        <f t="shared" si="16"/>
        <v>00345388</v>
      </c>
      <c r="G81" s="2" t="str">
        <f t="shared" si="20"/>
        <v>00445388</v>
      </c>
      <c r="H81" s="2" t="str">
        <f t="shared" si="18"/>
        <v>2303</v>
      </c>
    </row>
    <row r="82" spans="1:9">
      <c r="A82" s="2" t="str">
        <f t="shared" si="15"/>
        <v>00345386</v>
      </c>
      <c r="B82" s="2" t="str">
        <f t="shared" si="19"/>
        <v>00445386</v>
      </c>
      <c r="C82" s="4" t="s">
        <v>104</v>
      </c>
      <c r="D82" s="2">
        <f t="shared" si="17"/>
        <v>804</v>
      </c>
      <c r="F82" s="2" t="str">
        <f t="shared" si="16"/>
        <v>0034538A</v>
      </c>
      <c r="G82" s="2" t="str">
        <f t="shared" si="20"/>
        <v>0044538A</v>
      </c>
      <c r="H82" s="2" t="str">
        <f t="shared" si="18"/>
        <v>2403</v>
      </c>
    </row>
    <row r="83" spans="1:9">
      <c r="A83" s="2" t="str">
        <f t="shared" si="15"/>
        <v>00345388</v>
      </c>
      <c r="B83" s="2" t="str">
        <f t="shared" si="19"/>
        <v>00445388</v>
      </c>
      <c r="C83" s="4" t="s">
        <v>105</v>
      </c>
      <c r="D83" s="2">
        <f t="shared" si="17"/>
        <v>805</v>
      </c>
      <c r="F83" s="2" t="str">
        <f t="shared" si="16"/>
        <v>0034538C</v>
      </c>
      <c r="G83" s="2" t="str">
        <f t="shared" si="20"/>
        <v>0044538C</v>
      </c>
      <c r="H83" s="2" t="str">
        <f t="shared" si="18"/>
        <v>2503</v>
      </c>
    </row>
    <row r="84" spans="1:9">
      <c r="A84" s="2" t="str">
        <f t="shared" si="15"/>
        <v>0034538A</v>
      </c>
      <c r="B84" s="2" t="str">
        <f t="shared" si="19"/>
        <v>0044538A</v>
      </c>
      <c r="C84" s="4" t="s">
        <v>106</v>
      </c>
      <c r="D84" s="2">
        <f t="shared" si="17"/>
        <v>806</v>
      </c>
      <c r="F84" s="2" t="str">
        <f t="shared" si="16"/>
        <v>0034538E</v>
      </c>
      <c r="G84" s="2" t="str">
        <f t="shared" si="20"/>
        <v>0044538E</v>
      </c>
      <c r="H84" s="2" t="str">
        <f t="shared" si="18"/>
        <v>2603</v>
      </c>
    </row>
    <row r="85" spans="1:9">
      <c r="A85" s="2" t="str">
        <f t="shared" si="15"/>
        <v>0034538C</v>
      </c>
      <c r="B85" s="2" t="str">
        <f t="shared" si="19"/>
        <v>0044538C</v>
      </c>
      <c r="C85" s="4" t="s">
        <v>107</v>
      </c>
      <c r="D85" s="2">
        <f t="shared" si="17"/>
        <v>836</v>
      </c>
      <c r="F85" s="2" t="str">
        <f t="shared" si="16"/>
        <v>00345390</v>
      </c>
      <c r="G85" s="2" t="str">
        <f t="shared" si="20"/>
        <v>00445390</v>
      </c>
      <c r="H85" s="2" t="str">
        <f t="shared" si="18"/>
        <v>4403</v>
      </c>
    </row>
    <row r="86" spans="1:9">
      <c r="A86" s="2" t="str">
        <f t="shared" si="15"/>
        <v>0034538E</v>
      </c>
      <c r="B86" s="2" t="str">
        <f t="shared" si="19"/>
        <v>0044538E</v>
      </c>
      <c r="C86" s="4" t="s">
        <v>108</v>
      </c>
      <c r="D86" s="2">
        <f t="shared" si="17"/>
        <v>921</v>
      </c>
      <c r="F86" s="2" t="str">
        <f t="shared" si="16"/>
        <v>00345392</v>
      </c>
      <c r="G86" s="2" t="str">
        <f t="shared" si="20"/>
        <v>00445392</v>
      </c>
      <c r="H86" s="2" t="str">
        <f t="shared" si="18"/>
        <v>9903</v>
      </c>
    </row>
    <row r="87" spans="1:9">
      <c r="A87" s="2" t="str">
        <f t="shared" si="15"/>
        <v>00345390</v>
      </c>
      <c r="B87" s="2" t="str">
        <f t="shared" si="19"/>
        <v>00445390</v>
      </c>
      <c r="C87" s="4" t="s">
        <v>109</v>
      </c>
      <c r="D87" s="2">
        <f t="shared" si="17"/>
        <v>922</v>
      </c>
      <c r="F87" s="2" t="str">
        <f t="shared" si="16"/>
        <v>00345394</v>
      </c>
      <c r="G87" s="2" t="str">
        <f t="shared" si="20"/>
        <v>00445394</v>
      </c>
      <c r="H87" s="2" t="str">
        <f t="shared" si="18"/>
        <v>9A03</v>
      </c>
    </row>
    <row r="88" spans="1:9">
      <c r="A88" s="2" t="str">
        <f t="shared" si="15"/>
        <v>00345392</v>
      </c>
      <c r="B88" s="2" t="str">
        <f t="shared" si="19"/>
        <v>00445392</v>
      </c>
      <c r="C88" s="4" t="s">
        <v>110</v>
      </c>
      <c r="D88" s="2">
        <f t="shared" si="17"/>
        <v>923</v>
      </c>
      <c r="F88" s="2" t="str">
        <f t="shared" si="16"/>
        <v>00345396</v>
      </c>
      <c r="G88" s="2" t="str">
        <f t="shared" si="20"/>
        <v>00445396</v>
      </c>
      <c r="H88" s="2" t="str">
        <f t="shared" si="18"/>
        <v>9B03</v>
      </c>
    </row>
    <row r="89" spans="1:9">
      <c r="A89" s="2" t="str">
        <f t="shared" si="15"/>
        <v>00345394</v>
      </c>
      <c r="B89" s="2" t="str">
        <f t="shared" si="19"/>
        <v>00445394</v>
      </c>
      <c r="C89" s="4" t="s">
        <v>111</v>
      </c>
      <c r="D89" s="2">
        <f t="shared" si="17"/>
        <v>924</v>
      </c>
      <c r="F89" s="2" t="str">
        <f t="shared" si="16"/>
        <v>00345398</v>
      </c>
      <c r="G89" s="2" t="str">
        <f t="shared" si="20"/>
        <v>00445398</v>
      </c>
      <c r="H89" s="2" t="str">
        <f t="shared" si="18"/>
        <v>9C03</v>
      </c>
    </row>
    <row r="90" spans="1:9">
      <c r="A90" s="2" t="str">
        <f t="shared" si="15"/>
        <v>00345396</v>
      </c>
      <c r="B90" s="2" t="str">
        <f t="shared" si="19"/>
        <v>00445396</v>
      </c>
      <c r="C90" s="4" t="s">
        <v>112</v>
      </c>
      <c r="D90" s="2">
        <f t="shared" si="17"/>
        <v>925</v>
      </c>
      <c r="F90" s="2" t="str">
        <f t="shared" si="16"/>
        <v>0034539A</v>
      </c>
      <c r="G90" s="2" t="str">
        <f t="shared" si="20"/>
        <v>0044539A</v>
      </c>
      <c r="H90" s="2" t="str">
        <f t="shared" si="18"/>
        <v>9D03</v>
      </c>
    </row>
    <row r="91" spans="1:9">
      <c r="A91" s="2" t="str">
        <f t="shared" si="15"/>
        <v>00345398</v>
      </c>
      <c r="B91" s="2" t="str">
        <f t="shared" si="19"/>
        <v>00445398</v>
      </c>
      <c r="C91" s="4" t="s">
        <v>113</v>
      </c>
      <c r="D91" s="2">
        <f t="shared" si="17"/>
        <v>926</v>
      </c>
      <c r="F91" s="2" t="str">
        <f t="shared" si="16"/>
        <v>0034539C</v>
      </c>
      <c r="G91" s="2" t="str">
        <f t="shared" si="20"/>
        <v>0044539C</v>
      </c>
      <c r="H91" s="2" t="str">
        <f t="shared" si="18"/>
        <v>9E03</v>
      </c>
    </row>
    <row r="92" spans="1:9">
      <c r="C92" s="2" t="s">
        <v>133</v>
      </c>
      <c r="G92" s="4"/>
      <c r="H92" s="2" t="str">
        <f>_xlfn.CONCAT(H57:H91)</f>
        <v>080309030A030B030C030D030E030F0310031103120313031403150316031703180319031A031E031F032003210322032303240325032603440399039A039B039C039D039E03</v>
      </c>
      <c r="I92" s="2" t="str">
        <f>DEC2HEX(LEN(H92)/2)</f>
        <v>46</v>
      </c>
    </row>
    <row r="93" spans="1:9">
      <c r="G93" s="4"/>
    </row>
    <row r="94" spans="1:9">
      <c r="G94" s="4"/>
    </row>
    <row r="95" spans="1:9" ht="15">
      <c r="B95" s="10" t="s">
        <v>76</v>
      </c>
      <c r="C95" s="10"/>
      <c r="D95" s="10"/>
      <c r="E95" s="10"/>
      <c r="F95" s="10"/>
      <c r="G95" s="10"/>
      <c r="H95" s="10"/>
    </row>
    <row r="96" spans="1:9">
      <c r="A96" s="2" t="str">
        <f t="shared" ref="A96:A130" si="21">DEC2HEX(HEX2DEC(B96)-1048576,8)</f>
        <v>004BB8EC</v>
      </c>
      <c r="B96" s="2" t="s">
        <v>88</v>
      </c>
      <c r="C96" s="2" t="s">
        <v>36</v>
      </c>
      <c r="D96" s="2">
        <f t="shared" ref="D96:D130" si="22">HEX2DEC(C96)</f>
        <v>807</v>
      </c>
      <c r="F96" s="2" t="str">
        <f t="shared" ref="F96:F130" si="23">DEC2HEX(HEX2DEC(G96)-1048576,8)</f>
        <v>004BB8EC</v>
      </c>
      <c r="G96" s="2" t="s">
        <v>88</v>
      </c>
      <c r="H96" s="2" t="str">
        <f>RIGHT(C96,2)&amp;LEFT(C96,2)</f>
        <v>2703</v>
      </c>
    </row>
    <row r="97" spans="1:8">
      <c r="A97" s="2" t="str">
        <f t="shared" si="21"/>
        <v>004BB8EE</v>
      </c>
      <c r="B97" s="2" t="str">
        <f t="shared" ref="B97:B130" si="24">DEC2HEX(HEX2DEC(B96)+2,8)</f>
        <v>005BB8EE</v>
      </c>
      <c r="C97" s="2" t="s">
        <v>37</v>
      </c>
      <c r="D97" s="2">
        <f t="shared" si="22"/>
        <v>808</v>
      </c>
      <c r="F97" s="2" t="str">
        <f t="shared" si="23"/>
        <v>004BB8EE</v>
      </c>
      <c r="G97" s="2" t="str">
        <f t="shared" ref="G97:G130" si="25">DEC2HEX(HEX2DEC(G96)+2,8)</f>
        <v>005BB8EE</v>
      </c>
      <c r="H97" s="2" t="str">
        <f t="shared" ref="H97:H130" si="26">RIGHT(C97,2)&amp;LEFT(C97,2)</f>
        <v>2803</v>
      </c>
    </row>
    <row r="98" spans="1:8">
      <c r="A98" s="2" t="str">
        <f t="shared" si="21"/>
        <v>004BB8F0</v>
      </c>
      <c r="B98" s="2" t="str">
        <f t="shared" si="24"/>
        <v>005BB8F0</v>
      </c>
      <c r="C98" s="2" t="s">
        <v>38</v>
      </c>
      <c r="D98" s="2">
        <f t="shared" si="22"/>
        <v>809</v>
      </c>
      <c r="F98" s="2" t="str">
        <f t="shared" si="23"/>
        <v>004BB8F0</v>
      </c>
      <c r="G98" s="2" t="str">
        <f t="shared" si="25"/>
        <v>005BB8F0</v>
      </c>
      <c r="H98" s="2" t="str">
        <f t="shared" si="26"/>
        <v>2903</v>
      </c>
    </row>
    <row r="99" spans="1:8">
      <c r="A99" s="2" t="str">
        <f t="shared" si="21"/>
        <v>004BB8F2</v>
      </c>
      <c r="B99" s="2" t="str">
        <f t="shared" si="24"/>
        <v>005BB8F2</v>
      </c>
      <c r="C99" s="2" t="s">
        <v>39</v>
      </c>
      <c r="D99" s="2">
        <f t="shared" si="22"/>
        <v>810</v>
      </c>
      <c r="F99" s="2" t="str">
        <f t="shared" si="23"/>
        <v>004BB8F2</v>
      </c>
      <c r="G99" s="2" t="str">
        <f t="shared" si="25"/>
        <v>005BB8F2</v>
      </c>
      <c r="H99" s="2" t="str">
        <f t="shared" si="26"/>
        <v>2A03</v>
      </c>
    </row>
    <row r="100" spans="1:8">
      <c r="A100" s="2" t="str">
        <f t="shared" si="21"/>
        <v>004BB8F4</v>
      </c>
      <c r="B100" s="2" t="str">
        <f t="shared" si="24"/>
        <v>005BB8F4</v>
      </c>
      <c r="C100" s="2" t="s">
        <v>40</v>
      </c>
      <c r="D100" s="2">
        <f t="shared" si="22"/>
        <v>811</v>
      </c>
      <c r="F100" s="2" t="str">
        <f t="shared" si="23"/>
        <v>004BB8F4</v>
      </c>
      <c r="G100" s="2" t="str">
        <f t="shared" si="25"/>
        <v>005BB8F4</v>
      </c>
      <c r="H100" s="2" t="str">
        <f t="shared" si="26"/>
        <v>2B03</v>
      </c>
    </row>
    <row r="101" spans="1:8">
      <c r="A101" s="2" t="str">
        <f t="shared" si="21"/>
        <v>004BB8F6</v>
      </c>
      <c r="B101" s="2" t="str">
        <f t="shared" si="24"/>
        <v>005BB8F6</v>
      </c>
      <c r="C101" s="2" t="s">
        <v>41</v>
      </c>
      <c r="D101" s="2">
        <f t="shared" si="22"/>
        <v>812</v>
      </c>
      <c r="F101" s="2" t="str">
        <f t="shared" si="23"/>
        <v>004BB8F6</v>
      </c>
      <c r="G101" s="2" t="str">
        <f t="shared" si="25"/>
        <v>005BB8F6</v>
      </c>
      <c r="H101" s="2" t="str">
        <f t="shared" si="26"/>
        <v>2C03</v>
      </c>
    </row>
    <row r="102" spans="1:8">
      <c r="A102" s="2" t="str">
        <f t="shared" si="21"/>
        <v>004BB8F8</v>
      </c>
      <c r="B102" s="2" t="str">
        <f t="shared" si="24"/>
        <v>005BB8F8</v>
      </c>
      <c r="C102" s="2" t="s">
        <v>42</v>
      </c>
      <c r="D102" s="2">
        <f t="shared" si="22"/>
        <v>813</v>
      </c>
      <c r="F102" s="2" t="str">
        <f t="shared" si="23"/>
        <v>004BB8F8</v>
      </c>
      <c r="G102" s="2" t="str">
        <f t="shared" si="25"/>
        <v>005BB8F8</v>
      </c>
      <c r="H102" s="2" t="str">
        <f t="shared" si="26"/>
        <v>2D03</v>
      </c>
    </row>
    <row r="103" spans="1:8">
      <c r="A103" s="2" t="str">
        <f t="shared" si="21"/>
        <v>004BB8FA</v>
      </c>
      <c r="B103" s="2" t="str">
        <f t="shared" si="24"/>
        <v>005BB8FA</v>
      </c>
      <c r="C103" s="2" t="s">
        <v>43</v>
      </c>
      <c r="D103" s="2">
        <f t="shared" si="22"/>
        <v>814</v>
      </c>
      <c r="F103" s="2" t="str">
        <f t="shared" si="23"/>
        <v>004BB8FA</v>
      </c>
      <c r="G103" s="2" t="str">
        <f t="shared" si="25"/>
        <v>005BB8FA</v>
      </c>
      <c r="H103" s="2" t="str">
        <f t="shared" si="26"/>
        <v>2E03</v>
      </c>
    </row>
    <row r="104" spans="1:8">
      <c r="A104" s="2" t="str">
        <f t="shared" si="21"/>
        <v>004BB8FC</v>
      </c>
      <c r="B104" s="2" t="str">
        <f t="shared" si="24"/>
        <v>005BB8FC</v>
      </c>
      <c r="C104" s="2" t="s">
        <v>44</v>
      </c>
      <c r="D104" s="2">
        <f t="shared" si="22"/>
        <v>815</v>
      </c>
      <c r="F104" s="2" t="str">
        <f t="shared" si="23"/>
        <v>004BB8FC</v>
      </c>
      <c r="G104" s="2" t="str">
        <f t="shared" si="25"/>
        <v>005BB8FC</v>
      </c>
      <c r="H104" s="2" t="str">
        <f t="shared" si="26"/>
        <v>2F03</v>
      </c>
    </row>
    <row r="105" spans="1:8">
      <c r="A105" s="2" t="str">
        <f t="shared" si="21"/>
        <v>004BB8FE</v>
      </c>
      <c r="B105" s="2" t="str">
        <f t="shared" si="24"/>
        <v>005BB8FE</v>
      </c>
      <c r="C105" s="2" t="s">
        <v>45</v>
      </c>
      <c r="D105" s="2">
        <f t="shared" si="22"/>
        <v>816</v>
      </c>
      <c r="F105" s="2" t="str">
        <f t="shared" si="23"/>
        <v>004BB8FE</v>
      </c>
      <c r="G105" s="2" t="str">
        <f t="shared" si="25"/>
        <v>005BB8FE</v>
      </c>
      <c r="H105" s="2" t="str">
        <f t="shared" si="26"/>
        <v>3003</v>
      </c>
    </row>
    <row r="106" spans="1:8">
      <c r="A106" s="2" t="str">
        <f t="shared" si="21"/>
        <v>004BB900</v>
      </c>
      <c r="B106" s="2" t="str">
        <f t="shared" si="24"/>
        <v>005BB900</v>
      </c>
      <c r="C106" s="2" t="s">
        <v>46</v>
      </c>
      <c r="D106" s="2">
        <f t="shared" si="22"/>
        <v>817</v>
      </c>
      <c r="F106" s="2" t="str">
        <f t="shared" si="23"/>
        <v>004BB900</v>
      </c>
      <c r="G106" s="2" t="str">
        <f t="shared" si="25"/>
        <v>005BB900</v>
      </c>
      <c r="H106" s="2" t="str">
        <f t="shared" si="26"/>
        <v>3103</v>
      </c>
    </row>
    <row r="107" spans="1:8">
      <c r="A107" s="2" t="str">
        <f t="shared" si="21"/>
        <v>004BB902</v>
      </c>
      <c r="B107" s="2" t="str">
        <f t="shared" si="24"/>
        <v>005BB902</v>
      </c>
      <c r="C107" s="2" t="s">
        <v>47</v>
      </c>
      <c r="D107" s="2">
        <f t="shared" si="22"/>
        <v>818</v>
      </c>
      <c r="F107" s="2" t="str">
        <f t="shared" si="23"/>
        <v>004BB902</v>
      </c>
      <c r="G107" s="2" t="str">
        <f t="shared" si="25"/>
        <v>005BB902</v>
      </c>
      <c r="H107" s="2" t="str">
        <f t="shared" si="26"/>
        <v>3203</v>
      </c>
    </row>
    <row r="108" spans="1:8">
      <c r="A108" s="2" t="str">
        <f t="shared" si="21"/>
        <v>004BB904</v>
      </c>
      <c r="B108" s="2" t="str">
        <f t="shared" si="24"/>
        <v>005BB904</v>
      </c>
      <c r="C108" s="2" t="s">
        <v>48</v>
      </c>
      <c r="D108" s="2">
        <f t="shared" si="22"/>
        <v>819</v>
      </c>
      <c r="F108" s="2" t="str">
        <f t="shared" si="23"/>
        <v>004BB904</v>
      </c>
      <c r="G108" s="2" t="str">
        <f t="shared" si="25"/>
        <v>005BB904</v>
      </c>
      <c r="H108" s="2" t="str">
        <f t="shared" si="26"/>
        <v>3303</v>
      </c>
    </row>
    <row r="109" spans="1:8">
      <c r="A109" s="2" t="str">
        <f t="shared" si="21"/>
        <v>004BB906</v>
      </c>
      <c r="B109" s="2" t="str">
        <f t="shared" si="24"/>
        <v>005BB906</v>
      </c>
      <c r="C109" s="2" t="s">
        <v>49</v>
      </c>
      <c r="D109" s="2">
        <f t="shared" si="22"/>
        <v>820</v>
      </c>
      <c r="F109" s="2" t="str">
        <f t="shared" si="23"/>
        <v>004BB906</v>
      </c>
      <c r="G109" s="2" t="str">
        <f t="shared" si="25"/>
        <v>005BB906</v>
      </c>
      <c r="H109" s="2" t="str">
        <f t="shared" si="26"/>
        <v>3403</v>
      </c>
    </row>
    <row r="110" spans="1:8">
      <c r="A110" s="2" t="str">
        <f t="shared" si="21"/>
        <v>004BB908</v>
      </c>
      <c r="B110" s="2" t="str">
        <f t="shared" si="24"/>
        <v>005BB908</v>
      </c>
      <c r="C110" s="2" t="s">
        <v>50</v>
      </c>
      <c r="D110" s="2">
        <f t="shared" si="22"/>
        <v>821</v>
      </c>
      <c r="F110" s="2" t="str">
        <f t="shared" si="23"/>
        <v>004BB908</v>
      </c>
      <c r="G110" s="2" t="str">
        <f t="shared" si="25"/>
        <v>005BB908</v>
      </c>
      <c r="H110" s="2" t="str">
        <f t="shared" si="26"/>
        <v>3503</v>
      </c>
    </row>
    <row r="111" spans="1:8">
      <c r="A111" s="2" t="str">
        <f t="shared" si="21"/>
        <v>004BB90A</v>
      </c>
      <c r="B111" s="2" t="str">
        <f t="shared" si="24"/>
        <v>005BB90A</v>
      </c>
      <c r="C111" s="2" t="s">
        <v>51</v>
      </c>
      <c r="D111" s="2">
        <f t="shared" si="22"/>
        <v>822</v>
      </c>
      <c r="F111" s="2" t="str">
        <f t="shared" si="23"/>
        <v>004BB90A</v>
      </c>
      <c r="G111" s="2" t="str">
        <f t="shared" si="25"/>
        <v>005BB90A</v>
      </c>
      <c r="H111" s="2" t="str">
        <f t="shared" si="26"/>
        <v>3603</v>
      </c>
    </row>
    <row r="112" spans="1:8">
      <c r="A112" s="2" t="str">
        <f t="shared" si="21"/>
        <v>004BB90C</v>
      </c>
      <c r="B112" s="2" t="str">
        <f t="shared" si="24"/>
        <v>005BB90C</v>
      </c>
      <c r="C112" s="2" t="s">
        <v>52</v>
      </c>
      <c r="D112" s="2">
        <f t="shared" si="22"/>
        <v>823</v>
      </c>
      <c r="F112" s="2" t="str">
        <f t="shared" si="23"/>
        <v>004BB90C</v>
      </c>
      <c r="G112" s="2" t="str">
        <f t="shared" si="25"/>
        <v>005BB90C</v>
      </c>
      <c r="H112" s="2" t="str">
        <f t="shared" si="26"/>
        <v>3703</v>
      </c>
    </row>
    <row r="113" spans="1:8">
      <c r="A113" s="2" t="str">
        <f t="shared" si="21"/>
        <v>004BB90E</v>
      </c>
      <c r="B113" s="2" t="str">
        <f t="shared" si="24"/>
        <v>005BB90E</v>
      </c>
      <c r="C113" s="2" t="s">
        <v>53</v>
      </c>
      <c r="D113" s="2">
        <f t="shared" si="22"/>
        <v>824</v>
      </c>
      <c r="F113" s="2" t="str">
        <f t="shared" si="23"/>
        <v>004BB90E</v>
      </c>
      <c r="G113" s="2" t="str">
        <f t="shared" si="25"/>
        <v>005BB90E</v>
      </c>
      <c r="H113" s="2" t="str">
        <f t="shared" si="26"/>
        <v>3803</v>
      </c>
    </row>
    <row r="114" spans="1:8">
      <c r="A114" s="2" t="str">
        <f t="shared" si="21"/>
        <v>004BB910</v>
      </c>
      <c r="B114" s="2" t="str">
        <f t="shared" si="24"/>
        <v>005BB910</v>
      </c>
      <c r="C114" s="2" t="s">
        <v>54</v>
      </c>
      <c r="D114" s="2">
        <f t="shared" si="22"/>
        <v>825</v>
      </c>
      <c r="F114" s="2" t="str">
        <f t="shared" si="23"/>
        <v>004BB910</v>
      </c>
      <c r="G114" s="2" t="str">
        <f t="shared" si="25"/>
        <v>005BB910</v>
      </c>
      <c r="H114" s="2" t="str">
        <f t="shared" si="26"/>
        <v>3903</v>
      </c>
    </row>
    <row r="115" spans="1:8">
      <c r="A115" s="2" t="str">
        <f t="shared" si="21"/>
        <v>004BB912</v>
      </c>
      <c r="B115" s="2" t="str">
        <f t="shared" si="24"/>
        <v>005BB912</v>
      </c>
      <c r="C115" s="2" t="s">
        <v>55</v>
      </c>
      <c r="D115" s="2">
        <f t="shared" si="22"/>
        <v>826</v>
      </c>
      <c r="F115" s="2" t="str">
        <f t="shared" si="23"/>
        <v>004BB912</v>
      </c>
      <c r="G115" s="2" t="str">
        <f t="shared" si="25"/>
        <v>005BB912</v>
      </c>
      <c r="H115" s="2" t="str">
        <f t="shared" si="26"/>
        <v>3A03</v>
      </c>
    </row>
    <row r="116" spans="1:8">
      <c r="A116" s="2" t="str">
        <f t="shared" si="21"/>
        <v>004BB914</v>
      </c>
      <c r="B116" s="2" t="str">
        <f t="shared" si="24"/>
        <v>005BB914</v>
      </c>
      <c r="C116" s="2" t="s">
        <v>56</v>
      </c>
      <c r="D116" s="2">
        <f t="shared" si="22"/>
        <v>827</v>
      </c>
      <c r="F116" s="2" t="str">
        <f t="shared" si="23"/>
        <v>004BB914</v>
      </c>
      <c r="G116" s="2" t="str">
        <f t="shared" si="25"/>
        <v>005BB914</v>
      </c>
      <c r="H116" s="2" t="str">
        <f t="shared" si="26"/>
        <v>3B03</v>
      </c>
    </row>
    <row r="117" spans="1:8">
      <c r="A117" s="2" t="str">
        <f t="shared" si="21"/>
        <v>004BB916</v>
      </c>
      <c r="B117" s="2" t="str">
        <f t="shared" si="24"/>
        <v>005BB916</v>
      </c>
      <c r="C117" s="2" t="s">
        <v>57</v>
      </c>
      <c r="D117" s="2">
        <f t="shared" si="22"/>
        <v>828</v>
      </c>
      <c r="F117" s="2" t="str">
        <f t="shared" si="23"/>
        <v>004BB916</v>
      </c>
      <c r="G117" s="2" t="str">
        <f t="shared" si="25"/>
        <v>005BB916</v>
      </c>
      <c r="H117" s="2" t="str">
        <f t="shared" si="26"/>
        <v>3C03</v>
      </c>
    </row>
    <row r="118" spans="1:8">
      <c r="A118" s="2" t="str">
        <f t="shared" si="21"/>
        <v>004BB918</v>
      </c>
      <c r="B118" s="2" t="str">
        <f t="shared" si="24"/>
        <v>005BB918</v>
      </c>
      <c r="C118" s="2" t="s">
        <v>58</v>
      </c>
      <c r="D118" s="2">
        <f t="shared" si="22"/>
        <v>829</v>
      </c>
      <c r="F118" s="2" t="str">
        <f t="shared" si="23"/>
        <v>004BB918</v>
      </c>
      <c r="G118" s="2" t="str">
        <f t="shared" si="25"/>
        <v>005BB918</v>
      </c>
      <c r="H118" s="2" t="str">
        <f t="shared" si="26"/>
        <v>3D03</v>
      </c>
    </row>
    <row r="119" spans="1:8">
      <c r="A119" s="2" t="str">
        <f t="shared" si="21"/>
        <v>004BB91A</v>
      </c>
      <c r="B119" s="2" t="str">
        <f t="shared" si="24"/>
        <v>005BB91A</v>
      </c>
      <c r="C119" s="2" t="s">
        <v>59</v>
      </c>
      <c r="D119" s="2">
        <f t="shared" si="22"/>
        <v>830</v>
      </c>
      <c r="F119" s="2" t="str">
        <f t="shared" si="23"/>
        <v>004BB91A</v>
      </c>
      <c r="G119" s="2" t="str">
        <f t="shared" si="25"/>
        <v>005BB91A</v>
      </c>
      <c r="H119" s="2" t="str">
        <f t="shared" si="26"/>
        <v>3E03</v>
      </c>
    </row>
    <row r="120" spans="1:8">
      <c r="A120" s="2" t="str">
        <f t="shared" si="21"/>
        <v>004BB91C</v>
      </c>
      <c r="B120" s="2" t="str">
        <f t="shared" si="24"/>
        <v>005BB91C</v>
      </c>
      <c r="C120" s="2" t="s">
        <v>60</v>
      </c>
      <c r="D120" s="2">
        <f t="shared" si="22"/>
        <v>831</v>
      </c>
      <c r="F120" s="2" t="str">
        <f t="shared" si="23"/>
        <v>004BB91C</v>
      </c>
      <c r="G120" s="2" t="str">
        <f t="shared" si="25"/>
        <v>005BB91C</v>
      </c>
      <c r="H120" s="2" t="str">
        <f t="shared" si="26"/>
        <v>3F03</v>
      </c>
    </row>
    <row r="121" spans="1:8">
      <c r="A121" s="2" t="str">
        <f t="shared" si="21"/>
        <v>004BB91E</v>
      </c>
      <c r="B121" s="2" t="str">
        <f t="shared" si="24"/>
        <v>005BB91E</v>
      </c>
      <c r="C121" s="2" t="s">
        <v>61</v>
      </c>
      <c r="D121" s="2">
        <f t="shared" si="22"/>
        <v>832</v>
      </c>
      <c r="F121" s="2" t="str">
        <f t="shared" si="23"/>
        <v>004BB91E</v>
      </c>
      <c r="G121" s="2" t="str">
        <f t="shared" si="25"/>
        <v>005BB91E</v>
      </c>
      <c r="H121" s="2" t="str">
        <f t="shared" si="26"/>
        <v>4003</v>
      </c>
    </row>
    <row r="122" spans="1:8">
      <c r="A122" s="2" t="str">
        <f t="shared" si="21"/>
        <v>004BB920</v>
      </c>
      <c r="B122" s="2" t="str">
        <f t="shared" si="24"/>
        <v>005BB920</v>
      </c>
      <c r="C122" s="2" t="s">
        <v>62</v>
      </c>
      <c r="D122" s="2">
        <f t="shared" si="22"/>
        <v>833</v>
      </c>
      <c r="F122" s="2" t="str">
        <f t="shared" si="23"/>
        <v>004BB920</v>
      </c>
      <c r="G122" s="2" t="str">
        <f t="shared" si="25"/>
        <v>005BB920</v>
      </c>
      <c r="H122" s="2" t="str">
        <f t="shared" si="26"/>
        <v>4103</v>
      </c>
    </row>
    <row r="123" spans="1:8">
      <c r="A123" s="2" t="str">
        <f t="shared" si="21"/>
        <v>004BB922</v>
      </c>
      <c r="B123" s="2" t="str">
        <f t="shared" si="24"/>
        <v>005BB922</v>
      </c>
      <c r="C123" s="2" t="s">
        <v>63</v>
      </c>
      <c r="D123" s="2">
        <f t="shared" si="22"/>
        <v>834</v>
      </c>
      <c r="F123" s="2" t="str">
        <f t="shared" si="23"/>
        <v>004BB922</v>
      </c>
      <c r="G123" s="2" t="str">
        <f t="shared" si="25"/>
        <v>005BB922</v>
      </c>
      <c r="H123" s="2" t="str">
        <f t="shared" si="26"/>
        <v>4203</v>
      </c>
    </row>
    <row r="124" spans="1:8">
      <c r="A124" s="2" t="str">
        <f t="shared" si="21"/>
        <v>004BB924</v>
      </c>
      <c r="B124" s="2" t="str">
        <f t="shared" si="24"/>
        <v>005BB924</v>
      </c>
      <c r="C124" s="2" t="s">
        <v>64</v>
      </c>
      <c r="D124" s="2">
        <f t="shared" si="22"/>
        <v>835</v>
      </c>
      <c r="F124" s="2" t="str">
        <f t="shared" si="23"/>
        <v>004BB924</v>
      </c>
      <c r="G124" s="2" t="str">
        <f t="shared" si="25"/>
        <v>005BB924</v>
      </c>
      <c r="H124" s="2" t="str">
        <f t="shared" si="26"/>
        <v>4303</v>
      </c>
    </row>
    <row r="125" spans="1:8">
      <c r="A125" s="2" t="str">
        <f t="shared" si="21"/>
        <v>004BB926</v>
      </c>
      <c r="B125" s="2" t="str">
        <f t="shared" si="24"/>
        <v>005BB926</v>
      </c>
      <c r="C125" s="2" t="s">
        <v>65</v>
      </c>
      <c r="D125" s="2">
        <f t="shared" si="22"/>
        <v>927</v>
      </c>
      <c r="F125" s="2" t="str">
        <f t="shared" si="23"/>
        <v>004BB926</v>
      </c>
      <c r="G125" s="2" t="str">
        <f t="shared" si="25"/>
        <v>005BB926</v>
      </c>
      <c r="H125" s="2" t="str">
        <f t="shared" si="26"/>
        <v>9F03</v>
      </c>
    </row>
    <row r="126" spans="1:8">
      <c r="A126" s="2" t="str">
        <f t="shared" si="21"/>
        <v>004BB928</v>
      </c>
      <c r="B126" s="2" t="str">
        <f t="shared" si="24"/>
        <v>005BB928</v>
      </c>
      <c r="C126" s="2" t="s">
        <v>66</v>
      </c>
      <c r="D126" s="2">
        <f t="shared" si="22"/>
        <v>928</v>
      </c>
      <c r="F126" s="2" t="str">
        <f t="shared" si="23"/>
        <v>004BB928</v>
      </c>
      <c r="G126" s="2" t="str">
        <f t="shared" si="25"/>
        <v>005BB928</v>
      </c>
      <c r="H126" s="2" t="str">
        <f t="shared" si="26"/>
        <v>A003</v>
      </c>
    </row>
    <row r="127" spans="1:8">
      <c r="A127" s="2" t="str">
        <f t="shared" si="21"/>
        <v>004BB92A</v>
      </c>
      <c r="B127" s="2" t="str">
        <f t="shared" si="24"/>
        <v>005BB92A</v>
      </c>
      <c r="C127" s="2" t="s">
        <v>67</v>
      </c>
      <c r="D127" s="2">
        <f t="shared" si="22"/>
        <v>929</v>
      </c>
      <c r="F127" s="2" t="str">
        <f t="shared" si="23"/>
        <v>004BB92A</v>
      </c>
      <c r="G127" s="2" t="str">
        <f t="shared" si="25"/>
        <v>005BB92A</v>
      </c>
      <c r="H127" s="2" t="str">
        <f t="shared" si="26"/>
        <v>A103</v>
      </c>
    </row>
    <row r="128" spans="1:8">
      <c r="A128" s="2" t="str">
        <f t="shared" si="21"/>
        <v>004BB92C</v>
      </c>
      <c r="B128" s="2" t="str">
        <f t="shared" si="24"/>
        <v>005BB92C</v>
      </c>
      <c r="C128" s="2" t="s">
        <v>68</v>
      </c>
      <c r="D128" s="2">
        <f t="shared" si="22"/>
        <v>930</v>
      </c>
      <c r="F128" s="2" t="str">
        <f t="shared" si="23"/>
        <v>004BB92C</v>
      </c>
      <c r="G128" s="2" t="str">
        <f t="shared" si="25"/>
        <v>005BB92C</v>
      </c>
      <c r="H128" s="2" t="str">
        <f t="shared" si="26"/>
        <v>A203</v>
      </c>
    </row>
    <row r="129" spans="1:9">
      <c r="A129" s="2" t="str">
        <f t="shared" si="21"/>
        <v>004BB92E</v>
      </c>
      <c r="B129" s="2" t="str">
        <f t="shared" si="24"/>
        <v>005BB92E</v>
      </c>
      <c r="C129" s="2" t="s">
        <v>69</v>
      </c>
      <c r="D129" s="2">
        <f t="shared" si="22"/>
        <v>931</v>
      </c>
      <c r="F129" s="2" t="str">
        <f t="shared" si="23"/>
        <v>004BB92E</v>
      </c>
      <c r="G129" s="2" t="str">
        <f t="shared" si="25"/>
        <v>005BB92E</v>
      </c>
      <c r="H129" s="2" t="str">
        <f t="shared" si="26"/>
        <v>A303</v>
      </c>
    </row>
    <row r="130" spans="1:9">
      <c r="A130" s="2" t="str">
        <f t="shared" si="21"/>
        <v>004BB930</v>
      </c>
      <c r="B130" s="2" t="str">
        <f t="shared" si="24"/>
        <v>005BB930</v>
      </c>
      <c r="C130" s="2" t="s">
        <v>70</v>
      </c>
      <c r="D130" s="2">
        <f t="shared" si="22"/>
        <v>932</v>
      </c>
      <c r="F130" s="2" t="str">
        <f t="shared" si="23"/>
        <v>004BB930</v>
      </c>
      <c r="G130" s="2" t="str">
        <f t="shared" si="25"/>
        <v>005BB930</v>
      </c>
      <c r="H130" s="2" t="str">
        <f t="shared" si="26"/>
        <v>A403</v>
      </c>
    </row>
    <row r="131" spans="1:9">
      <c r="C131" s="2" t="s">
        <v>133</v>
      </c>
      <c r="G131" s="4"/>
      <c r="H131" s="2" t="str">
        <f>_xlfn.CONCAT(H96:H130)</f>
        <v>2703280329032A032B032C032D032E032F0330033103320333033403350336033703380339033A033B033C033D033E033F0340034103420343039F03A003A103A203A303A403</v>
      </c>
      <c r="I131" s="2" t="str">
        <f>DEC2HEX(LEN(H131)/2)</f>
        <v>46</v>
      </c>
    </row>
    <row r="132" spans="1:9">
      <c r="G132" s="4"/>
    </row>
  </sheetData>
  <mergeCells count="6">
    <mergeCell ref="B95:H95"/>
    <mergeCell ref="B2:H2"/>
    <mergeCell ref="B22:H22"/>
    <mergeCell ref="B29:H29"/>
    <mergeCell ref="B49:H49"/>
    <mergeCell ref="B56:H5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F43F2-9912-4A75-ACC0-15003AA25D13}">
  <dimension ref="A1:H128"/>
  <sheetViews>
    <sheetView workbookViewId="0">
      <pane ySplit="1" topLeftCell="A26" activePane="bottomLeft" state="frozen"/>
      <selection pane="bottomLeft" activeCell="H32" sqref="H32"/>
    </sheetView>
  </sheetViews>
  <sheetFormatPr defaultColWidth="9.26953125" defaultRowHeight="14.5"/>
  <cols>
    <col min="1" max="1" width="10.08984375" style="2" bestFit="1" customWidth="1"/>
    <col min="2" max="2" width="12.54296875" style="9" bestFit="1" customWidth="1"/>
    <col min="3" max="3" width="10.08984375" style="9" bestFit="1" customWidth="1"/>
    <col min="4" max="4" width="51.36328125" style="2" bestFit="1" customWidth="1"/>
    <col min="5" max="5" width="29.36328125" style="2" bestFit="1" customWidth="1"/>
    <col min="6" max="6" width="12.36328125" style="2" bestFit="1" customWidth="1"/>
    <col min="7" max="7" width="10.08984375" style="2" bestFit="1" customWidth="1"/>
    <col min="8" max="8" width="24.1796875" style="2" bestFit="1" customWidth="1"/>
    <col min="9" max="9" width="18.6328125" style="2" bestFit="1" customWidth="1"/>
    <col min="10" max="16384" width="9.26953125" style="2"/>
  </cols>
  <sheetData>
    <row r="1" spans="1:8" ht="15">
      <c r="A1" s="1" t="s">
        <v>127</v>
      </c>
      <c r="B1" s="6" t="s">
        <v>128</v>
      </c>
      <c r="C1" s="6" t="s">
        <v>2</v>
      </c>
      <c r="D1" s="1" t="s">
        <v>3</v>
      </c>
      <c r="E1" s="1" t="s">
        <v>0</v>
      </c>
      <c r="F1" s="1" t="s">
        <v>4</v>
      </c>
      <c r="G1" s="1" t="s">
        <v>5</v>
      </c>
      <c r="H1" s="1" t="s">
        <v>6</v>
      </c>
    </row>
    <row r="2" spans="1:8" ht="15">
      <c r="B2" s="10" t="s">
        <v>85</v>
      </c>
      <c r="C2" s="10"/>
      <c r="D2" s="10"/>
      <c r="E2" s="10"/>
      <c r="F2" s="10"/>
      <c r="G2" s="10"/>
      <c r="H2" s="10"/>
    </row>
    <row r="3" spans="1:8">
      <c r="A3" s="2" t="str">
        <f>DEC2HEX(HEX2DEC(B3)-1048576,8)</f>
        <v>00275F44</v>
      </c>
      <c r="B3" s="9" t="s">
        <v>86</v>
      </c>
      <c r="C3" s="7" t="s">
        <v>22</v>
      </c>
      <c r="D3" s="2" t="s">
        <v>11</v>
      </c>
      <c r="E3" s="2" t="s">
        <v>33</v>
      </c>
      <c r="G3" s="3"/>
    </row>
    <row r="4" spans="1:8">
      <c r="A4" s="2" t="str">
        <f t="shared" ref="A4:A27" si="0">DEC2HEX(HEX2DEC(B4)-1048576,8)</f>
        <v>00275F48</v>
      </c>
      <c r="B4" s="9" t="str">
        <f t="shared" ref="B4:B21" si="1">DEC2HEX(HEX2DEC(B3)+4,8)</f>
        <v>00375F48</v>
      </c>
      <c r="C4" s="8" t="s">
        <v>23</v>
      </c>
      <c r="D4" s="2" t="s">
        <v>12</v>
      </c>
      <c r="E4" s="5" t="s">
        <v>34</v>
      </c>
      <c r="G4" s="4"/>
    </row>
    <row r="5" spans="1:8">
      <c r="A5" s="2" t="str">
        <f t="shared" si="0"/>
        <v>00275F4C</v>
      </c>
      <c r="B5" s="9" t="str">
        <f t="shared" si="1"/>
        <v>00375F4C</v>
      </c>
      <c r="C5" s="8" t="s">
        <v>71</v>
      </c>
      <c r="D5" s="2" t="s">
        <v>13</v>
      </c>
      <c r="G5" s="4"/>
    </row>
    <row r="6" spans="1:8">
      <c r="A6" s="2" t="str">
        <f t="shared" si="0"/>
        <v>00275F50</v>
      </c>
      <c r="B6" s="9" t="str">
        <f t="shared" si="1"/>
        <v>00375F50</v>
      </c>
      <c r="C6" s="8" t="s">
        <v>24</v>
      </c>
      <c r="D6" s="2" t="s">
        <v>14</v>
      </c>
      <c r="G6" s="4"/>
    </row>
    <row r="7" spans="1:8">
      <c r="A7" s="2" t="str">
        <f t="shared" si="0"/>
        <v>00275F54</v>
      </c>
      <c r="B7" s="9" t="str">
        <f t="shared" si="1"/>
        <v>00375F54</v>
      </c>
      <c r="C7" s="8" t="s">
        <v>24</v>
      </c>
      <c r="D7" s="2" t="str">
        <f>_xlfn.CONCAT("beq 0x",B14)</f>
        <v>beq 0x00375F70</v>
      </c>
      <c r="G7" s="4"/>
    </row>
    <row r="8" spans="1:8">
      <c r="A8" s="2" t="str">
        <f t="shared" si="0"/>
        <v>00275F58</v>
      </c>
      <c r="B8" s="9" t="str">
        <f t="shared" si="1"/>
        <v>00375F58</v>
      </c>
      <c r="C8" s="8" t="s">
        <v>72</v>
      </c>
      <c r="D8" s="2" t="s">
        <v>15</v>
      </c>
      <c r="G8" s="4"/>
    </row>
    <row r="9" spans="1:8">
      <c r="A9" s="2" t="str">
        <f t="shared" si="0"/>
        <v>00275F5C</v>
      </c>
      <c r="B9" s="9" t="str">
        <f t="shared" si="1"/>
        <v>00375F5C</v>
      </c>
      <c r="C9" s="8" t="s">
        <v>26</v>
      </c>
      <c r="D9" s="2" t="s">
        <v>131</v>
      </c>
      <c r="G9" s="4"/>
    </row>
    <row r="10" spans="1:8">
      <c r="A10" s="2" t="str">
        <f t="shared" si="0"/>
        <v>00275F60</v>
      </c>
      <c r="B10" s="9" t="str">
        <f t="shared" si="1"/>
        <v>00375F60</v>
      </c>
      <c r="C10" s="8" t="s">
        <v>27</v>
      </c>
      <c r="D10" s="2" t="s">
        <v>132</v>
      </c>
      <c r="G10" s="4"/>
    </row>
    <row r="11" spans="1:8">
      <c r="A11" s="2" t="str">
        <f t="shared" si="0"/>
        <v>00275F64</v>
      </c>
      <c r="B11" s="9" t="str">
        <f t="shared" si="1"/>
        <v>00375F64</v>
      </c>
      <c r="C11" s="8" t="s">
        <v>28</v>
      </c>
      <c r="D11" s="2" t="s">
        <v>16</v>
      </c>
      <c r="G11" s="4"/>
    </row>
    <row r="12" spans="1:8">
      <c r="A12" s="2" t="str">
        <f t="shared" si="0"/>
        <v>00275F68</v>
      </c>
      <c r="B12" s="9" t="str">
        <f t="shared" si="1"/>
        <v>00375F68</v>
      </c>
      <c r="C12" s="8" t="s">
        <v>73</v>
      </c>
      <c r="D12" s="2" t="s">
        <v>17</v>
      </c>
      <c r="G12" s="4"/>
    </row>
    <row r="13" spans="1:8">
      <c r="A13" s="2" t="str">
        <f t="shared" si="0"/>
        <v>00275F6C</v>
      </c>
      <c r="B13" s="9" t="str">
        <f t="shared" si="1"/>
        <v>00375F6C</v>
      </c>
      <c r="C13" s="8" t="s">
        <v>29</v>
      </c>
      <c r="D13" s="2" t="str">
        <f>_xlfn.CONCAT("bne 0x",B16)</f>
        <v>bne 0x00375F78</v>
      </c>
      <c r="G13" s="4"/>
    </row>
    <row r="14" spans="1:8">
      <c r="A14" s="2" t="str">
        <f t="shared" si="0"/>
        <v>00275F70</v>
      </c>
      <c r="B14" s="9" t="str">
        <f t="shared" si="1"/>
        <v>00375F70</v>
      </c>
      <c r="C14" s="8" t="s">
        <v>30</v>
      </c>
      <c r="D14" s="2" t="s">
        <v>18</v>
      </c>
      <c r="G14" s="4"/>
    </row>
    <row r="15" spans="1:8">
      <c r="A15" s="2" t="str">
        <f t="shared" si="0"/>
        <v>00275F74</v>
      </c>
      <c r="B15" s="9" t="str">
        <f t="shared" si="1"/>
        <v>00375F74</v>
      </c>
      <c r="C15" s="8" t="s">
        <v>7</v>
      </c>
      <c r="D15" s="2" t="s">
        <v>8</v>
      </c>
      <c r="G15" s="4"/>
    </row>
    <row r="16" spans="1:8">
      <c r="A16" s="2" t="str">
        <f t="shared" si="0"/>
        <v>00275F78</v>
      </c>
      <c r="B16" s="9" t="str">
        <f t="shared" si="1"/>
        <v>00375F78</v>
      </c>
      <c r="C16" s="8" t="s">
        <v>74</v>
      </c>
      <c r="D16" s="2" t="s">
        <v>19</v>
      </c>
      <c r="G16" s="4"/>
    </row>
    <row r="17" spans="1:8">
      <c r="A17" s="2" t="str">
        <f t="shared" si="0"/>
        <v>00275F7C</v>
      </c>
      <c r="B17" s="9" t="str">
        <f t="shared" si="1"/>
        <v>00375F7C</v>
      </c>
      <c r="C17" s="8" t="s">
        <v>75</v>
      </c>
      <c r="D17" s="2" t="s">
        <v>20</v>
      </c>
      <c r="E17" s="2" t="s">
        <v>130</v>
      </c>
      <c r="G17" s="4"/>
    </row>
    <row r="18" spans="1:8">
      <c r="A18" s="2" t="str">
        <f t="shared" si="0"/>
        <v>00275F80</v>
      </c>
      <c r="B18" s="9" t="str">
        <f t="shared" si="1"/>
        <v>00375F80</v>
      </c>
      <c r="C18" s="8" t="s">
        <v>31</v>
      </c>
      <c r="D18" s="2" t="str">
        <f>_xlfn.CONCAT("blo 0x",B8)</f>
        <v>blo 0x00375F58</v>
      </c>
      <c r="G18" s="4"/>
    </row>
    <row r="19" spans="1:8">
      <c r="A19" s="2" t="str">
        <f t="shared" si="0"/>
        <v>00275F84</v>
      </c>
      <c r="B19" s="9" t="str">
        <f t="shared" si="1"/>
        <v>00375F84</v>
      </c>
      <c r="C19" s="8" t="s">
        <v>32</v>
      </c>
      <c r="D19" s="2" t="s">
        <v>21</v>
      </c>
      <c r="G19" s="4"/>
    </row>
    <row r="20" spans="1:8">
      <c r="A20" s="2" t="str">
        <f t="shared" si="0"/>
        <v>00275F88</v>
      </c>
      <c r="B20" s="9" t="str">
        <f t="shared" si="1"/>
        <v>00375F88</v>
      </c>
      <c r="C20" s="8" t="s">
        <v>7</v>
      </c>
      <c r="D20" s="2" t="s">
        <v>8</v>
      </c>
      <c r="G20" s="4"/>
    </row>
    <row r="21" spans="1:8">
      <c r="A21" s="2" t="str">
        <f t="shared" si="0"/>
        <v>00275F8C</v>
      </c>
      <c r="B21" s="9" t="str">
        <f t="shared" si="1"/>
        <v>00375F8C</v>
      </c>
      <c r="C21" s="8" t="s">
        <v>1</v>
      </c>
      <c r="E21" s="2" t="s">
        <v>129</v>
      </c>
      <c r="G21" s="4"/>
    </row>
    <row r="22" spans="1:8" ht="15">
      <c r="B22" s="10" t="s">
        <v>87</v>
      </c>
      <c r="C22" s="10"/>
      <c r="D22" s="10"/>
      <c r="E22" s="10"/>
      <c r="F22" s="10"/>
      <c r="G22" s="10"/>
      <c r="H22" s="10"/>
    </row>
    <row r="23" spans="1:8">
      <c r="A23" s="2" t="str">
        <f t="shared" si="0"/>
        <v>00276014</v>
      </c>
      <c r="B23" s="9" t="s">
        <v>124</v>
      </c>
      <c r="C23" s="9" t="s">
        <v>81</v>
      </c>
      <c r="D23" s="2" t="s">
        <v>78</v>
      </c>
      <c r="E23" s="2" t="s">
        <v>130</v>
      </c>
    </row>
    <row r="24" spans="1:8">
      <c r="A24" s="2" t="str">
        <f t="shared" si="0"/>
        <v>00276018</v>
      </c>
      <c r="B24" s="9" t="str">
        <f t="shared" ref="B24:B27" si="2">DEC2HEX(HEX2DEC(B23)+4,8)</f>
        <v>00376018</v>
      </c>
      <c r="C24" s="9" t="s">
        <v>82</v>
      </c>
      <c r="D24" s="2" t="s">
        <v>79</v>
      </c>
    </row>
    <row r="25" spans="1:8">
      <c r="A25" s="2" t="str">
        <f t="shared" si="0"/>
        <v>0027601C</v>
      </c>
      <c r="B25" s="9" t="str">
        <f t="shared" si="2"/>
        <v>0037601C</v>
      </c>
      <c r="C25" s="9" t="s">
        <v>83</v>
      </c>
      <c r="D25" s="2" t="s">
        <v>80</v>
      </c>
      <c r="E25" s="2" t="s">
        <v>84</v>
      </c>
    </row>
    <row r="26" spans="1:8">
      <c r="A26" s="2" t="str">
        <f t="shared" si="0"/>
        <v>00276020</v>
      </c>
      <c r="B26" s="9" t="str">
        <f t="shared" si="2"/>
        <v>00376020</v>
      </c>
      <c r="C26" s="9" t="s">
        <v>7</v>
      </c>
      <c r="D26" s="2" t="s">
        <v>8</v>
      </c>
    </row>
    <row r="27" spans="1:8">
      <c r="A27" s="2" t="str">
        <f t="shared" si="0"/>
        <v>00276024</v>
      </c>
      <c r="B27" s="9" t="str">
        <f t="shared" si="2"/>
        <v>00376024</v>
      </c>
      <c r="C27" s="9" t="s">
        <v>1</v>
      </c>
      <c r="E27" s="2" t="s">
        <v>129</v>
      </c>
    </row>
    <row r="29" spans="1:8" ht="15">
      <c r="B29" s="10" t="s">
        <v>9</v>
      </c>
      <c r="C29" s="10"/>
      <c r="D29" s="10"/>
      <c r="E29" s="10"/>
      <c r="F29" s="10"/>
      <c r="G29" s="10"/>
      <c r="H29" s="10"/>
    </row>
    <row r="30" spans="1:8">
      <c r="A30" s="2" t="str">
        <f t="shared" ref="A30:A48" si="3">DEC2HEX(HEX2DEC(B30)-1048576,8)</f>
        <v>00275EB8</v>
      </c>
      <c r="B30" s="9" t="s">
        <v>10</v>
      </c>
      <c r="C30" s="9" t="s">
        <v>22</v>
      </c>
      <c r="D30" s="2" t="s">
        <v>11</v>
      </c>
      <c r="E30" s="2" t="s">
        <v>33</v>
      </c>
    </row>
    <row r="31" spans="1:8">
      <c r="A31" s="2" t="str">
        <f t="shared" si="3"/>
        <v>00275EBC</v>
      </c>
      <c r="B31" s="9" t="str">
        <f t="shared" ref="B31:B48" si="4">DEC2HEX(HEX2DEC(B30)+4,8)</f>
        <v>00375EBC</v>
      </c>
      <c r="C31" s="9" t="s">
        <v>23</v>
      </c>
      <c r="D31" s="2" t="s">
        <v>12</v>
      </c>
      <c r="E31" s="5" t="s">
        <v>34</v>
      </c>
    </row>
    <row r="32" spans="1:8">
      <c r="A32" s="2" t="str">
        <f t="shared" si="3"/>
        <v>00275EC0</v>
      </c>
      <c r="B32" s="9" t="str">
        <f t="shared" si="4"/>
        <v>00375EC0</v>
      </c>
      <c r="C32" s="7" t="s">
        <v>71</v>
      </c>
      <c r="D32" s="2" t="s">
        <v>13</v>
      </c>
      <c r="E32" s="5"/>
      <c r="G32" s="3"/>
    </row>
    <row r="33" spans="1:7">
      <c r="A33" s="2" t="str">
        <f t="shared" si="3"/>
        <v>00275EC4</v>
      </c>
      <c r="B33" s="9" t="str">
        <f t="shared" si="4"/>
        <v>00375EC4</v>
      </c>
      <c r="C33" s="9" t="s">
        <v>24</v>
      </c>
      <c r="D33" s="2" t="s">
        <v>14</v>
      </c>
    </row>
    <row r="34" spans="1:7">
      <c r="A34" s="2" t="str">
        <f t="shared" si="3"/>
        <v>00275EC8</v>
      </c>
      <c r="B34" s="9" t="str">
        <f t="shared" si="4"/>
        <v>00375EC8</v>
      </c>
      <c r="C34" s="9" t="s">
        <v>25</v>
      </c>
      <c r="D34" s="2" t="str">
        <f>_xlfn.CONCAT("beq 0x",B41)</f>
        <v>beq 0x00375EE4</v>
      </c>
    </row>
    <row r="35" spans="1:7">
      <c r="A35" s="2" t="str">
        <f t="shared" si="3"/>
        <v>00275ECC</v>
      </c>
      <c r="B35" s="9" t="str">
        <f t="shared" si="4"/>
        <v>00375ECC</v>
      </c>
      <c r="C35" s="7" t="s">
        <v>72</v>
      </c>
      <c r="D35" s="2" t="s">
        <v>15</v>
      </c>
      <c r="G35" s="3"/>
    </row>
    <row r="36" spans="1:7">
      <c r="A36" s="2" t="str">
        <f t="shared" si="3"/>
        <v>00275ED0</v>
      </c>
      <c r="B36" s="9" t="str">
        <f t="shared" si="4"/>
        <v>00375ED0</v>
      </c>
      <c r="C36" s="9" t="s">
        <v>26</v>
      </c>
      <c r="D36" s="2" t="s">
        <v>131</v>
      </c>
    </row>
    <row r="37" spans="1:7">
      <c r="A37" s="2" t="str">
        <f t="shared" si="3"/>
        <v>00275ED4</v>
      </c>
      <c r="B37" s="9" t="str">
        <f t="shared" si="4"/>
        <v>00375ED4</v>
      </c>
      <c r="C37" s="9" t="s">
        <v>27</v>
      </c>
      <c r="D37" s="2" t="s">
        <v>132</v>
      </c>
    </row>
    <row r="38" spans="1:7">
      <c r="A38" s="2" t="str">
        <f t="shared" si="3"/>
        <v>00275ED8</v>
      </c>
      <c r="B38" s="9" t="str">
        <f t="shared" si="4"/>
        <v>00375ED8</v>
      </c>
      <c r="C38" s="9" t="s">
        <v>28</v>
      </c>
      <c r="D38" s="2" t="s">
        <v>16</v>
      </c>
    </row>
    <row r="39" spans="1:7">
      <c r="A39" s="2" t="str">
        <f t="shared" si="3"/>
        <v>00275EDC</v>
      </c>
      <c r="B39" s="9" t="str">
        <f t="shared" si="4"/>
        <v>00375EDC</v>
      </c>
      <c r="C39" s="9" t="s">
        <v>73</v>
      </c>
      <c r="D39" s="2" t="s">
        <v>17</v>
      </c>
    </row>
    <row r="40" spans="1:7">
      <c r="A40" s="2" t="str">
        <f t="shared" si="3"/>
        <v>00275EE0</v>
      </c>
      <c r="B40" s="9" t="str">
        <f t="shared" si="4"/>
        <v>00375EE0</v>
      </c>
      <c r="C40" s="9" t="s">
        <v>29</v>
      </c>
      <c r="D40" s="2" t="str">
        <f>_xlfn.CONCAT("bne 0x",B43)</f>
        <v>bne 0x00375EEC</v>
      </c>
    </row>
    <row r="41" spans="1:7">
      <c r="A41" s="2" t="str">
        <f t="shared" si="3"/>
        <v>00275EE4</v>
      </c>
      <c r="B41" s="9" t="str">
        <f t="shared" si="4"/>
        <v>00375EE4</v>
      </c>
      <c r="C41" s="9" t="s">
        <v>30</v>
      </c>
      <c r="D41" s="2" t="s">
        <v>18</v>
      </c>
    </row>
    <row r="42" spans="1:7">
      <c r="A42" s="2" t="str">
        <f t="shared" si="3"/>
        <v>00275EE8</v>
      </c>
      <c r="B42" s="9" t="str">
        <f t="shared" si="4"/>
        <v>00375EE8</v>
      </c>
      <c r="C42" s="7" t="s">
        <v>7</v>
      </c>
      <c r="D42" s="2" t="s">
        <v>8</v>
      </c>
      <c r="G42" s="3"/>
    </row>
    <row r="43" spans="1:7">
      <c r="A43" s="2" t="str">
        <f t="shared" si="3"/>
        <v>00275EEC</v>
      </c>
      <c r="B43" s="9" t="str">
        <f t="shared" si="4"/>
        <v>00375EEC</v>
      </c>
      <c r="C43" s="9" t="s">
        <v>74</v>
      </c>
      <c r="D43" s="2" t="s">
        <v>19</v>
      </c>
    </row>
    <row r="44" spans="1:7">
      <c r="A44" s="2" t="str">
        <f t="shared" si="3"/>
        <v>00275EF0</v>
      </c>
      <c r="B44" s="9" t="str">
        <f t="shared" si="4"/>
        <v>00375EF0</v>
      </c>
      <c r="C44" s="9" t="s">
        <v>75</v>
      </c>
      <c r="D44" s="2" t="s">
        <v>20</v>
      </c>
      <c r="E44" s="2" t="s">
        <v>130</v>
      </c>
    </row>
    <row r="45" spans="1:7">
      <c r="A45" s="2" t="str">
        <f t="shared" si="3"/>
        <v>00275EF4</v>
      </c>
      <c r="B45" s="9" t="str">
        <f t="shared" si="4"/>
        <v>00375EF4</v>
      </c>
      <c r="C45" s="9" t="s">
        <v>31</v>
      </c>
      <c r="D45" s="2" t="str">
        <f>_xlfn.CONCAT("blo 0x",B35)</f>
        <v>blo 0x00375ECC</v>
      </c>
    </row>
    <row r="46" spans="1:7">
      <c r="A46" s="2" t="str">
        <f t="shared" si="3"/>
        <v>00275EF8</v>
      </c>
      <c r="B46" s="9" t="str">
        <f t="shared" si="4"/>
        <v>00375EF8</v>
      </c>
      <c r="C46" s="9" t="s">
        <v>32</v>
      </c>
      <c r="D46" s="2" t="s">
        <v>21</v>
      </c>
    </row>
    <row r="47" spans="1:7">
      <c r="A47" s="2" t="str">
        <f t="shared" si="3"/>
        <v>00275EFC</v>
      </c>
      <c r="B47" s="9" t="str">
        <f t="shared" si="4"/>
        <v>00375EFC</v>
      </c>
      <c r="C47" s="9" t="s">
        <v>7</v>
      </c>
      <c r="D47" s="2" t="s">
        <v>8</v>
      </c>
    </row>
    <row r="48" spans="1:7">
      <c r="A48" s="2" t="str">
        <f t="shared" si="3"/>
        <v>00275F00</v>
      </c>
      <c r="B48" s="9" t="str">
        <f t="shared" si="4"/>
        <v>00375F00</v>
      </c>
      <c r="C48" s="9" t="s">
        <v>125</v>
      </c>
      <c r="E48" s="2" t="s">
        <v>35</v>
      </c>
    </row>
    <row r="49" spans="1:8" ht="15">
      <c r="B49" s="10" t="s">
        <v>76</v>
      </c>
      <c r="C49" s="10"/>
      <c r="D49" s="10"/>
      <c r="E49" s="10"/>
      <c r="F49" s="10"/>
      <c r="G49" s="10"/>
      <c r="H49" s="10"/>
    </row>
    <row r="50" spans="1:8">
      <c r="A50" s="2" t="str">
        <f t="shared" ref="A50:A54" si="5">DEC2HEX(HEX2DEC(B50)-1048576,8)</f>
        <v>00276000</v>
      </c>
      <c r="B50" s="9" t="s">
        <v>77</v>
      </c>
      <c r="C50" s="9" t="s">
        <v>81</v>
      </c>
      <c r="D50" s="2" t="s">
        <v>78</v>
      </c>
      <c r="E50" s="2" t="s">
        <v>130</v>
      </c>
    </row>
    <row r="51" spans="1:8">
      <c r="A51" s="2" t="str">
        <f t="shared" si="5"/>
        <v>00276004</v>
      </c>
      <c r="B51" s="9" t="str">
        <f t="shared" ref="B51:B54" si="6">DEC2HEX(HEX2DEC(B50)+4,8)</f>
        <v>00376004</v>
      </c>
      <c r="C51" s="9" t="s">
        <v>82</v>
      </c>
      <c r="D51" s="2" t="s">
        <v>79</v>
      </c>
    </row>
    <row r="52" spans="1:8">
      <c r="A52" s="2" t="str">
        <f t="shared" si="5"/>
        <v>00276008</v>
      </c>
      <c r="B52" s="9" t="str">
        <f t="shared" si="6"/>
        <v>00376008</v>
      </c>
      <c r="C52" s="9" t="s">
        <v>83</v>
      </c>
      <c r="D52" s="2" t="s">
        <v>80</v>
      </c>
      <c r="E52" s="2" t="s">
        <v>84</v>
      </c>
    </row>
    <row r="53" spans="1:8">
      <c r="A53" s="2" t="str">
        <f t="shared" si="5"/>
        <v>0027600C</v>
      </c>
      <c r="B53" s="9" t="str">
        <f t="shared" si="6"/>
        <v>0037600C</v>
      </c>
      <c r="C53" s="9" t="s">
        <v>7</v>
      </c>
      <c r="D53" s="2" t="s">
        <v>8</v>
      </c>
    </row>
    <row r="54" spans="1:8">
      <c r="A54" s="2" t="str">
        <f t="shared" si="5"/>
        <v>00276010</v>
      </c>
      <c r="B54" s="9" t="str">
        <f t="shared" si="6"/>
        <v>00376010</v>
      </c>
      <c r="C54" s="9" t="s">
        <v>125</v>
      </c>
    </row>
    <row r="56" spans="1:8" ht="15">
      <c r="B56" s="10" t="s">
        <v>87</v>
      </c>
      <c r="C56" s="10"/>
      <c r="D56" s="10"/>
      <c r="E56" s="10"/>
      <c r="F56" s="10"/>
      <c r="G56" s="10"/>
      <c r="H56" s="10"/>
    </row>
    <row r="57" spans="1:8">
      <c r="A57" s="2" t="str">
        <f t="shared" ref="A57:A91" si="7">DEC2HEX(HEX2DEC(B57)-1048576,8)</f>
        <v>004BB8EC</v>
      </c>
      <c r="B57" s="9" t="s">
        <v>88</v>
      </c>
      <c r="C57" s="4" t="s">
        <v>114</v>
      </c>
      <c r="D57" s="2">
        <f>HEX2DEC(C57)</f>
        <v>776</v>
      </c>
      <c r="E57" s="2">
        <f t="shared" ref="E57:E91" si="8">D57-D56</f>
        <v>776</v>
      </c>
      <c r="G57" s="4"/>
    </row>
    <row r="58" spans="1:8">
      <c r="A58" s="2" t="str">
        <f t="shared" si="7"/>
        <v>004BB8EE</v>
      </c>
      <c r="B58" s="2" t="str">
        <f>DEC2HEX(HEX2DEC(B57)+2,8)</f>
        <v>005BB8EE</v>
      </c>
      <c r="C58" s="4" t="s">
        <v>115</v>
      </c>
      <c r="D58" s="2">
        <f t="shared" ref="D58:D91" si="9">HEX2DEC(C58)</f>
        <v>777</v>
      </c>
      <c r="E58" s="2">
        <f t="shared" si="8"/>
        <v>1</v>
      </c>
      <c r="G58" s="4"/>
    </row>
    <row r="59" spans="1:8">
      <c r="A59" s="2" t="str">
        <f t="shared" si="7"/>
        <v>004BB8F0</v>
      </c>
      <c r="B59" s="2" t="str">
        <f t="shared" ref="B59:B91" si="10">DEC2HEX(HEX2DEC(B58)+2,8)</f>
        <v>005BB8F0</v>
      </c>
      <c r="C59" s="4" t="s">
        <v>116</v>
      </c>
      <c r="D59" s="2">
        <f t="shared" si="9"/>
        <v>778</v>
      </c>
      <c r="E59" s="2">
        <f t="shared" si="8"/>
        <v>1</v>
      </c>
      <c r="G59" s="4"/>
    </row>
    <row r="60" spans="1:8">
      <c r="A60" s="2" t="str">
        <f t="shared" si="7"/>
        <v>004BB8F2</v>
      </c>
      <c r="B60" s="2" t="str">
        <f t="shared" si="10"/>
        <v>005BB8F2</v>
      </c>
      <c r="C60" s="4" t="s">
        <v>117</v>
      </c>
      <c r="D60" s="2">
        <f t="shared" si="9"/>
        <v>779</v>
      </c>
      <c r="E60" s="2">
        <f t="shared" si="8"/>
        <v>1</v>
      </c>
      <c r="G60" s="4"/>
    </row>
    <row r="61" spans="1:8">
      <c r="A61" s="2" t="str">
        <f t="shared" si="7"/>
        <v>004BB8F4</v>
      </c>
      <c r="B61" s="2" t="str">
        <f t="shared" si="10"/>
        <v>005BB8F4</v>
      </c>
      <c r="C61" s="4" t="s">
        <v>118</v>
      </c>
      <c r="D61" s="2">
        <f t="shared" si="9"/>
        <v>780</v>
      </c>
      <c r="E61" s="2">
        <f t="shared" si="8"/>
        <v>1</v>
      </c>
      <c r="G61" s="4"/>
    </row>
    <row r="62" spans="1:8">
      <c r="A62" s="2" t="str">
        <f t="shared" si="7"/>
        <v>004BB8F6</v>
      </c>
      <c r="B62" s="2" t="str">
        <f t="shared" si="10"/>
        <v>005BB8F6</v>
      </c>
      <c r="C62" s="4" t="s">
        <v>119</v>
      </c>
      <c r="D62" s="2">
        <f t="shared" si="9"/>
        <v>781</v>
      </c>
      <c r="E62" s="2">
        <f t="shared" si="8"/>
        <v>1</v>
      </c>
      <c r="G62" s="4"/>
    </row>
    <row r="63" spans="1:8">
      <c r="A63" s="2" t="str">
        <f t="shared" si="7"/>
        <v>004BB8F8</v>
      </c>
      <c r="B63" s="2" t="str">
        <f t="shared" si="10"/>
        <v>005BB8F8</v>
      </c>
      <c r="C63" s="4" t="s">
        <v>120</v>
      </c>
      <c r="D63" s="2">
        <f t="shared" si="9"/>
        <v>782</v>
      </c>
      <c r="E63" s="2">
        <f t="shared" si="8"/>
        <v>1</v>
      </c>
      <c r="G63" s="4"/>
    </row>
    <row r="64" spans="1:8">
      <c r="A64" s="2" t="str">
        <f t="shared" si="7"/>
        <v>004BB8FA</v>
      </c>
      <c r="B64" s="2" t="str">
        <f t="shared" si="10"/>
        <v>005BB8FA</v>
      </c>
      <c r="C64" s="4" t="s">
        <v>121</v>
      </c>
      <c r="D64" s="2">
        <f t="shared" si="9"/>
        <v>783</v>
      </c>
      <c r="E64" s="2">
        <f t="shared" si="8"/>
        <v>1</v>
      </c>
      <c r="G64" s="4"/>
    </row>
    <row r="65" spans="1:7">
      <c r="A65" s="2" t="str">
        <f t="shared" si="7"/>
        <v>004BB8FC</v>
      </c>
      <c r="B65" s="2" t="str">
        <f t="shared" si="10"/>
        <v>005BB8FC</v>
      </c>
      <c r="C65" s="4" t="s">
        <v>122</v>
      </c>
      <c r="D65" s="2">
        <f t="shared" si="9"/>
        <v>784</v>
      </c>
      <c r="E65" s="2">
        <f t="shared" si="8"/>
        <v>1</v>
      </c>
      <c r="G65" s="4"/>
    </row>
    <row r="66" spans="1:7">
      <c r="A66" s="2" t="str">
        <f t="shared" si="7"/>
        <v>004BB8FE</v>
      </c>
      <c r="B66" s="2" t="str">
        <f t="shared" si="10"/>
        <v>005BB8FE</v>
      </c>
      <c r="C66" s="4" t="s">
        <v>123</v>
      </c>
      <c r="D66" s="2">
        <f t="shared" si="9"/>
        <v>785</v>
      </c>
      <c r="E66" s="2">
        <f t="shared" si="8"/>
        <v>1</v>
      </c>
      <c r="G66" s="4"/>
    </row>
    <row r="67" spans="1:7">
      <c r="A67" s="2" t="str">
        <f t="shared" si="7"/>
        <v>004BB900</v>
      </c>
      <c r="B67" s="2" t="str">
        <f t="shared" si="10"/>
        <v>005BB900</v>
      </c>
      <c r="C67" s="4" t="s">
        <v>89</v>
      </c>
      <c r="D67" s="2">
        <f t="shared" si="9"/>
        <v>786</v>
      </c>
      <c r="E67" s="2">
        <f t="shared" si="8"/>
        <v>1</v>
      </c>
      <c r="G67" s="4"/>
    </row>
    <row r="68" spans="1:7">
      <c r="A68" s="2" t="str">
        <f t="shared" si="7"/>
        <v>004BB902</v>
      </c>
      <c r="B68" s="2" t="str">
        <f t="shared" si="10"/>
        <v>005BB902</v>
      </c>
      <c r="C68" s="4" t="s">
        <v>90</v>
      </c>
      <c r="D68" s="2">
        <f t="shared" si="9"/>
        <v>787</v>
      </c>
      <c r="E68" s="2">
        <f t="shared" si="8"/>
        <v>1</v>
      </c>
      <c r="G68" s="4"/>
    </row>
    <row r="69" spans="1:7">
      <c r="A69" s="2" t="str">
        <f t="shared" si="7"/>
        <v>004BB904</v>
      </c>
      <c r="B69" s="2" t="str">
        <f t="shared" si="10"/>
        <v>005BB904</v>
      </c>
      <c r="C69" s="4" t="s">
        <v>91</v>
      </c>
      <c r="D69" s="2">
        <f t="shared" si="9"/>
        <v>788</v>
      </c>
      <c r="E69" s="2">
        <f t="shared" si="8"/>
        <v>1</v>
      </c>
      <c r="G69" s="4"/>
    </row>
    <row r="70" spans="1:7">
      <c r="A70" s="2" t="str">
        <f t="shared" si="7"/>
        <v>004BB906</v>
      </c>
      <c r="B70" s="2" t="str">
        <f t="shared" si="10"/>
        <v>005BB906</v>
      </c>
      <c r="C70" s="4" t="s">
        <v>92</v>
      </c>
      <c r="D70" s="2">
        <f t="shared" si="9"/>
        <v>789</v>
      </c>
      <c r="E70" s="2">
        <f t="shared" si="8"/>
        <v>1</v>
      </c>
      <c r="G70" s="4"/>
    </row>
    <row r="71" spans="1:7">
      <c r="A71" s="2" t="str">
        <f t="shared" si="7"/>
        <v>004BB908</v>
      </c>
      <c r="B71" s="2" t="str">
        <f t="shared" si="10"/>
        <v>005BB908</v>
      </c>
      <c r="C71" s="4" t="s">
        <v>93</v>
      </c>
      <c r="D71" s="2">
        <f t="shared" si="9"/>
        <v>790</v>
      </c>
      <c r="E71" s="2">
        <f t="shared" si="8"/>
        <v>1</v>
      </c>
      <c r="G71" s="4"/>
    </row>
    <row r="72" spans="1:7">
      <c r="A72" s="2" t="str">
        <f t="shared" si="7"/>
        <v>004BB90A</v>
      </c>
      <c r="B72" s="2" t="str">
        <f t="shared" si="10"/>
        <v>005BB90A</v>
      </c>
      <c r="C72" s="4" t="s">
        <v>94</v>
      </c>
      <c r="D72" s="2">
        <f t="shared" si="9"/>
        <v>791</v>
      </c>
      <c r="E72" s="2">
        <f t="shared" si="8"/>
        <v>1</v>
      </c>
      <c r="G72" s="4"/>
    </row>
    <row r="73" spans="1:7">
      <c r="A73" s="2" t="str">
        <f t="shared" si="7"/>
        <v>004BB90C</v>
      </c>
      <c r="B73" s="2" t="str">
        <f t="shared" si="10"/>
        <v>005BB90C</v>
      </c>
      <c r="C73" s="4" t="s">
        <v>95</v>
      </c>
      <c r="D73" s="2">
        <f t="shared" si="9"/>
        <v>792</v>
      </c>
      <c r="E73" s="2">
        <f t="shared" si="8"/>
        <v>1</v>
      </c>
      <c r="G73" s="4"/>
    </row>
    <row r="74" spans="1:7">
      <c r="A74" s="2" t="str">
        <f t="shared" si="7"/>
        <v>004BB90E</v>
      </c>
      <c r="B74" s="2" t="str">
        <f t="shared" si="10"/>
        <v>005BB90E</v>
      </c>
      <c r="C74" s="4" t="s">
        <v>96</v>
      </c>
      <c r="D74" s="2">
        <f t="shared" si="9"/>
        <v>793</v>
      </c>
      <c r="E74" s="2">
        <f t="shared" si="8"/>
        <v>1</v>
      </c>
      <c r="G74" s="4"/>
    </row>
    <row r="75" spans="1:7">
      <c r="A75" s="2" t="str">
        <f t="shared" si="7"/>
        <v>004BB910</v>
      </c>
      <c r="B75" s="2" t="str">
        <f t="shared" si="10"/>
        <v>005BB910</v>
      </c>
      <c r="C75" s="4" t="s">
        <v>97</v>
      </c>
      <c r="D75" s="2">
        <f t="shared" si="9"/>
        <v>794</v>
      </c>
      <c r="E75" s="2">
        <f t="shared" si="8"/>
        <v>1</v>
      </c>
      <c r="G75" s="4"/>
    </row>
    <row r="76" spans="1:7">
      <c r="A76" s="2" t="str">
        <f t="shared" si="7"/>
        <v>004BB912</v>
      </c>
      <c r="B76" s="2" t="str">
        <f t="shared" si="10"/>
        <v>005BB912</v>
      </c>
      <c r="C76" s="4" t="s">
        <v>98</v>
      </c>
      <c r="D76" s="2">
        <f t="shared" si="9"/>
        <v>798</v>
      </c>
      <c r="E76" s="2">
        <f t="shared" si="8"/>
        <v>4</v>
      </c>
      <c r="G76" s="4"/>
    </row>
    <row r="77" spans="1:7">
      <c r="A77" s="2" t="str">
        <f t="shared" si="7"/>
        <v>004BB914</v>
      </c>
      <c r="B77" s="2" t="str">
        <f t="shared" si="10"/>
        <v>005BB914</v>
      </c>
      <c r="C77" s="4" t="s">
        <v>99</v>
      </c>
      <c r="D77" s="2">
        <f t="shared" si="9"/>
        <v>799</v>
      </c>
      <c r="E77" s="2">
        <f t="shared" si="8"/>
        <v>1</v>
      </c>
      <c r="G77" s="4"/>
    </row>
    <row r="78" spans="1:7">
      <c r="A78" s="2" t="str">
        <f t="shared" si="7"/>
        <v>004BB916</v>
      </c>
      <c r="B78" s="2" t="str">
        <f t="shared" si="10"/>
        <v>005BB916</v>
      </c>
      <c r="C78" s="4" t="s">
        <v>100</v>
      </c>
      <c r="D78" s="2">
        <f t="shared" si="9"/>
        <v>800</v>
      </c>
      <c r="E78" s="2">
        <f t="shared" si="8"/>
        <v>1</v>
      </c>
      <c r="G78" s="4"/>
    </row>
    <row r="79" spans="1:7">
      <c r="A79" s="2" t="str">
        <f t="shared" si="7"/>
        <v>004BB918</v>
      </c>
      <c r="B79" s="2" t="str">
        <f t="shared" si="10"/>
        <v>005BB918</v>
      </c>
      <c r="C79" s="4" t="s">
        <v>101</v>
      </c>
      <c r="D79" s="2">
        <f t="shared" si="9"/>
        <v>801</v>
      </c>
      <c r="E79" s="2">
        <f t="shared" si="8"/>
        <v>1</v>
      </c>
      <c r="G79" s="4"/>
    </row>
    <row r="80" spans="1:7">
      <c r="A80" s="2" t="str">
        <f t="shared" si="7"/>
        <v>004BB91A</v>
      </c>
      <c r="B80" s="2" t="str">
        <f t="shared" si="10"/>
        <v>005BB91A</v>
      </c>
      <c r="C80" s="4" t="s">
        <v>102</v>
      </c>
      <c r="D80" s="2">
        <f t="shared" si="9"/>
        <v>802</v>
      </c>
      <c r="E80" s="2">
        <f t="shared" si="8"/>
        <v>1</v>
      </c>
      <c r="G80" s="4"/>
    </row>
    <row r="81" spans="1:8">
      <c r="A81" s="2" t="str">
        <f t="shared" si="7"/>
        <v>004BB91C</v>
      </c>
      <c r="B81" s="2" t="str">
        <f t="shared" si="10"/>
        <v>005BB91C</v>
      </c>
      <c r="C81" s="4" t="s">
        <v>103</v>
      </c>
      <c r="D81" s="2">
        <f t="shared" si="9"/>
        <v>803</v>
      </c>
      <c r="E81" s="2">
        <f t="shared" si="8"/>
        <v>1</v>
      </c>
      <c r="G81" s="4"/>
    </row>
    <row r="82" spans="1:8">
      <c r="A82" s="2" t="str">
        <f t="shared" si="7"/>
        <v>004BB91E</v>
      </c>
      <c r="B82" s="2" t="str">
        <f t="shared" si="10"/>
        <v>005BB91E</v>
      </c>
      <c r="C82" s="4" t="s">
        <v>104</v>
      </c>
      <c r="D82" s="2">
        <f t="shared" si="9"/>
        <v>804</v>
      </c>
      <c r="E82" s="2">
        <f t="shared" si="8"/>
        <v>1</v>
      </c>
      <c r="G82" s="4"/>
    </row>
    <row r="83" spans="1:8">
      <c r="A83" s="2" t="str">
        <f t="shared" si="7"/>
        <v>004BB920</v>
      </c>
      <c r="B83" s="2" t="str">
        <f t="shared" si="10"/>
        <v>005BB920</v>
      </c>
      <c r="C83" s="4" t="s">
        <v>105</v>
      </c>
      <c r="D83" s="2">
        <f t="shared" si="9"/>
        <v>805</v>
      </c>
      <c r="E83" s="2">
        <f t="shared" si="8"/>
        <v>1</v>
      </c>
      <c r="G83" s="4"/>
    </row>
    <row r="84" spans="1:8">
      <c r="A84" s="2" t="str">
        <f t="shared" si="7"/>
        <v>004BB922</v>
      </c>
      <c r="B84" s="2" t="str">
        <f t="shared" si="10"/>
        <v>005BB922</v>
      </c>
      <c r="C84" s="4" t="s">
        <v>106</v>
      </c>
      <c r="D84" s="2">
        <f t="shared" si="9"/>
        <v>806</v>
      </c>
      <c r="E84" s="2">
        <f t="shared" si="8"/>
        <v>1</v>
      </c>
      <c r="G84" s="4"/>
    </row>
    <row r="85" spans="1:8">
      <c r="A85" s="2" t="str">
        <f t="shared" si="7"/>
        <v>004BB924</v>
      </c>
      <c r="B85" s="2" t="str">
        <f t="shared" si="10"/>
        <v>005BB924</v>
      </c>
      <c r="C85" s="4" t="s">
        <v>107</v>
      </c>
      <c r="D85" s="2">
        <f t="shared" si="9"/>
        <v>836</v>
      </c>
      <c r="E85" s="2">
        <f t="shared" si="8"/>
        <v>30</v>
      </c>
      <c r="G85" s="4"/>
    </row>
    <row r="86" spans="1:8">
      <c r="A86" s="2" t="str">
        <f t="shared" si="7"/>
        <v>004BB926</v>
      </c>
      <c r="B86" s="2" t="str">
        <f t="shared" si="10"/>
        <v>005BB926</v>
      </c>
      <c r="C86" s="4" t="s">
        <v>108</v>
      </c>
      <c r="D86" s="2">
        <f t="shared" si="9"/>
        <v>921</v>
      </c>
      <c r="E86" s="2">
        <f t="shared" si="8"/>
        <v>85</v>
      </c>
      <c r="G86" s="4"/>
    </row>
    <row r="87" spans="1:8">
      <c r="A87" s="2" t="str">
        <f t="shared" si="7"/>
        <v>004BB928</v>
      </c>
      <c r="B87" s="2" t="str">
        <f t="shared" si="10"/>
        <v>005BB928</v>
      </c>
      <c r="C87" s="4" t="s">
        <v>109</v>
      </c>
      <c r="D87" s="2">
        <f t="shared" si="9"/>
        <v>922</v>
      </c>
      <c r="E87" s="2">
        <f t="shared" si="8"/>
        <v>1</v>
      </c>
      <c r="G87" s="4"/>
    </row>
    <row r="88" spans="1:8">
      <c r="A88" s="2" t="str">
        <f t="shared" si="7"/>
        <v>004BB92A</v>
      </c>
      <c r="B88" s="2" t="str">
        <f t="shared" si="10"/>
        <v>005BB92A</v>
      </c>
      <c r="C88" s="4" t="s">
        <v>110</v>
      </c>
      <c r="D88" s="2">
        <f t="shared" si="9"/>
        <v>923</v>
      </c>
      <c r="E88" s="2">
        <f t="shared" si="8"/>
        <v>1</v>
      </c>
      <c r="G88" s="4"/>
    </row>
    <row r="89" spans="1:8">
      <c r="A89" s="2" t="str">
        <f t="shared" si="7"/>
        <v>004BB92C</v>
      </c>
      <c r="B89" s="2" t="str">
        <f t="shared" si="10"/>
        <v>005BB92C</v>
      </c>
      <c r="C89" s="4" t="s">
        <v>111</v>
      </c>
      <c r="D89" s="2">
        <f t="shared" si="9"/>
        <v>924</v>
      </c>
      <c r="E89" s="2">
        <f t="shared" si="8"/>
        <v>1</v>
      </c>
      <c r="G89" s="4"/>
    </row>
    <row r="90" spans="1:8">
      <c r="A90" s="2" t="str">
        <f t="shared" si="7"/>
        <v>004BB92E</v>
      </c>
      <c r="B90" s="2" t="str">
        <f t="shared" si="10"/>
        <v>005BB92E</v>
      </c>
      <c r="C90" s="4" t="s">
        <v>112</v>
      </c>
      <c r="D90" s="2">
        <f t="shared" si="9"/>
        <v>925</v>
      </c>
      <c r="E90" s="2">
        <f t="shared" si="8"/>
        <v>1</v>
      </c>
      <c r="G90" s="4"/>
    </row>
    <row r="91" spans="1:8">
      <c r="A91" s="2" t="str">
        <f t="shared" si="7"/>
        <v>004BB930</v>
      </c>
      <c r="B91" s="2" t="str">
        <f t="shared" si="10"/>
        <v>005BB930</v>
      </c>
      <c r="C91" s="4" t="s">
        <v>113</v>
      </c>
      <c r="D91" s="2">
        <f t="shared" si="9"/>
        <v>926</v>
      </c>
      <c r="E91" s="2">
        <f t="shared" si="8"/>
        <v>1</v>
      </c>
      <c r="G91" s="4"/>
    </row>
    <row r="92" spans="1:8">
      <c r="B92" s="2" t="str">
        <f>DEC2HEX(LEN(_xlfn.CONCAT(B57:B91))/2)</f>
        <v>8C</v>
      </c>
      <c r="C92" s="4"/>
      <c r="G92" s="4"/>
    </row>
    <row r="93" spans="1:8" ht="15">
      <c r="B93" s="10" t="s">
        <v>76</v>
      </c>
      <c r="C93" s="10"/>
      <c r="D93" s="10"/>
      <c r="E93" s="10"/>
      <c r="F93" s="10"/>
      <c r="G93" s="10"/>
      <c r="H93" s="10"/>
    </row>
    <row r="94" spans="1:8">
      <c r="A94" s="2" t="str">
        <f t="shared" ref="A94:A128" si="11">DEC2HEX(HEX2DEC(B94)-1048576,8)</f>
        <v>004BB932</v>
      </c>
      <c r="B94" s="9" t="s">
        <v>126</v>
      </c>
      <c r="C94" s="9" t="s">
        <v>36</v>
      </c>
      <c r="D94" s="2">
        <f t="shared" ref="D94:D128" si="12">HEX2DEC(C94)</f>
        <v>807</v>
      </c>
    </row>
    <row r="95" spans="1:8">
      <c r="A95" s="2" t="str">
        <f t="shared" si="11"/>
        <v>004BB934</v>
      </c>
      <c r="B95" s="9" t="str">
        <f t="shared" ref="B95:B102" si="13">DEC2HEX(HEX2DEC(B94)+2,8)</f>
        <v>005BB934</v>
      </c>
      <c r="C95" s="9" t="s">
        <v>37</v>
      </c>
      <c r="D95" s="2">
        <f t="shared" si="12"/>
        <v>808</v>
      </c>
      <c r="E95" s="2">
        <f t="shared" ref="E95:E128" si="14">D95-D94</f>
        <v>1</v>
      </c>
    </row>
    <row r="96" spans="1:8">
      <c r="A96" s="2" t="str">
        <f t="shared" si="11"/>
        <v>004BB936</v>
      </c>
      <c r="B96" s="9" t="str">
        <f t="shared" si="13"/>
        <v>005BB936</v>
      </c>
      <c r="C96" s="9" t="s">
        <v>38</v>
      </c>
      <c r="D96" s="2">
        <f t="shared" si="12"/>
        <v>809</v>
      </c>
      <c r="E96" s="2">
        <f t="shared" si="14"/>
        <v>1</v>
      </c>
    </row>
    <row r="97" spans="1:5">
      <c r="A97" s="2" t="str">
        <f t="shared" si="11"/>
        <v>004BB938</v>
      </c>
      <c r="B97" s="9" t="str">
        <f t="shared" si="13"/>
        <v>005BB938</v>
      </c>
      <c r="C97" s="9" t="s">
        <v>39</v>
      </c>
      <c r="D97" s="2">
        <f t="shared" si="12"/>
        <v>810</v>
      </c>
      <c r="E97" s="2">
        <f t="shared" si="14"/>
        <v>1</v>
      </c>
    </row>
    <row r="98" spans="1:5">
      <c r="A98" s="2" t="str">
        <f t="shared" si="11"/>
        <v>004BB93A</v>
      </c>
      <c r="B98" s="9" t="str">
        <f t="shared" si="13"/>
        <v>005BB93A</v>
      </c>
      <c r="C98" s="9" t="s">
        <v>40</v>
      </c>
      <c r="D98" s="2">
        <f t="shared" si="12"/>
        <v>811</v>
      </c>
      <c r="E98" s="2">
        <f t="shared" si="14"/>
        <v>1</v>
      </c>
    </row>
    <row r="99" spans="1:5">
      <c r="A99" s="2" t="str">
        <f t="shared" si="11"/>
        <v>004BB93C</v>
      </c>
      <c r="B99" s="9" t="str">
        <f t="shared" si="13"/>
        <v>005BB93C</v>
      </c>
      <c r="C99" s="9" t="s">
        <v>41</v>
      </c>
      <c r="D99" s="2">
        <f t="shared" si="12"/>
        <v>812</v>
      </c>
      <c r="E99" s="2">
        <f t="shared" si="14"/>
        <v>1</v>
      </c>
    </row>
    <row r="100" spans="1:5">
      <c r="A100" s="2" t="str">
        <f t="shared" si="11"/>
        <v>004BB93E</v>
      </c>
      <c r="B100" s="9" t="str">
        <f t="shared" si="13"/>
        <v>005BB93E</v>
      </c>
      <c r="C100" s="9" t="s">
        <v>42</v>
      </c>
      <c r="D100" s="2">
        <f t="shared" si="12"/>
        <v>813</v>
      </c>
      <c r="E100" s="2">
        <f t="shared" si="14"/>
        <v>1</v>
      </c>
    </row>
    <row r="101" spans="1:5">
      <c r="A101" s="2" t="str">
        <f t="shared" si="11"/>
        <v>004BB940</v>
      </c>
      <c r="B101" s="9" t="str">
        <f t="shared" si="13"/>
        <v>005BB940</v>
      </c>
      <c r="C101" s="9" t="s">
        <v>43</v>
      </c>
      <c r="D101" s="2">
        <f t="shared" si="12"/>
        <v>814</v>
      </c>
      <c r="E101" s="2">
        <f t="shared" si="14"/>
        <v>1</v>
      </c>
    </row>
    <row r="102" spans="1:5">
      <c r="A102" s="2" t="str">
        <f t="shared" si="11"/>
        <v>004BB942</v>
      </c>
      <c r="B102" s="9" t="str">
        <f t="shared" si="13"/>
        <v>005BB942</v>
      </c>
      <c r="C102" s="9" t="s">
        <v>44</v>
      </c>
      <c r="D102" s="2">
        <f t="shared" si="12"/>
        <v>815</v>
      </c>
      <c r="E102" s="2">
        <f t="shared" si="14"/>
        <v>1</v>
      </c>
    </row>
    <row r="103" spans="1:5">
      <c r="A103" s="2" t="str">
        <f t="shared" si="11"/>
        <v>004BB944</v>
      </c>
      <c r="B103" s="9" t="str">
        <f t="shared" ref="B103:B122" si="15">DEC2HEX(HEX2DEC(B102)+2,8)</f>
        <v>005BB944</v>
      </c>
      <c r="C103" s="9" t="s">
        <v>45</v>
      </c>
      <c r="D103" s="2">
        <f t="shared" si="12"/>
        <v>816</v>
      </c>
      <c r="E103" s="2">
        <f t="shared" si="14"/>
        <v>1</v>
      </c>
    </row>
    <row r="104" spans="1:5">
      <c r="A104" s="2" t="str">
        <f t="shared" si="11"/>
        <v>004BB946</v>
      </c>
      <c r="B104" s="9" t="str">
        <f t="shared" si="15"/>
        <v>005BB946</v>
      </c>
      <c r="C104" s="9" t="s">
        <v>46</v>
      </c>
      <c r="D104" s="2">
        <f t="shared" si="12"/>
        <v>817</v>
      </c>
      <c r="E104" s="2">
        <f t="shared" si="14"/>
        <v>1</v>
      </c>
    </row>
    <row r="105" spans="1:5">
      <c r="A105" s="2" t="str">
        <f t="shared" si="11"/>
        <v>004BB948</v>
      </c>
      <c r="B105" s="9" t="str">
        <f t="shared" si="15"/>
        <v>005BB948</v>
      </c>
      <c r="C105" s="9" t="s">
        <v>47</v>
      </c>
      <c r="D105" s="2">
        <f t="shared" si="12"/>
        <v>818</v>
      </c>
      <c r="E105" s="2">
        <f t="shared" si="14"/>
        <v>1</v>
      </c>
    </row>
    <row r="106" spans="1:5">
      <c r="A106" s="2" t="str">
        <f t="shared" si="11"/>
        <v>004BB94A</v>
      </c>
      <c r="B106" s="9" t="str">
        <f t="shared" si="15"/>
        <v>005BB94A</v>
      </c>
      <c r="C106" s="9" t="s">
        <v>48</v>
      </c>
      <c r="D106" s="2">
        <f t="shared" si="12"/>
        <v>819</v>
      </c>
      <c r="E106" s="2">
        <f t="shared" si="14"/>
        <v>1</v>
      </c>
    </row>
    <row r="107" spans="1:5">
      <c r="A107" s="2" t="str">
        <f t="shared" si="11"/>
        <v>004BB94C</v>
      </c>
      <c r="B107" s="9" t="str">
        <f t="shared" si="15"/>
        <v>005BB94C</v>
      </c>
      <c r="C107" s="9" t="s">
        <v>49</v>
      </c>
      <c r="D107" s="2">
        <f t="shared" si="12"/>
        <v>820</v>
      </c>
      <c r="E107" s="2">
        <f t="shared" si="14"/>
        <v>1</v>
      </c>
    </row>
    <row r="108" spans="1:5">
      <c r="A108" s="2" t="str">
        <f t="shared" si="11"/>
        <v>004BB94E</v>
      </c>
      <c r="B108" s="9" t="str">
        <f t="shared" si="15"/>
        <v>005BB94E</v>
      </c>
      <c r="C108" s="9" t="s">
        <v>50</v>
      </c>
      <c r="D108" s="2">
        <f t="shared" si="12"/>
        <v>821</v>
      </c>
      <c r="E108" s="2">
        <f t="shared" si="14"/>
        <v>1</v>
      </c>
    </row>
    <row r="109" spans="1:5">
      <c r="A109" s="2" t="str">
        <f t="shared" si="11"/>
        <v>004BB950</v>
      </c>
      <c r="B109" s="9" t="str">
        <f t="shared" si="15"/>
        <v>005BB950</v>
      </c>
      <c r="C109" s="9" t="s">
        <v>51</v>
      </c>
      <c r="D109" s="2">
        <f t="shared" si="12"/>
        <v>822</v>
      </c>
      <c r="E109" s="2">
        <f t="shared" si="14"/>
        <v>1</v>
      </c>
    </row>
    <row r="110" spans="1:5">
      <c r="A110" s="2" t="str">
        <f t="shared" si="11"/>
        <v>004BB952</v>
      </c>
      <c r="B110" s="9" t="str">
        <f t="shared" si="15"/>
        <v>005BB952</v>
      </c>
      <c r="C110" s="9" t="s">
        <v>52</v>
      </c>
      <c r="D110" s="2">
        <f t="shared" si="12"/>
        <v>823</v>
      </c>
      <c r="E110" s="2">
        <f t="shared" si="14"/>
        <v>1</v>
      </c>
    </row>
    <row r="111" spans="1:5">
      <c r="A111" s="2" t="str">
        <f t="shared" si="11"/>
        <v>004BB954</v>
      </c>
      <c r="B111" s="9" t="str">
        <f t="shared" si="15"/>
        <v>005BB954</v>
      </c>
      <c r="C111" s="9" t="s">
        <v>53</v>
      </c>
      <c r="D111" s="2">
        <f t="shared" si="12"/>
        <v>824</v>
      </c>
      <c r="E111" s="2">
        <f t="shared" si="14"/>
        <v>1</v>
      </c>
    </row>
    <row r="112" spans="1:5">
      <c r="A112" s="2" t="str">
        <f t="shared" si="11"/>
        <v>004BB956</v>
      </c>
      <c r="B112" s="9" t="str">
        <f t="shared" si="15"/>
        <v>005BB956</v>
      </c>
      <c r="C112" s="9" t="s">
        <v>54</v>
      </c>
      <c r="D112" s="2">
        <f t="shared" si="12"/>
        <v>825</v>
      </c>
      <c r="E112" s="2">
        <f t="shared" si="14"/>
        <v>1</v>
      </c>
    </row>
    <row r="113" spans="1:5">
      <c r="A113" s="2" t="str">
        <f t="shared" si="11"/>
        <v>004BB958</v>
      </c>
      <c r="B113" s="9" t="str">
        <f t="shared" si="15"/>
        <v>005BB958</v>
      </c>
      <c r="C113" s="9" t="s">
        <v>55</v>
      </c>
      <c r="D113" s="2">
        <f t="shared" si="12"/>
        <v>826</v>
      </c>
      <c r="E113" s="2">
        <f t="shared" si="14"/>
        <v>1</v>
      </c>
    </row>
    <row r="114" spans="1:5">
      <c r="A114" s="2" t="str">
        <f t="shared" si="11"/>
        <v>004BB95A</v>
      </c>
      <c r="B114" s="9" t="str">
        <f t="shared" si="15"/>
        <v>005BB95A</v>
      </c>
      <c r="C114" s="9" t="s">
        <v>56</v>
      </c>
      <c r="D114" s="2">
        <f t="shared" si="12"/>
        <v>827</v>
      </c>
      <c r="E114" s="2">
        <f t="shared" si="14"/>
        <v>1</v>
      </c>
    </row>
    <row r="115" spans="1:5">
      <c r="A115" s="2" t="str">
        <f t="shared" si="11"/>
        <v>004BB95C</v>
      </c>
      <c r="B115" s="9" t="str">
        <f t="shared" si="15"/>
        <v>005BB95C</v>
      </c>
      <c r="C115" s="9" t="s">
        <v>57</v>
      </c>
      <c r="D115" s="2">
        <f t="shared" si="12"/>
        <v>828</v>
      </c>
      <c r="E115" s="2">
        <f t="shared" si="14"/>
        <v>1</v>
      </c>
    </row>
    <row r="116" spans="1:5">
      <c r="A116" s="2" t="str">
        <f t="shared" si="11"/>
        <v>004BB95E</v>
      </c>
      <c r="B116" s="9" t="str">
        <f t="shared" si="15"/>
        <v>005BB95E</v>
      </c>
      <c r="C116" s="9" t="s">
        <v>58</v>
      </c>
      <c r="D116" s="2">
        <f t="shared" si="12"/>
        <v>829</v>
      </c>
      <c r="E116" s="2">
        <f t="shared" si="14"/>
        <v>1</v>
      </c>
    </row>
    <row r="117" spans="1:5">
      <c r="A117" s="2" t="str">
        <f t="shared" si="11"/>
        <v>004BB960</v>
      </c>
      <c r="B117" s="9" t="str">
        <f t="shared" si="15"/>
        <v>005BB960</v>
      </c>
      <c r="C117" s="9" t="s">
        <v>59</v>
      </c>
      <c r="D117" s="2">
        <f t="shared" si="12"/>
        <v>830</v>
      </c>
      <c r="E117" s="2">
        <f t="shared" si="14"/>
        <v>1</v>
      </c>
    </row>
    <row r="118" spans="1:5">
      <c r="A118" s="2" t="str">
        <f t="shared" si="11"/>
        <v>004BB962</v>
      </c>
      <c r="B118" s="9" t="str">
        <f t="shared" si="15"/>
        <v>005BB962</v>
      </c>
      <c r="C118" s="9" t="s">
        <v>60</v>
      </c>
      <c r="D118" s="2">
        <f t="shared" si="12"/>
        <v>831</v>
      </c>
      <c r="E118" s="2">
        <f t="shared" si="14"/>
        <v>1</v>
      </c>
    </row>
    <row r="119" spans="1:5">
      <c r="A119" s="2" t="str">
        <f t="shared" si="11"/>
        <v>004BB964</v>
      </c>
      <c r="B119" s="9" t="str">
        <f t="shared" si="15"/>
        <v>005BB964</v>
      </c>
      <c r="C119" s="9" t="s">
        <v>61</v>
      </c>
      <c r="D119" s="2">
        <f t="shared" si="12"/>
        <v>832</v>
      </c>
      <c r="E119" s="2">
        <f t="shared" si="14"/>
        <v>1</v>
      </c>
    </row>
    <row r="120" spans="1:5">
      <c r="A120" s="2" t="str">
        <f t="shared" si="11"/>
        <v>004BB966</v>
      </c>
      <c r="B120" s="9" t="str">
        <f t="shared" si="15"/>
        <v>005BB966</v>
      </c>
      <c r="C120" s="9" t="s">
        <v>62</v>
      </c>
      <c r="D120" s="2">
        <f t="shared" si="12"/>
        <v>833</v>
      </c>
      <c r="E120" s="2">
        <f t="shared" si="14"/>
        <v>1</v>
      </c>
    </row>
    <row r="121" spans="1:5">
      <c r="A121" s="2" t="str">
        <f t="shared" si="11"/>
        <v>004BB968</v>
      </c>
      <c r="B121" s="9" t="str">
        <f t="shared" si="15"/>
        <v>005BB968</v>
      </c>
      <c r="C121" s="9" t="s">
        <v>63</v>
      </c>
      <c r="D121" s="2">
        <f t="shared" si="12"/>
        <v>834</v>
      </c>
      <c r="E121" s="2">
        <f t="shared" si="14"/>
        <v>1</v>
      </c>
    </row>
    <row r="122" spans="1:5">
      <c r="A122" s="2" t="str">
        <f t="shared" si="11"/>
        <v>004BB96A</v>
      </c>
      <c r="B122" s="9" t="str">
        <f t="shared" si="15"/>
        <v>005BB96A</v>
      </c>
      <c r="C122" s="9" t="s">
        <v>64</v>
      </c>
      <c r="D122" s="2">
        <f t="shared" si="12"/>
        <v>835</v>
      </c>
      <c r="E122" s="2">
        <f t="shared" si="14"/>
        <v>1</v>
      </c>
    </row>
    <row r="123" spans="1:5">
      <c r="A123" s="2" t="str">
        <f t="shared" si="11"/>
        <v>004BB96C</v>
      </c>
      <c r="B123" s="9" t="str">
        <f>DEC2HEX(HEX2DEC(B122)+2,8)</f>
        <v>005BB96C</v>
      </c>
      <c r="C123" s="9" t="s">
        <v>65</v>
      </c>
      <c r="D123" s="2">
        <f t="shared" si="12"/>
        <v>927</v>
      </c>
      <c r="E123" s="2">
        <f t="shared" si="14"/>
        <v>92</v>
      </c>
    </row>
    <row r="124" spans="1:5">
      <c r="A124" s="2" t="str">
        <f t="shared" si="11"/>
        <v>004BB96E</v>
      </c>
      <c r="B124" s="9" t="str">
        <f t="shared" ref="B124:B128" si="16">DEC2HEX(HEX2DEC(B123)+2,8)</f>
        <v>005BB96E</v>
      </c>
      <c r="C124" s="9" t="s">
        <v>66</v>
      </c>
      <c r="D124" s="2">
        <f t="shared" si="12"/>
        <v>928</v>
      </c>
      <c r="E124" s="2">
        <f t="shared" si="14"/>
        <v>1</v>
      </c>
    </row>
    <row r="125" spans="1:5">
      <c r="A125" s="2" t="str">
        <f t="shared" si="11"/>
        <v>004BB970</v>
      </c>
      <c r="B125" s="9" t="str">
        <f t="shared" si="16"/>
        <v>005BB970</v>
      </c>
      <c r="C125" s="9" t="s">
        <v>67</v>
      </c>
      <c r="D125" s="2">
        <f t="shared" si="12"/>
        <v>929</v>
      </c>
      <c r="E125" s="2">
        <f t="shared" si="14"/>
        <v>1</v>
      </c>
    </row>
    <row r="126" spans="1:5">
      <c r="A126" s="2" t="str">
        <f t="shared" si="11"/>
        <v>004BB972</v>
      </c>
      <c r="B126" s="9" t="str">
        <f t="shared" si="16"/>
        <v>005BB972</v>
      </c>
      <c r="C126" s="9" t="s">
        <v>68</v>
      </c>
      <c r="D126" s="2">
        <f t="shared" si="12"/>
        <v>930</v>
      </c>
      <c r="E126" s="2">
        <f t="shared" si="14"/>
        <v>1</v>
      </c>
    </row>
    <row r="127" spans="1:5">
      <c r="A127" s="2" t="str">
        <f t="shared" si="11"/>
        <v>004BB974</v>
      </c>
      <c r="B127" s="9" t="str">
        <f t="shared" si="16"/>
        <v>005BB974</v>
      </c>
      <c r="C127" s="9" t="s">
        <v>69</v>
      </c>
      <c r="D127" s="2">
        <f t="shared" si="12"/>
        <v>931</v>
      </c>
      <c r="E127" s="2">
        <f t="shared" si="14"/>
        <v>1</v>
      </c>
    </row>
    <row r="128" spans="1:5" ht="15.5" customHeight="1">
      <c r="A128" s="2" t="str">
        <f t="shared" si="11"/>
        <v>004BB976</v>
      </c>
      <c r="B128" s="9" t="str">
        <f t="shared" si="16"/>
        <v>005BB976</v>
      </c>
      <c r="C128" s="9" t="s">
        <v>70</v>
      </c>
      <c r="D128" s="2">
        <f t="shared" si="12"/>
        <v>932</v>
      </c>
      <c r="E128" s="2">
        <f t="shared" si="14"/>
        <v>1</v>
      </c>
    </row>
  </sheetData>
  <mergeCells count="6">
    <mergeCell ref="B2:H2"/>
    <mergeCell ref="B22:H22"/>
    <mergeCell ref="B29:H29"/>
    <mergeCell ref="B93:H93"/>
    <mergeCell ref="B49:H49"/>
    <mergeCell ref="B56:H5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Edited Code (Has my table)</vt:lpstr>
      <vt:lpstr>Edited code raw</vt:lpstr>
      <vt:lpstr>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</dc:creator>
  <cp:lastModifiedBy>Andrew Baruch</cp:lastModifiedBy>
  <dcterms:created xsi:type="dcterms:W3CDTF">2015-06-05T18:17:20Z</dcterms:created>
  <dcterms:modified xsi:type="dcterms:W3CDTF">2026-06-12T16:39:13Z</dcterms:modified>
</cp:coreProperties>
</file>