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E359D2F1-DA17-4812-BC59-23DFA0508AA1}" xr6:coauthVersionLast="47" xr6:coauthVersionMax="47" xr10:uidLastSave="{00000000-0000-0000-0000-000000000000}"/>
  <bookViews>
    <workbookView xWindow="16449" yWindow="0" windowWidth="16465" windowHeight="17914" xr2:uid="{FFF8744C-F0B4-428F-8CA7-718350CADE02}"/>
  </bookViews>
  <sheets>
    <sheet name="Edited" sheetId="13" r:id="rId1"/>
    <sheet name="original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3" l="1"/>
  <c r="C45" i="13"/>
  <c r="C47" i="13" s="1"/>
  <c r="C49" i="13" s="1"/>
  <c r="C51" i="13" s="1"/>
  <c r="A7" i="13" l="1"/>
  <c r="A8" i="13" s="1"/>
  <c r="A9" i="13" s="1"/>
  <c r="A10" i="13" s="1"/>
  <c r="A11" i="13" s="1"/>
  <c r="A12" i="13" s="1"/>
  <c r="A13" i="13" s="1"/>
  <c r="C18" i="12"/>
  <c r="C16" i="12"/>
  <c r="C14" i="12"/>
  <c r="C13" i="12"/>
  <c r="C11" i="12"/>
  <c r="C9" i="12"/>
  <c r="C7" i="12"/>
  <c r="C4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14" i="13" l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4" i="12"/>
  <c r="A5" i="12" s="1"/>
  <c r="A6" i="12" s="1"/>
  <c r="A7" i="12" s="1"/>
  <c r="A51" i="13" l="1"/>
  <c r="C43" i="13"/>
  <c r="C18" i="13"/>
  <c r="C26" i="13" l="1"/>
  <c r="C32" i="13"/>
  <c r="C40" i="13" l="1"/>
  <c r="C22" i="13" l="1"/>
  <c r="C36" i="13" s="1"/>
  <c r="C28" i="13"/>
  <c r="C42" i="13" s="1"/>
  <c r="C29" i="13" l="1"/>
</calcChain>
</file>

<file path=xl/sharedStrings.xml><?xml version="1.0" encoding="utf-8"?>
<sst xmlns="http://schemas.openxmlformats.org/spreadsheetml/2006/main" count="182" uniqueCount="122">
  <si>
    <t>Address</t>
  </si>
  <si>
    <t>Hex</t>
  </si>
  <si>
    <t>instruction</t>
  </si>
  <si>
    <t>notes</t>
  </si>
  <si>
    <t>1EFF2FE1</t>
  </si>
  <si>
    <t>bx lr</t>
  </si>
  <si>
    <t>0400000A</t>
  </si>
  <si>
    <t>Weather Type Modifier</t>
  </si>
  <si>
    <t>000B0594</t>
  </si>
  <si>
    <t>010050E3</t>
  </si>
  <si>
    <t>020050E3</t>
  </si>
  <si>
    <t>05005013</t>
  </si>
  <si>
    <t>0600000A</t>
  </si>
  <si>
    <t>060050E3</t>
  </si>
  <si>
    <t>0800001A</t>
  </si>
  <si>
    <t>090051E3</t>
  </si>
  <si>
    <t>0A00000A</t>
  </si>
  <si>
    <t>0A0051E3</t>
  </si>
  <si>
    <t>030000EA</t>
  </si>
  <si>
    <t>0300000A</t>
  </si>
  <si>
    <t>010AA0E3</t>
  </si>
  <si>
    <t>020BA0E3</t>
  </si>
  <si>
    <t>060BA0E3</t>
  </si>
  <si>
    <t>cmp r1, 0xa</t>
  </si>
  <si>
    <t>mov r0, 0x1000</t>
  </si>
  <si>
    <t>mov r0, 0x800</t>
  </si>
  <si>
    <t>mov r0, 0x1800</t>
  </si>
  <si>
    <t>cmp r0, 0x1</t>
  </si>
  <si>
    <t>cmp r0, 0x2</t>
  </si>
  <si>
    <t>cmpne r0, 0x5</t>
  </si>
  <si>
    <t>cmp r0, 0x6</t>
  </si>
  <si>
    <t>cmp r1, 0x9</t>
  </si>
  <si>
    <t>r8 holds pointer to attacker, r4 holds value such that ldr r0, [r4, 0x60] gives the move ID, r0 holds weather</t>
  </si>
  <si>
    <t>cmp r1, 0xA</t>
  </si>
  <si>
    <t>sun</t>
  </si>
  <si>
    <t>Fire</t>
  </si>
  <si>
    <t>1.5x</t>
  </si>
  <si>
    <t>1.0x</t>
  </si>
  <si>
    <t>0.5x</t>
  </si>
  <si>
    <t>Water</t>
  </si>
  <si>
    <t>Any other Type</t>
  </si>
  <si>
    <t>Rain</t>
  </si>
  <si>
    <t>Primordial Sea</t>
  </si>
  <si>
    <t>Desolate Land</t>
  </si>
  <si>
    <t>r8 holds pointer to attacker, r4 holds value such that ldr r0, [r4, 0x60] gives the move ID, r0 holds weather, r1 move type</t>
  </si>
  <si>
    <t>first, check if Ability overrides the weather</t>
  </si>
  <si>
    <t>mov r0, r8</t>
  </si>
  <si>
    <t>mov r1, 0x11</t>
  </si>
  <si>
    <t>bl 0x00092628</t>
  </si>
  <si>
    <t>cmp r0, 0xC1</t>
  </si>
  <si>
    <t>Mega Sol</t>
  </si>
  <si>
    <t>nop</t>
  </si>
  <si>
    <t>leave for future use</t>
  </si>
  <si>
    <t>If true, use Sun as weather</t>
  </si>
  <si>
    <t>mov r5, r0</t>
  </si>
  <si>
    <t>mov r6, r1</t>
  </si>
  <si>
    <t>moveq r5, 0x1</t>
  </si>
  <si>
    <t>save weather in r5</t>
  </si>
  <si>
    <t>and move type in r1</t>
  </si>
  <si>
    <t>ldr r0, [r4, 0x60]</t>
  </si>
  <si>
    <t>get Move ID</t>
  </si>
  <si>
    <t>cmp r5, 0x1</t>
  </si>
  <si>
    <t>cmpne r5, 0x6</t>
  </si>
  <si>
    <t>Sun</t>
  </si>
  <si>
    <t>go to rain</t>
  </si>
  <si>
    <t>sub r1, r0, 0x200</t>
  </si>
  <si>
    <t>subs r1, r1, 0x6B</t>
  </si>
  <si>
    <t>check Precipice Blades</t>
  </si>
  <si>
    <t>(use bl to table once add Hydro Steam)</t>
  </si>
  <si>
    <t>cmpne r6, 0x9</t>
  </si>
  <si>
    <t>if not match, check if Fire</t>
  </si>
  <si>
    <t>branch to 1.5x</t>
  </si>
  <si>
    <t>hook for future use</t>
  </si>
  <si>
    <t>cmp r6, 0xA</t>
  </si>
  <si>
    <t>Check Water</t>
  </si>
  <si>
    <t>cmp r5, 0x2</t>
  </si>
  <si>
    <t>cmpne r5, 0x5</t>
  </si>
  <si>
    <t>otherwise set 1.0x</t>
  </si>
  <si>
    <t>no valid weather, set 1.0x</t>
  </si>
  <si>
    <t>check  water</t>
  </si>
  <si>
    <t>cmp r6, 0x9</t>
  </si>
  <si>
    <t>Check Fire</t>
  </si>
  <si>
    <t>0050A0E1</t>
  </si>
  <si>
    <t>0160A0E1</t>
  </si>
  <si>
    <t>0800A0E1</t>
  </si>
  <si>
    <t>1110A0E3</t>
  </si>
  <si>
    <t>C10050E3</t>
  </si>
  <si>
    <t>00F020E3</t>
  </si>
  <si>
    <t>0150A003</t>
  </si>
  <si>
    <t>600094E5</t>
  </si>
  <si>
    <t>010055E3</t>
  </si>
  <si>
    <t>06005513</t>
  </si>
  <si>
    <t>021C40E2</t>
  </si>
  <si>
    <t>6B1051E2</t>
  </si>
  <si>
    <t>09005613</t>
  </si>
  <si>
    <t>0A0056E3</t>
  </si>
  <si>
    <t>020055E3</t>
  </si>
  <si>
    <t>05005513</t>
  </si>
  <si>
    <t>090056E3</t>
  </si>
  <si>
    <t>push {r4, r5, r6, lr}</t>
  </si>
  <si>
    <t>70402DE9</t>
  </si>
  <si>
    <t>7080BDE8</t>
  </si>
  <si>
    <t>Water, check Sun</t>
  </si>
  <si>
    <t>neither water nor fire, set 1.0x</t>
  </si>
  <si>
    <t>room for future table</t>
  </si>
  <si>
    <t>mov r0, 0x0</t>
  </si>
  <si>
    <t>0x0 (attempt to make AI respect Primordial)</t>
  </si>
  <si>
    <t>Fire, check rain</t>
  </si>
  <si>
    <t>regular sun, 0.5x</t>
  </si>
  <si>
    <t>regular rain, branch to 0.5x</t>
  </si>
  <si>
    <t>00101A00</t>
  </si>
  <si>
    <t>0343FEEB</t>
  </si>
  <si>
    <t>0A00001A</t>
  </si>
  <si>
    <t>1600000A</t>
  </si>
  <si>
    <t>1000001A</t>
  </si>
  <si>
    <t>1200000A</t>
  </si>
  <si>
    <t>1300001A</t>
  </si>
  <si>
    <t>0800000A</t>
  </si>
  <si>
    <t>0200001A</t>
  </si>
  <si>
    <t>0500001A</t>
  </si>
  <si>
    <t>0000A0E3</t>
  </si>
  <si>
    <t>194501EA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</si>
</sst>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49" fontId="2" fillId="5" borderId="0" xfId="0" quotePrefix="1" applyNumberFormat="1" applyFont="1" applyFill="1"/>
    <xf numFmtId="49" fontId="3" fillId="5" borderId="0" xfId="0" quotePrefix="1" applyNumberFormat="1" applyFont="1" applyFill="1"/>
    <xf numFmtId="0" fontId="3" fillId="5" borderId="0" xfId="0" applyFont="1" applyFill="1"/>
    <xf numFmtId="0" fontId="2" fillId="6" borderId="0" xfId="0" applyFont="1" applyFill="1"/>
    <xf numFmtId="49" fontId="3" fillId="6" borderId="0" xfId="0" applyNumberFormat="1" applyFont="1" applyFill="1"/>
    <xf numFmtId="0" fontId="3" fillId="6" borderId="0" xfId="0" applyFont="1" applyFill="1"/>
    <xf numFmtId="49" fontId="2" fillId="6" borderId="0" xfId="0" quotePrefix="1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3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0" borderId="0" xfId="0" quotePrefix="1" applyFont="1" applyFill="1"/>
    <xf numFmtId="0" fontId="2" fillId="11" borderId="0" xfId="0" applyFont="1" applyFill="1"/>
    <xf numFmtId="0" fontId="2" fillId="11" borderId="0" xfId="0" quotePrefix="1" applyFont="1" applyFill="1"/>
    <xf numFmtId="49" fontId="3" fillId="11" borderId="0" xfId="0" quotePrefix="1" applyNumberFormat="1" applyFont="1" applyFill="1"/>
    <xf numFmtId="0" fontId="3" fillId="11" borderId="0" xfId="0" applyFont="1" applyFill="1"/>
    <xf numFmtId="0" fontId="2" fillId="12" borderId="0" xfId="0" applyFont="1" applyFill="1"/>
    <xf numFmtId="49" fontId="3" fillId="12" borderId="0" xfId="0" applyNumberFormat="1" applyFont="1" applyFill="1"/>
    <xf numFmtId="0" fontId="3" fillId="12" borderId="0" xfId="0" applyFont="1" applyFill="1"/>
    <xf numFmtId="0" fontId="3" fillId="3" borderId="0" xfId="0" applyFont="1" applyFill="1"/>
    <xf numFmtId="0" fontId="3" fillId="2" borderId="0" xfId="0" applyFont="1" applyFill="1"/>
    <xf numFmtId="49" fontId="3" fillId="3" borderId="0" xfId="0" quotePrefix="1" applyNumberFormat="1" applyFont="1" applyFill="1"/>
    <xf numFmtId="49" fontId="3" fillId="3" borderId="0" xfId="0" applyNumberFormat="1" applyFont="1" applyFill="1"/>
    <xf numFmtId="0" fontId="2" fillId="13" borderId="0" xfId="0" applyFont="1" applyFill="1"/>
    <xf numFmtId="49" fontId="2" fillId="13" borderId="0" xfId="0" quotePrefix="1" applyNumberFormat="1" applyFont="1" applyFill="1"/>
    <xf numFmtId="49" fontId="2" fillId="13" borderId="0" xfId="0" applyNumberFormat="1" applyFont="1" applyFill="1"/>
    <xf numFmtId="0" fontId="3" fillId="13" borderId="0" xfId="0" applyFont="1" applyFill="1"/>
    <xf numFmtId="0" fontId="2" fillId="8" borderId="0" xfId="0" quotePrefix="1" applyFont="1" applyFill="1"/>
    <xf numFmtId="49" fontId="3" fillId="8" borderId="0" xfId="0" quotePrefix="1" applyNumberFormat="1" applyFont="1" applyFill="1"/>
    <xf numFmtId="0" fontId="3" fillId="8" borderId="0" xfId="0" applyFont="1" applyFill="1"/>
    <xf numFmtId="49" fontId="3" fillId="8" borderId="0" xfId="0" applyNumberFormat="1" applyFont="1" applyFill="1"/>
    <xf numFmtId="0" fontId="2" fillId="14" borderId="0" xfId="0" applyFont="1" applyFill="1"/>
    <xf numFmtId="49" fontId="2" fillId="14" borderId="0" xfId="0" quotePrefix="1" applyNumberFormat="1" applyFont="1" applyFill="1"/>
    <xf numFmtId="49" fontId="2" fillId="14" borderId="0" xfId="0" applyNumberFormat="1" applyFont="1" applyFill="1"/>
    <xf numFmtId="0" fontId="3" fillId="14" borderId="0" xfId="0" applyFont="1" applyFill="1"/>
    <xf numFmtId="0" fontId="2" fillId="15" borderId="0" xfId="0" applyFont="1" applyFill="1"/>
    <xf numFmtId="49" fontId="2" fillId="15" borderId="0" xfId="0" quotePrefix="1" applyNumberFormat="1" applyFont="1" applyFill="1"/>
    <xf numFmtId="0" fontId="2" fillId="15" borderId="0" xfId="0" quotePrefix="1" applyFont="1" applyFill="1"/>
    <xf numFmtId="49" fontId="2" fillId="9" borderId="0" xfId="0" applyNumberFormat="1" applyFont="1" applyFill="1"/>
    <xf numFmtId="49" fontId="3" fillId="9" borderId="0" xfId="0" applyNumberFormat="1" applyFont="1" applyFill="1"/>
    <xf numFmtId="0" fontId="3" fillId="9" borderId="0" xfId="0" applyFont="1" applyFill="1"/>
    <xf numFmtId="0" fontId="2" fillId="16" borderId="0" xfId="0" applyFont="1" applyFill="1"/>
    <xf numFmtId="49" fontId="2" fillId="16" borderId="0" xfId="0" applyNumberFormat="1" applyFont="1" applyFill="1"/>
    <xf numFmtId="49" fontId="2" fillId="16" borderId="0" xfId="0" quotePrefix="1" applyNumberFormat="1" applyFont="1" applyFill="1"/>
    <xf numFmtId="0" fontId="2" fillId="17" borderId="0" xfId="0" applyFont="1" applyFill="1"/>
    <xf numFmtId="49" fontId="2" fillId="1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E46-BAFF-4288-852C-796EA5E0E042}">
  <dimension ref="A1:D71"/>
  <sheetViews>
    <sheetView tabSelected="1" zoomScaleNormal="100" workbookViewId="0">
      <pane ySplit="1" topLeftCell="A2" activePane="bottomLeft" state="frozen"/>
      <selection pane="bottomLeft" activeCell="C17" sqref="C17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51.0703125" style="2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</v>
      </c>
      <c r="B2" s="2" t="s">
        <v>121</v>
      </c>
      <c r="C2" s="2" t="str">
        <f>_xlfn.CONCAT("b 0x",A6)</f>
        <v>b 0x00101A00</v>
      </c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 t="s">
        <v>7</v>
      </c>
      <c r="B5" s="1"/>
      <c r="C5" s="1"/>
      <c r="D5" s="2" t="s">
        <v>44</v>
      </c>
    </row>
    <row r="6" spans="1:4">
      <c r="A6" s="3" t="s">
        <v>110</v>
      </c>
      <c r="B6" s="3" t="s">
        <v>100</v>
      </c>
      <c r="C6" s="2" t="s">
        <v>99</v>
      </c>
    </row>
    <row r="7" spans="1:4">
      <c r="A7" s="4" t="str">
        <f t="shared" ref="A7:A51" si="0">DEC2HEX(HEX2DEC(A6)+4,8)</f>
        <v>00101A04</v>
      </c>
      <c r="B7" s="5" t="s">
        <v>82</v>
      </c>
      <c r="C7" s="4" t="s">
        <v>54</v>
      </c>
      <c r="D7" s="4" t="s">
        <v>57</v>
      </c>
    </row>
    <row r="8" spans="1:4">
      <c r="A8" s="4" t="str">
        <f t="shared" si="0"/>
        <v>00101A08</v>
      </c>
      <c r="B8" s="5" t="s">
        <v>83</v>
      </c>
      <c r="C8" s="4" t="s">
        <v>55</v>
      </c>
      <c r="D8" s="4" t="s">
        <v>58</v>
      </c>
    </row>
    <row r="9" spans="1:4">
      <c r="A9" s="4" t="str">
        <f t="shared" si="0"/>
        <v>00101A0C</v>
      </c>
      <c r="B9" s="5" t="s">
        <v>84</v>
      </c>
      <c r="C9" s="4" t="s">
        <v>46</v>
      </c>
      <c r="D9" s="4" t="s">
        <v>45</v>
      </c>
    </row>
    <row r="10" spans="1:4">
      <c r="A10" s="4" t="str">
        <f t="shared" si="0"/>
        <v>00101A10</v>
      </c>
      <c r="B10" s="5" t="s">
        <v>85</v>
      </c>
      <c r="C10" s="4" t="s">
        <v>47</v>
      </c>
      <c r="D10" s="4"/>
    </row>
    <row r="11" spans="1:4">
      <c r="A11" s="4" t="str">
        <f t="shared" si="0"/>
        <v>00101A14</v>
      </c>
      <c r="B11" s="5" t="s">
        <v>111</v>
      </c>
      <c r="C11" s="4" t="s">
        <v>48</v>
      </c>
      <c r="D11" s="4"/>
    </row>
    <row r="12" spans="1:4">
      <c r="A12" s="4" t="str">
        <f t="shared" si="0"/>
        <v>00101A18</v>
      </c>
      <c r="B12" s="35" t="s">
        <v>86</v>
      </c>
      <c r="C12" s="4" t="s">
        <v>49</v>
      </c>
      <c r="D12" s="4" t="s">
        <v>50</v>
      </c>
    </row>
    <row r="13" spans="1:4">
      <c r="A13" s="4" t="str">
        <f t="shared" si="0"/>
        <v>00101A1C</v>
      </c>
      <c r="B13" s="5" t="s">
        <v>87</v>
      </c>
      <c r="C13" s="4" t="s">
        <v>51</v>
      </c>
      <c r="D13" s="4" t="s">
        <v>52</v>
      </c>
    </row>
    <row r="14" spans="1:4">
      <c r="A14" s="4" t="str">
        <f t="shared" si="0"/>
        <v>00101A20</v>
      </c>
      <c r="B14" s="4" t="s">
        <v>88</v>
      </c>
      <c r="C14" s="4" t="s">
        <v>56</v>
      </c>
      <c r="D14" s="35" t="s">
        <v>53</v>
      </c>
    </row>
    <row r="15" spans="1:4">
      <c r="A15" s="2" t="str">
        <f t="shared" si="0"/>
        <v>00101A24</v>
      </c>
      <c r="B15" s="3" t="s">
        <v>89</v>
      </c>
      <c r="C15" s="2" t="s">
        <v>59</v>
      </c>
      <c r="D15" s="2" t="s">
        <v>60</v>
      </c>
    </row>
    <row r="16" spans="1:4">
      <c r="A16" s="8" t="str">
        <f t="shared" si="0"/>
        <v>00101A28</v>
      </c>
      <c r="B16" s="9" t="s">
        <v>90</v>
      </c>
      <c r="C16" s="8" t="s">
        <v>61</v>
      </c>
      <c r="D16" s="8" t="s">
        <v>63</v>
      </c>
    </row>
    <row r="17" spans="1:4">
      <c r="A17" s="8" t="str">
        <f t="shared" si="0"/>
        <v>00101A2C</v>
      </c>
      <c r="B17" s="9" t="s">
        <v>91</v>
      </c>
      <c r="C17" s="8" t="s">
        <v>62</v>
      </c>
      <c r="D17" s="8" t="s">
        <v>43</v>
      </c>
    </row>
    <row r="18" spans="1:4">
      <c r="A18" s="23" t="str">
        <f t="shared" si="0"/>
        <v>00101A30</v>
      </c>
      <c r="B18" s="42" t="s">
        <v>112</v>
      </c>
      <c r="C18" s="23" t="str">
        <f>_xlfn.CONCAT("bne 0x",A30)</f>
        <v>bne 0x00101A60</v>
      </c>
      <c r="D18" s="23" t="s">
        <v>64</v>
      </c>
    </row>
    <row r="19" spans="1:4">
      <c r="A19" s="8" t="str">
        <f t="shared" si="0"/>
        <v>00101A34</v>
      </c>
      <c r="B19" s="36" t="s">
        <v>92</v>
      </c>
      <c r="C19" s="8" t="s">
        <v>65</v>
      </c>
      <c r="D19" s="34" t="s">
        <v>67</v>
      </c>
    </row>
    <row r="20" spans="1:4">
      <c r="A20" s="8" t="str">
        <f t="shared" si="0"/>
        <v>00101A38</v>
      </c>
      <c r="B20" s="37" t="s">
        <v>93</v>
      </c>
      <c r="C20" s="8" t="s">
        <v>66</v>
      </c>
      <c r="D20" s="8" t="s">
        <v>68</v>
      </c>
    </row>
    <row r="21" spans="1:4">
      <c r="A21" s="8" t="str">
        <f t="shared" si="0"/>
        <v>00101A3C</v>
      </c>
      <c r="B21" s="37" t="s">
        <v>94</v>
      </c>
      <c r="C21" s="8" t="s">
        <v>69</v>
      </c>
      <c r="D21" s="34" t="s">
        <v>70</v>
      </c>
    </row>
    <row r="22" spans="1:4">
      <c r="A22" s="24" t="str">
        <f t="shared" si="0"/>
        <v>00101A40</v>
      </c>
      <c r="B22" s="54" t="s">
        <v>113</v>
      </c>
      <c r="C22" s="24" t="str">
        <f>_xlfn.CONCAT("beq 0x",A46)</f>
        <v>beq 0x00101AA0</v>
      </c>
      <c r="D22" s="55" t="s">
        <v>71</v>
      </c>
    </row>
    <row r="23" spans="1:4">
      <c r="A23" s="38" t="str">
        <f t="shared" si="0"/>
        <v>00101A44</v>
      </c>
      <c r="B23" s="39" t="s">
        <v>95</v>
      </c>
      <c r="C23" s="41" t="s">
        <v>73</v>
      </c>
      <c r="D23" s="38" t="s">
        <v>74</v>
      </c>
    </row>
    <row r="24" spans="1:4">
      <c r="A24" s="38" t="str">
        <f t="shared" si="0"/>
        <v>00101A48</v>
      </c>
      <c r="B24" s="39" t="s">
        <v>87</v>
      </c>
      <c r="C24" s="41" t="s">
        <v>51</v>
      </c>
      <c r="D24" s="38" t="s">
        <v>104</v>
      </c>
    </row>
    <row r="25" spans="1:4">
      <c r="A25" s="38" t="str">
        <f t="shared" si="0"/>
        <v>00101A4C</v>
      </c>
      <c r="B25" s="39" t="s">
        <v>87</v>
      </c>
      <c r="C25" s="41" t="s">
        <v>51</v>
      </c>
      <c r="D25" s="38"/>
    </row>
    <row r="26" spans="1:4">
      <c r="A26" s="50" t="str">
        <f t="shared" si="0"/>
        <v>00101A50</v>
      </c>
      <c r="B26" s="51" t="s">
        <v>114</v>
      </c>
      <c r="C26" s="50" t="str">
        <f>_xlfn.CONCAT("bne 0x",A44)</f>
        <v>bne 0x00101A98</v>
      </c>
      <c r="D26" s="50" t="s">
        <v>103</v>
      </c>
    </row>
    <row r="27" spans="1:4">
      <c r="A27" s="38" t="str">
        <f t="shared" si="0"/>
        <v>00101A54</v>
      </c>
      <c r="B27" s="40" t="s">
        <v>90</v>
      </c>
      <c r="C27" s="41" t="s">
        <v>61</v>
      </c>
      <c r="D27" s="38" t="s">
        <v>102</v>
      </c>
    </row>
    <row r="28" spans="1:4">
      <c r="A28" s="56" t="str">
        <f t="shared" si="0"/>
        <v>00101A58</v>
      </c>
      <c r="B28" s="57" t="s">
        <v>115</v>
      </c>
      <c r="C28" s="56" t="str">
        <f>_xlfn.CONCAT("beq 0x",A48)</f>
        <v>beq 0x00101AA8</v>
      </c>
      <c r="D28" s="56" t="s">
        <v>108</v>
      </c>
    </row>
    <row r="29" spans="1:4">
      <c r="A29" s="59" t="str">
        <f t="shared" si="0"/>
        <v>00101A5C</v>
      </c>
      <c r="B29" s="60" t="s">
        <v>116</v>
      </c>
      <c r="C29" s="59" t="str">
        <f>_xlfn.CONCAT("bne 0x",A50)</f>
        <v>bne 0x00101AB0</v>
      </c>
      <c r="D29" s="59" t="s">
        <v>43</v>
      </c>
    </row>
    <row r="30" spans="1:4">
      <c r="A30" s="23" t="str">
        <f t="shared" si="0"/>
        <v>00101A60</v>
      </c>
      <c r="B30" s="42" t="s">
        <v>96</v>
      </c>
      <c r="C30" s="23" t="s">
        <v>75</v>
      </c>
      <c r="D30" s="23" t="s">
        <v>41</v>
      </c>
    </row>
    <row r="31" spans="1:4">
      <c r="A31" s="23" t="str">
        <f t="shared" si="0"/>
        <v>00101A64</v>
      </c>
      <c r="B31" s="42" t="s">
        <v>97</v>
      </c>
      <c r="C31" s="23" t="s">
        <v>76</v>
      </c>
      <c r="D31" s="23" t="s">
        <v>42</v>
      </c>
    </row>
    <row r="32" spans="1:4">
      <c r="A32" s="50" t="str">
        <f t="shared" si="0"/>
        <v>00101A68</v>
      </c>
      <c r="B32" s="52" t="s">
        <v>112</v>
      </c>
      <c r="C32" s="50" t="str">
        <f>_xlfn.CONCAT("bne 0x",A44)</f>
        <v>bne 0x00101A98</v>
      </c>
      <c r="D32" s="50" t="s">
        <v>78</v>
      </c>
    </row>
    <row r="33" spans="1:4">
      <c r="A33" s="23" t="str">
        <f t="shared" si="0"/>
        <v>00101A6C</v>
      </c>
      <c r="B33" s="43" t="s">
        <v>87</v>
      </c>
      <c r="C33" s="23" t="s">
        <v>51</v>
      </c>
      <c r="D33" s="44" t="s">
        <v>72</v>
      </c>
    </row>
    <row r="34" spans="1:4">
      <c r="A34" s="23" t="str">
        <f t="shared" si="0"/>
        <v>00101A70</v>
      </c>
      <c r="B34" s="45" t="s">
        <v>87</v>
      </c>
      <c r="C34" s="23" t="s">
        <v>51</v>
      </c>
      <c r="D34" s="23"/>
    </row>
    <row r="35" spans="1:4">
      <c r="A35" s="23" t="str">
        <f t="shared" si="0"/>
        <v>00101A74</v>
      </c>
      <c r="B35" s="45" t="s">
        <v>95</v>
      </c>
      <c r="C35" s="23" t="s">
        <v>73</v>
      </c>
      <c r="D35" s="44" t="s">
        <v>79</v>
      </c>
    </row>
    <row r="36" spans="1:4">
      <c r="A36" s="24" t="str">
        <f t="shared" si="0"/>
        <v>00101A78</v>
      </c>
      <c r="B36" s="54" t="s">
        <v>117</v>
      </c>
      <c r="C36" s="24" t="str">
        <f>C22</f>
        <v>beq 0x00101AA0</v>
      </c>
      <c r="D36" s="55" t="s">
        <v>71</v>
      </c>
    </row>
    <row r="37" spans="1:4">
      <c r="A37" s="46" t="str">
        <f t="shared" si="0"/>
        <v>00101A7C</v>
      </c>
      <c r="B37" s="47" t="s">
        <v>87</v>
      </c>
      <c r="C37" s="46" t="s">
        <v>51</v>
      </c>
      <c r="D37" s="46" t="s">
        <v>72</v>
      </c>
    </row>
    <row r="38" spans="1:4">
      <c r="A38" s="46" t="str">
        <f t="shared" si="0"/>
        <v>00101A80</v>
      </c>
      <c r="B38" s="48" t="s">
        <v>87</v>
      </c>
      <c r="C38" s="46" t="s">
        <v>51</v>
      </c>
      <c r="D38" s="46"/>
    </row>
    <row r="39" spans="1:4">
      <c r="A39" s="46" t="str">
        <f t="shared" si="0"/>
        <v>00101A84</v>
      </c>
      <c r="B39" s="48" t="s">
        <v>98</v>
      </c>
      <c r="C39" s="49" t="s">
        <v>80</v>
      </c>
      <c r="D39" s="46" t="s">
        <v>81</v>
      </c>
    </row>
    <row r="40" spans="1:4">
      <c r="A40" s="50" t="str">
        <f t="shared" si="0"/>
        <v>00101A88</v>
      </c>
      <c r="B40" s="51" t="s">
        <v>118</v>
      </c>
      <c r="C40" s="50" t="str">
        <f>_xlfn.CONCAT("bne 0x",A44)</f>
        <v>bne 0x00101A98</v>
      </c>
      <c r="D40" s="50" t="s">
        <v>77</v>
      </c>
    </row>
    <row r="41" spans="1:4">
      <c r="A41" s="46" t="str">
        <f t="shared" si="0"/>
        <v>00101A8C</v>
      </c>
      <c r="B41" s="48" t="s">
        <v>96</v>
      </c>
      <c r="C41" s="46" t="s">
        <v>75</v>
      </c>
      <c r="D41" s="46" t="s">
        <v>107</v>
      </c>
    </row>
    <row r="42" spans="1:4">
      <c r="A42" s="56" t="str">
        <f t="shared" si="0"/>
        <v>00101A90</v>
      </c>
      <c r="B42" s="58" t="s">
        <v>6</v>
      </c>
      <c r="C42" s="56" t="str">
        <f>C28</f>
        <v>beq 0x00101AA8</v>
      </c>
      <c r="D42" s="56" t="s">
        <v>109</v>
      </c>
    </row>
    <row r="43" spans="1:4">
      <c r="A43" s="59" t="str">
        <f t="shared" si="0"/>
        <v>00101A94</v>
      </c>
      <c r="B43" s="60" t="s">
        <v>119</v>
      </c>
      <c r="C43" s="59" t="str">
        <f>_xlfn.CONCAT("bne 0x",A50)</f>
        <v>bne 0x00101AB0</v>
      </c>
      <c r="D43" s="59" t="s">
        <v>42</v>
      </c>
    </row>
    <row r="44" spans="1:4">
      <c r="A44" s="50" t="str">
        <f t="shared" si="0"/>
        <v>00101A98</v>
      </c>
      <c r="B44" s="51" t="s">
        <v>20</v>
      </c>
      <c r="C44" s="50" t="s">
        <v>24</v>
      </c>
      <c r="D44" s="50" t="s">
        <v>77</v>
      </c>
    </row>
    <row r="45" spans="1:4">
      <c r="A45" s="50" t="str">
        <f t="shared" si="0"/>
        <v>00101A9C</v>
      </c>
      <c r="B45" s="51" t="s">
        <v>101</v>
      </c>
      <c r="C45" s="50" t="str">
        <f>SUBSTITUTE(SUBSTITUTE(C6,"push","pop"),"lr","pc")</f>
        <v>pop {r4, r5, r6, pc}</v>
      </c>
      <c r="D45" s="50"/>
    </row>
    <row r="46" spans="1:4">
      <c r="A46" s="24" t="str">
        <f t="shared" si="0"/>
        <v>00101AA0</v>
      </c>
      <c r="B46" s="53" t="s">
        <v>22</v>
      </c>
      <c r="C46" s="24" t="s">
        <v>26</v>
      </c>
      <c r="D46" s="24" t="s">
        <v>36</v>
      </c>
    </row>
    <row r="47" spans="1:4">
      <c r="A47" s="24" t="str">
        <f t="shared" si="0"/>
        <v>00101AA4</v>
      </c>
      <c r="B47" s="53" t="s">
        <v>101</v>
      </c>
      <c r="C47" s="24" t="str">
        <f>C45</f>
        <v>pop {r4, r5, r6, pc}</v>
      </c>
      <c r="D47" s="24"/>
    </row>
    <row r="48" spans="1:4">
      <c r="A48" s="56" t="str">
        <f t="shared" si="0"/>
        <v>00101AA8</v>
      </c>
      <c r="B48" s="57" t="s">
        <v>21</v>
      </c>
      <c r="C48" s="56" t="s">
        <v>25</v>
      </c>
      <c r="D48" s="56" t="s">
        <v>38</v>
      </c>
    </row>
    <row r="49" spans="1:4">
      <c r="A49" s="56" t="str">
        <f t="shared" si="0"/>
        <v>00101AAC</v>
      </c>
      <c r="B49" s="57" t="s">
        <v>101</v>
      </c>
      <c r="C49" s="56" t="str">
        <f>C47</f>
        <v>pop {r4, r5, r6, pc}</v>
      </c>
      <c r="D49" s="56"/>
    </row>
    <row r="50" spans="1:4">
      <c r="A50" s="59" t="str">
        <f t="shared" si="0"/>
        <v>00101AB0</v>
      </c>
      <c r="B50" s="60" t="s">
        <v>120</v>
      </c>
      <c r="C50" s="59" t="s">
        <v>105</v>
      </c>
      <c r="D50" s="59" t="s">
        <v>106</v>
      </c>
    </row>
    <row r="51" spans="1:4">
      <c r="A51" s="59" t="str">
        <f t="shared" si="0"/>
        <v>00101AB4</v>
      </c>
      <c r="B51" s="60" t="s">
        <v>101</v>
      </c>
      <c r="C51" s="59" t="str">
        <f>C49</f>
        <v>pop {r4, r5, r6, pc}</v>
      </c>
      <c r="D51" s="59"/>
    </row>
    <row r="52" spans="1:4">
      <c r="B52" s="3"/>
    </row>
    <row r="53" spans="1:4">
      <c r="B53" s="3"/>
    </row>
    <row r="54" spans="1:4">
      <c r="B54" s="3"/>
    </row>
    <row r="55" spans="1:4">
      <c r="B55" s="3"/>
    </row>
    <row r="56" spans="1:4">
      <c r="B56" s="3"/>
    </row>
    <row r="57" spans="1:4">
      <c r="B57" s="3"/>
    </row>
    <row r="58" spans="1:4">
      <c r="B58" s="3"/>
    </row>
    <row r="59" spans="1:4">
      <c r="B59" s="3"/>
    </row>
    <row r="60" spans="1:4">
      <c r="B60" s="3"/>
    </row>
    <row r="61" spans="1:4">
      <c r="B61" s="7"/>
    </row>
    <row r="62" spans="1:4">
      <c r="B62" s="7"/>
    </row>
    <row r="63" spans="1:4">
      <c r="B63" s="6"/>
    </row>
    <row r="64" spans="1:4">
      <c r="B64" s="7"/>
    </row>
    <row r="65" spans="2:2">
      <c r="B65" s="7"/>
    </row>
    <row r="66" spans="2:2">
      <c r="B66" s="6"/>
    </row>
    <row r="67" spans="2:2">
      <c r="B67" s="6"/>
    </row>
    <row r="68" spans="2:2">
      <c r="B68" s="6"/>
    </row>
    <row r="69" spans="2:2">
      <c r="B69" s="7"/>
    </row>
    <row r="70" spans="2:2">
      <c r="B70" s="7"/>
    </row>
    <row r="71" spans="2:2">
      <c r="B7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63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45.42578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7</v>
      </c>
      <c r="B2" s="1"/>
      <c r="C2" s="1"/>
      <c r="D2" s="2" t="s">
        <v>32</v>
      </c>
    </row>
    <row r="3" spans="1:4">
      <c r="A3" s="8" t="s">
        <v>8</v>
      </c>
      <c r="B3" s="9" t="s">
        <v>9</v>
      </c>
      <c r="C3" s="8" t="s">
        <v>27</v>
      </c>
      <c r="D3" s="8" t="s">
        <v>34</v>
      </c>
    </row>
    <row r="4" spans="1:4">
      <c r="A4" s="8" t="str">
        <f t="shared" ref="A4:A24" si="0">DEC2HEX(HEX2DEC(A3)+4,8)</f>
        <v>000B0598</v>
      </c>
      <c r="B4" s="9" t="s">
        <v>6</v>
      </c>
      <c r="C4" s="8" t="str">
        <f>_xlfn.CONCAT("beq 0x",A10)</f>
        <v>beq 0x000B05B0</v>
      </c>
      <c r="D4" s="8"/>
    </row>
    <row r="5" spans="1:4">
      <c r="A5" s="25" t="str">
        <f t="shared" si="0"/>
        <v>000B059C</v>
      </c>
      <c r="B5" s="26" t="s">
        <v>10</v>
      </c>
      <c r="C5" s="25" t="s">
        <v>28</v>
      </c>
      <c r="D5" s="25" t="s">
        <v>41</v>
      </c>
    </row>
    <row r="6" spans="1:4">
      <c r="A6" s="25" t="str">
        <f t="shared" si="0"/>
        <v>000B05A0</v>
      </c>
      <c r="B6" s="26" t="s">
        <v>11</v>
      </c>
      <c r="C6" s="25" t="s">
        <v>29</v>
      </c>
      <c r="D6" s="25" t="s">
        <v>42</v>
      </c>
    </row>
    <row r="7" spans="1:4">
      <c r="A7" s="25" t="str">
        <f t="shared" si="0"/>
        <v>000B05A4</v>
      </c>
      <c r="B7" s="26" t="s">
        <v>12</v>
      </c>
      <c r="C7" s="25" t="str">
        <f>_xlfn.CONCAT("beq 0x",A15)</f>
        <v>beq 0x000B05C4</v>
      </c>
      <c r="D7" s="25"/>
    </row>
    <row r="8" spans="1:4">
      <c r="A8" s="8" t="str">
        <f t="shared" si="0"/>
        <v>000B05A8</v>
      </c>
      <c r="B8" s="9" t="s">
        <v>13</v>
      </c>
      <c r="C8" s="8" t="s">
        <v>30</v>
      </c>
      <c r="D8" s="8" t="s">
        <v>43</v>
      </c>
    </row>
    <row r="9" spans="1:4">
      <c r="A9" s="8" t="str">
        <f t="shared" si="0"/>
        <v>000B05AC</v>
      </c>
      <c r="B9" s="34" t="s">
        <v>14</v>
      </c>
      <c r="C9" s="8" t="str">
        <f>_xlfn.CONCAT("bne 0x",A19)</f>
        <v>bne 0x000B05D4</v>
      </c>
      <c r="D9" s="34"/>
    </row>
    <row r="10" spans="1:4">
      <c r="A10" s="10" t="str">
        <f t="shared" si="0"/>
        <v>000B05B0</v>
      </c>
      <c r="B10" s="11" t="s">
        <v>15</v>
      </c>
      <c r="C10" s="10" t="s">
        <v>31</v>
      </c>
      <c r="D10" s="10" t="s">
        <v>35</v>
      </c>
    </row>
    <row r="11" spans="1:4">
      <c r="A11" s="10" t="str">
        <f t="shared" si="0"/>
        <v>000B05B4</v>
      </c>
      <c r="B11" s="10" t="s">
        <v>16</v>
      </c>
      <c r="C11" s="10" t="str">
        <f>_xlfn.CONCAT("beq 0x",A23)</f>
        <v>beq 0x000B05E4</v>
      </c>
      <c r="D11" s="10" t="s">
        <v>36</v>
      </c>
    </row>
    <row r="12" spans="1:4">
      <c r="A12" s="23" t="str">
        <f t="shared" si="0"/>
        <v>000B05B8</v>
      </c>
      <c r="B12" s="23" t="s">
        <v>17</v>
      </c>
      <c r="C12" s="23" t="s">
        <v>33</v>
      </c>
      <c r="D12" s="23" t="s">
        <v>39</v>
      </c>
    </row>
    <row r="13" spans="1:4">
      <c r="A13" s="23" t="str">
        <f t="shared" si="0"/>
        <v>000B05BC</v>
      </c>
      <c r="B13" s="23" t="s">
        <v>12</v>
      </c>
      <c r="C13" s="23" t="str">
        <f>_xlfn.CONCAT("beq 0x",A21)</f>
        <v>beq 0x000B05DC</v>
      </c>
      <c r="D13" s="23" t="s">
        <v>38</v>
      </c>
    </row>
    <row r="14" spans="1:4">
      <c r="A14" s="24" t="str">
        <f t="shared" si="0"/>
        <v>000B05C0</v>
      </c>
      <c r="B14" s="24" t="s">
        <v>18</v>
      </c>
      <c r="C14" s="24" t="str">
        <f>_xlfn.CONCAT("b 0x",A19)</f>
        <v>b 0x000B05D4</v>
      </c>
      <c r="D14" s="24" t="s">
        <v>40</v>
      </c>
    </row>
    <row r="15" spans="1:4">
      <c r="A15" s="27" t="str">
        <f t="shared" si="0"/>
        <v>000B05C4</v>
      </c>
      <c r="B15" s="28" t="s">
        <v>15</v>
      </c>
      <c r="C15" s="27" t="s">
        <v>31</v>
      </c>
      <c r="D15" s="27" t="s">
        <v>35</v>
      </c>
    </row>
    <row r="16" spans="1:4">
      <c r="A16" s="27" t="str">
        <f t="shared" si="0"/>
        <v>000B05C8</v>
      </c>
      <c r="B16" s="29" t="s">
        <v>19</v>
      </c>
      <c r="C16" s="27" t="str">
        <f>_xlfn.CONCAT("beq 0x",A21)</f>
        <v>beq 0x000B05DC</v>
      </c>
      <c r="D16" s="30" t="s">
        <v>38</v>
      </c>
    </row>
    <row r="17" spans="1:4">
      <c r="A17" s="31" t="str">
        <f t="shared" si="0"/>
        <v>000B05CC</v>
      </c>
      <c r="B17" s="32" t="s">
        <v>17</v>
      </c>
      <c r="C17" s="31" t="s">
        <v>23</v>
      </c>
      <c r="D17" s="31" t="s">
        <v>39</v>
      </c>
    </row>
    <row r="18" spans="1:4">
      <c r="A18" s="31" t="str">
        <f t="shared" si="0"/>
        <v>000B05D0</v>
      </c>
      <c r="B18" s="32" t="s">
        <v>19</v>
      </c>
      <c r="C18" s="31" t="str">
        <f>_xlfn.CONCAT("beq 0x",A23)</f>
        <v>beq 0x000B05E4</v>
      </c>
      <c r="D18" s="33" t="s">
        <v>36</v>
      </c>
    </row>
    <row r="19" spans="1:4">
      <c r="A19" s="16" t="str">
        <f t="shared" si="0"/>
        <v>000B05D4</v>
      </c>
      <c r="B19" s="17" t="s">
        <v>20</v>
      </c>
      <c r="C19" s="16" t="s">
        <v>24</v>
      </c>
      <c r="D19" s="18" t="s">
        <v>37</v>
      </c>
    </row>
    <row r="20" spans="1:4">
      <c r="A20" s="16" t="str">
        <f t="shared" si="0"/>
        <v>000B05D8</v>
      </c>
      <c r="B20" s="19" t="s">
        <v>4</v>
      </c>
      <c r="C20" s="16" t="s">
        <v>5</v>
      </c>
      <c r="D20" s="16"/>
    </row>
    <row r="21" spans="1:4">
      <c r="A21" s="20" t="str">
        <f t="shared" si="0"/>
        <v>000B05DC</v>
      </c>
      <c r="B21" s="21" t="s">
        <v>21</v>
      </c>
      <c r="C21" s="20" t="s">
        <v>25</v>
      </c>
      <c r="D21" s="20" t="s">
        <v>38</v>
      </c>
    </row>
    <row r="22" spans="1:4">
      <c r="A22" s="20" t="str">
        <f t="shared" si="0"/>
        <v>000B05E0</v>
      </c>
      <c r="B22" s="21" t="s">
        <v>4</v>
      </c>
      <c r="C22" s="22" t="s">
        <v>5</v>
      </c>
      <c r="D22" s="20"/>
    </row>
    <row r="23" spans="1:4">
      <c r="A23" s="12" t="str">
        <f t="shared" si="0"/>
        <v>000B05E4</v>
      </c>
      <c r="B23" s="13" t="s">
        <v>22</v>
      </c>
      <c r="C23" s="12" t="s">
        <v>26</v>
      </c>
      <c r="D23" s="12" t="s">
        <v>36</v>
      </c>
    </row>
    <row r="24" spans="1:4">
      <c r="A24" s="12" t="str">
        <f t="shared" si="0"/>
        <v>000B05E8</v>
      </c>
      <c r="B24" s="14" t="s">
        <v>4</v>
      </c>
      <c r="C24" s="15" t="s">
        <v>5</v>
      </c>
      <c r="D24" s="12"/>
    </row>
    <row r="27" spans="1:4">
      <c r="B27" s="3"/>
    </row>
    <row r="28" spans="1:4">
      <c r="B28" s="3"/>
    </row>
    <row r="29" spans="1:4">
      <c r="B29" s="3"/>
    </row>
    <row r="30" spans="1:4">
      <c r="B30" s="3"/>
    </row>
    <row r="31" spans="1:4">
      <c r="B31" s="3"/>
    </row>
    <row r="32" spans="1:4">
      <c r="B32" s="3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6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7"/>
    </row>
    <row r="54" spans="2:2">
      <c r="B54" s="7"/>
    </row>
    <row r="55" spans="2:2">
      <c r="B55" s="6"/>
    </row>
    <row r="56" spans="2:2">
      <c r="B56" s="7"/>
    </row>
    <row r="57" spans="2:2">
      <c r="B57" s="7"/>
    </row>
    <row r="58" spans="2:2">
      <c r="B58" s="6"/>
    </row>
    <row r="59" spans="2:2">
      <c r="B59" s="6"/>
    </row>
    <row r="60" spans="2:2">
      <c r="B60" s="6"/>
    </row>
    <row r="61" spans="2:2">
      <c r="B61" s="7"/>
    </row>
    <row r="62" spans="2:2">
      <c r="B62" s="7"/>
    </row>
    <row r="63" spans="2:2">
      <c r="B6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2026-06-21T07:55:11Z</dcterms:modified>
</cp:coreProperties>
</file>