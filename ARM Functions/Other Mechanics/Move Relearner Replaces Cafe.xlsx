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A268490D-029F-4E19-8201-629743B66318}" xr6:coauthVersionLast="47" xr6:coauthVersionMax="47" xr10:uidLastSave="{00000000-0000-0000-0000-000000000000}"/>
  <bookViews>
    <workbookView xWindow="3360" yWindow="3360" windowWidth="24686" windowHeight="13149" activeTab="1" xr2:uid="{FFF8744C-F0B4-428F-8CA7-718350CADE02}"/>
  </bookViews>
  <sheets>
    <sheet name="Copy Output" sheetId="10" r:id="rId1"/>
    <sheet name="Edited main" sheetId="6" r:id="rId2"/>
    <sheet name="Cafe Script IDs" sheetId="11" r:id="rId3"/>
    <sheet name="original" sheetId="5" r:id="rId4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6" l="1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C31" i="6"/>
  <c r="C29" i="6"/>
  <c r="C40" i="6"/>
  <c r="C38" i="6"/>
  <c r="C39" i="6"/>
  <c r="F41" i="6"/>
  <c r="E38" i="6"/>
  <c r="E39" i="6"/>
  <c r="E40" i="6"/>
  <c r="E41" i="6"/>
  <c r="A38" i="6"/>
  <c r="A39" i="6"/>
  <c r="A40" i="6"/>
  <c r="E16" i="11"/>
  <c r="E15" i="11"/>
  <c r="E14" i="11"/>
  <c r="E13" i="11"/>
  <c r="F13" i="11"/>
  <c r="E12" i="11"/>
  <c r="F12" i="11"/>
  <c r="E11" i="11"/>
  <c r="F11" i="11"/>
  <c r="E10" i="11"/>
  <c r="E9" i="11"/>
  <c r="F9" i="11"/>
  <c r="E8" i="11"/>
  <c r="E7" i="11"/>
  <c r="E6" i="11"/>
  <c r="E5" i="11"/>
  <c r="E4" i="11"/>
  <c r="E3" i="11"/>
  <c r="E2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H16" i="11"/>
  <c r="I16" i="11"/>
  <c r="H15" i="11"/>
  <c r="I15" i="11"/>
  <c r="H14" i="11"/>
  <c r="I14" i="11"/>
  <c r="H13" i="11"/>
  <c r="I13" i="11"/>
  <c r="H12" i="11"/>
  <c r="I12" i="11"/>
  <c r="I11" i="11"/>
  <c r="H11" i="11"/>
  <c r="H10" i="11"/>
  <c r="I10" i="11"/>
  <c r="H9" i="11"/>
  <c r="I9" i="11"/>
  <c r="H8" i="11"/>
  <c r="I8" i="11"/>
  <c r="H7" i="11"/>
  <c r="I7" i="11"/>
  <c r="H6" i="11"/>
  <c r="I6" i="11"/>
  <c r="H5" i="11"/>
  <c r="I5" i="11"/>
  <c r="H4" i="11"/>
  <c r="I4" i="11"/>
  <c r="H3" i="11"/>
  <c r="I3" i="11"/>
  <c r="I2" i="11"/>
  <c r="H2" i="11"/>
  <c r="F8" i="11"/>
  <c r="F7" i="11"/>
  <c r="F6" i="11"/>
  <c r="F5" i="11"/>
  <c r="F4" i="11"/>
  <c r="F3" i="11"/>
  <c r="F16" i="11"/>
  <c r="F15" i="11"/>
  <c r="F14" i="11"/>
  <c r="F10" i="11"/>
  <c r="F2" i="11"/>
  <c r="B20" i="11"/>
  <c r="B19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15" i="10"/>
  <c r="B7" i="10"/>
  <c r="B14" i="10"/>
  <c r="C14" i="10"/>
  <c r="B6" i="10"/>
  <c r="C6" i="10"/>
  <c r="A6" i="10"/>
  <c r="G55" i="6"/>
  <c r="G52" i="6"/>
  <c r="C55" i="6"/>
  <c r="C52" i="6"/>
  <c r="E26" i="6"/>
  <c r="E27" i="6"/>
  <c r="E28" i="6"/>
  <c r="E29" i="6"/>
  <c r="E30" i="6"/>
  <c r="E31" i="6"/>
  <c r="E32" i="6"/>
  <c r="E33" i="6"/>
  <c r="E34" i="6"/>
  <c r="E35" i="6"/>
  <c r="E36" i="6"/>
  <c r="E37" i="6"/>
  <c r="A26" i="6"/>
  <c r="A27" i="6"/>
  <c r="A28" i="6"/>
  <c r="A29" i="6"/>
  <c r="A30" i="6"/>
  <c r="A31" i="6"/>
  <c r="A32" i="6"/>
  <c r="A33" i="6"/>
  <c r="E14" i="6"/>
  <c r="G57" i="6"/>
  <c r="A14" i="6"/>
  <c r="E10" i="6"/>
  <c r="A10" i="6"/>
  <c r="G3" i="6"/>
  <c r="C3" i="6"/>
  <c r="C57" i="6"/>
  <c r="E17" i="6"/>
  <c r="A14" i="10"/>
  <c r="A34" i="6"/>
  <c r="A35" i="6"/>
  <c r="A36" i="6"/>
  <c r="A37" i="6"/>
  <c r="A41" i="6"/>
  <c r="E44" i="6"/>
  <c r="E45" i="6"/>
  <c r="E46" i="6"/>
  <c r="E49" i="6"/>
  <c r="E50" i="6"/>
  <c r="E51" i="6"/>
  <c r="E52" i="6"/>
  <c r="E53" i="6"/>
  <c r="E54" i="6"/>
  <c r="E55" i="6"/>
  <c r="E56" i="6"/>
  <c r="E57" i="6"/>
  <c r="A44" i="6"/>
  <c r="C10" i="6"/>
  <c r="A45" i="6"/>
  <c r="A46" i="6"/>
  <c r="A49" i="6"/>
  <c r="G10" i="6"/>
  <c r="G13" i="6"/>
  <c r="A50" i="6"/>
  <c r="A51" i="6"/>
  <c r="A52" i="6"/>
  <c r="A53" i="6"/>
  <c r="C13" i="6"/>
  <c r="A54" i="6"/>
  <c r="A55" i="6"/>
  <c r="A56" i="6"/>
  <c r="A57" i="6"/>
  <c r="C15" i="10"/>
  <c r="A15" i="10"/>
  <c r="B13" i="10"/>
  <c r="C13" i="10"/>
  <c r="A13" i="10"/>
  <c r="B12" i="10"/>
  <c r="C12" i="10"/>
  <c r="A12" i="10"/>
  <c r="B11" i="10"/>
  <c r="C11" i="10"/>
  <c r="A11" i="10"/>
  <c r="A5" i="10"/>
  <c r="A4" i="10"/>
  <c r="B5" i="10"/>
  <c r="B4" i="10"/>
  <c r="C5" i="10"/>
  <c r="C4" i="10"/>
  <c r="C7" i="10"/>
  <c r="A7" i="10"/>
  <c r="B3" i="10"/>
  <c r="A3" i="10"/>
  <c r="A23" i="5"/>
  <c r="A24" i="5"/>
  <c r="A25" i="5"/>
  <c r="A19" i="5"/>
  <c r="A12" i="5"/>
  <c r="A4" i="5"/>
  <c r="C3" i="10"/>
</calcChain>
</file>

<file path=xl/sharedStrings.xml><?xml version="1.0" encoding="utf-8"?>
<sst xmlns="http://schemas.openxmlformats.org/spreadsheetml/2006/main" count="213" uniqueCount="157">
  <si>
    <t>Address</t>
  </si>
  <si>
    <t>Hex</t>
  </si>
  <si>
    <t>instruction</t>
  </si>
  <si>
    <t>notes</t>
  </si>
  <si>
    <t>nop</t>
  </si>
  <si>
    <t>bx lr</t>
  </si>
  <si>
    <t>Thing to paste starting there</t>
  </si>
  <si>
    <t>cmp r0, r4</t>
  </si>
  <si>
    <t>040050E1</t>
  </si>
  <si>
    <t>00F020E3</t>
  </si>
  <si>
    <t>1EFF2FE1</t>
  </si>
  <si>
    <t>cmp r0, #2</t>
  </si>
  <si>
    <t>020050E3</t>
  </si>
  <si>
    <t>0029A044</t>
  </si>
  <si>
    <t>starts function that makes NPC do thing or something</t>
  </si>
  <si>
    <t>Café NPC</t>
  </si>
  <si>
    <t>00341654</t>
  </si>
  <si>
    <t>003417D8</t>
  </si>
  <si>
    <t>002238c0</t>
  </si>
  <si>
    <t>Return level</t>
  </si>
  <si>
    <t>003418c4</t>
  </si>
  <si>
    <t>Function Final Check</t>
  </si>
  <si>
    <t>Relearner Move Display Function Start</t>
  </si>
  <si>
    <t>Skip to if fail check</t>
  </si>
  <si>
    <t>F04F2DE9</t>
  </si>
  <si>
    <t>F0432DE9</t>
  </si>
  <si>
    <t>Replace Café NPC with Move Relearner</t>
  </si>
  <si>
    <t>002238C0</t>
  </si>
  <si>
    <t>003418C4</t>
  </si>
  <si>
    <t>push {r4, r5, r6, r7, r8, sb, sl, fp, lr}</t>
  </si>
  <si>
    <t>0029A048</t>
  </si>
  <si>
    <t>push {r4, r5, r6, r7, r8, sb, lr}</t>
  </si>
  <si>
    <t>sub sp, sp, #0xc</t>
  </si>
  <si>
    <t>0CD04DE2</t>
  </si>
  <si>
    <t xml:space="preserve">nop </t>
  </si>
  <si>
    <t>ldr r0, [r5, #0x208]</t>
  </si>
  <si>
    <t>add r4, r4, #1</t>
  </si>
  <si>
    <t>ldrb r0, [r0, #8]</t>
  </si>
  <si>
    <t>080295E5</t>
  </si>
  <si>
    <t>014084E2</t>
  </si>
  <si>
    <t>0800D0E5</t>
  </si>
  <si>
    <t>Prevent too-high-level moves from appearing</t>
  </si>
  <si>
    <t>Check change</t>
  </si>
  <si>
    <t>push {r0, r1, r2, r3, r4, lr}</t>
  </si>
  <si>
    <t>mov r4, r0</t>
  </si>
  <si>
    <t>write level to r0</t>
  </si>
  <si>
    <t>pop {r0, r1, r2, r3, r4, lr}</t>
  </si>
  <si>
    <t>cmp r0, 0x2</t>
  </si>
  <si>
    <t>1F402DE9</t>
  </si>
  <si>
    <t>0040A0E1</t>
  </si>
  <si>
    <t>1F40BDE8</t>
  </si>
  <si>
    <t>if above had r0 &lt; r4, branch to skip</t>
  </si>
  <si>
    <t>otherwise check this</t>
  </si>
  <si>
    <t>004B9F8C</t>
  </si>
  <si>
    <t>CF7F08EB</t>
  </si>
  <si>
    <t>Instruction UM</t>
  </si>
  <si>
    <t>Hex UM</t>
  </si>
  <si>
    <t>Address UM</t>
  </si>
  <si>
    <t>00341658</t>
  </si>
  <si>
    <t>003417DC</t>
  </si>
  <si>
    <t>003418C8</t>
  </si>
  <si>
    <t>US code.bin</t>
  </si>
  <si>
    <t>UM code.bin</t>
  </si>
  <si>
    <t>push {r4, r5, r6, r7, r8, r9, r10, lr}</t>
  </si>
  <si>
    <t>mov r10, r1</t>
  </si>
  <si>
    <t>mov r0, r10</t>
  </si>
  <si>
    <t>0A00A0E1</t>
  </si>
  <si>
    <t>Final Check</t>
  </si>
  <si>
    <t>Modify Pop</t>
  </si>
  <si>
    <t>003418EC</t>
  </si>
  <si>
    <t>pop {r4, r5, r6, r7, r8, r9, r10, pc}</t>
  </si>
  <si>
    <t>F087BDE8</t>
  </si>
  <si>
    <t>move pointer into r10</t>
  </si>
  <si>
    <t>adjust stack pointer (from org)</t>
  </si>
  <si>
    <t>return</t>
  </si>
  <si>
    <t>01A0A0E1</t>
  </si>
  <si>
    <t>F0472DE9</t>
  </si>
  <si>
    <t>Address US</t>
  </si>
  <si>
    <t>Hex US</t>
  </si>
  <si>
    <t>Instruction US</t>
  </si>
  <si>
    <t>Length (bytes, hex)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</si>
  <si>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</si>
  <si>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</si>
  <si>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</si>
  <si>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</si>
  <si>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</si>
  <si>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</si>
  <si>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</si>
  <si>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</si>
  <si>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</si>
  <si>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</si>
  <si>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</si>
  <si>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</si>
  <si>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</si>
  <si>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</si>
  <si>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</si>
  <si>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Pokemon Center</t>
  </si>
  <si>
    <t>Route 1</t>
  </si>
  <si>
    <t>Hau'oli City</t>
  </si>
  <si>
    <t>Route 2</t>
  </si>
  <si>
    <t>Heahea City</t>
  </si>
  <si>
    <t>Royal Avenue</t>
  </si>
  <si>
    <t>Route 8</t>
  </si>
  <si>
    <t>Konikoni City</t>
  </si>
  <si>
    <t>Malie City</t>
  </si>
  <si>
    <t>Tapu Village</t>
  </si>
  <si>
    <t>Seafolk Village</t>
  </si>
  <si>
    <t>Paniola Town</t>
  </si>
  <si>
    <t>Route 5</t>
  </si>
  <si>
    <t>Mount Hokulani/Route 10</t>
  </si>
  <si>
    <t>Mount Lanakila/Pokemon League</t>
  </si>
  <si>
    <t>Route 16</t>
  </si>
  <si>
    <t>Dec</t>
  </si>
  <si>
    <t>Move Relearner</t>
  </si>
  <si>
    <t>Super Training</t>
  </si>
  <si>
    <t>Plan</t>
  </si>
  <si>
    <t>Café</t>
  </si>
  <si>
    <t>sub r2, r1, 0x1400</t>
  </si>
  <si>
    <t>subs r2, r2, 0xAA</t>
  </si>
  <si>
    <t>lowest PC now 0</t>
  </si>
  <si>
    <t>Highest now E</t>
  </si>
  <si>
    <t>cmp r2, 0xE</t>
  </si>
  <si>
    <t>lsr r2, r2, #2</t>
  </si>
  <si>
    <t>push {r2, r3, lr}</t>
  </si>
  <si>
    <t>and r3, r2, 0x3</t>
  </si>
  <si>
    <t>add r3, r2, r3</t>
  </si>
  <si>
    <t>cmp r3, 0x3</t>
  </si>
  <si>
    <t>subhs r3, r3, 0x3</t>
  </si>
  <si>
    <t>take module 3</t>
  </si>
  <si>
    <t>cmp r3, 0x1</t>
  </si>
  <si>
    <t>7C151716</t>
  </si>
  <si>
    <t>Relearner ID | Hyper Training ID</t>
  </si>
  <si>
    <t>Hyper Training</t>
  </si>
  <si>
    <t>0C402DE9</t>
  </si>
  <si>
    <t>052B41E2</t>
  </si>
  <si>
    <t>AA2052E2</t>
  </si>
  <si>
    <t>090000BA</t>
  </si>
  <si>
    <t>0E0052E3</t>
  </si>
  <si>
    <t>0700008A</t>
  </si>
  <si>
    <t>033002E2</t>
  </si>
  <si>
    <t>2221A0E1</t>
  </si>
  <si>
    <t>033082E0</t>
  </si>
  <si>
    <t>030053E3</t>
  </si>
  <si>
    <t>03304322</t>
  </si>
  <si>
    <t>010053E3</t>
  </si>
  <si>
    <t>B410DF31</t>
  </si>
  <si>
    <t>B210DF81</t>
  </si>
  <si>
    <t>0C80BDE8</t>
  </si>
  <si>
    <t>331EFABA</t>
  </si>
  <si>
    <t>F71DFAEA</t>
  </si>
  <si>
    <t>FEE105EA</t>
  </si>
  <si>
    <t>5BE205EB</t>
  </si>
  <si>
    <t>34A6F5EB</t>
  </si>
  <si>
    <t>FFE105EA</t>
  </si>
  <si>
    <t>5CE205EB</t>
  </si>
  <si>
    <t>321EFABA</t>
  </si>
  <si>
    <t>F61DFAEA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</si>
</sst>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4" xfId="0" applyFont="1" applyBorder="1"/>
    <xf numFmtId="0" fontId="2" fillId="0" borderId="5" xfId="0" applyFont="1" applyBorder="1" applyAlignment="1">
      <alignment shrinkToFit="1"/>
    </xf>
    <xf numFmtId="0" fontId="0" fillId="0" borderId="6" xfId="0" applyBorder="1" applyAlignment="1">
      <alignment horizontal="right"/>
    </xf>
    <xf numFmtId="0" fontId="1" fillId="0" borderId="7" xfId="0" applyFont="1" applyBorder="1"/>
    <xf numFmtId="0" fontId="0" fillId="0" borderId="8" xfId="0" applyBorder="1" applyAlignment="1">
      <alignment shrinkToFit="1"/>
    </xf>
    <xf numFmtId="0" fontId="0" fillId="0" borderId="9" xfId="0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0" fillId="0" borderId="12" xfId="0" applyBorder="1" applyAlignment="1">
      <alignment horizontal="right"/>
    </xf>
    <xf numFmtId="0" fontId="2" fillId="0" borderId="11" xfId="0" applyFont="1" applyBorder="1" applyAlignment="1">
      <alignment shrinkToFi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quotePrefix="1" applyFont="1"/>
    <xf numFmtId="0" fontId="6" fillId="0" borderId="0" xfId="0" quotePrefix="1" applyFont="1"/>
    <xf numFmtId="0" fontId="6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3AD1-C92D-4EF3-990D-90FF3B9AFC91}">
  <dimension ref="A1:C16"/>
  <sheetViews>
    <sheetView workbookViewId="0">
      <selection activeCell="B5" sqref="B5"/>
    </sheetView>
  </sheetViews>
  <sheetFormatPr defaultRowHeight="14.15"/>
  <cols>
    <col min="1" max="1" width="32.5703125" bestFit="1" customWidth="1"/>
    <col min="2" max="2" width="39.140625" customWidth="1"/>
    <col min="3" max="3" width="23.28515625" customWidth="1"/>
    <col min="4" max="5" width="12" bestFit="1" customWidth="1"/>
  </cols>
  <sheetData>
    <row r="1" spans="1:3" ht="14.6" thickTop="1">
      <c r="A1" s="30" t="s">
        <v>61</v>
      </c>
      <c r="B1" s="31"/>
      <c r="C1" s="32"/>
    </row>
    <row r="2" spans="1:3">
      <c r="A2" s="3" t="s">
        <v>0</v>
      </c>
      <c r="B2" s="9" t="s">
        <v>6</v>
      </c>
      <c r="C2" s="10" t="s">
        <v>80</v>
      </c>
    </row>
    <row r="3" spans="1:3">
      <c r="A3" s="3" t="str">
        <f>'Edited main'!A3</f>
        <v>0029A048</v>
      </c>
      <c r="B3" s="4" t="str">
        <f>_xlfn.CONCAT('Edited main'!B3)</f>
        <v>CF7F08EB</v>
      </c>
      <c r="C3" s="5" t="str">
        <f>DEC2HEX(LEN(B3)/2,3)</f>
        <v>004</v>
      </c>
    </row>
    <row r="4" spans="1:3">
      <c r="A4" s="11" t="str">
        <f>'Edited main'!A9</f>
        <v>00341654</v>
      </c>
      <c r="B4" s="13" t="str">
        <f>_xlfn.CONCAT('Edited main'!B9:B10)</f>
        <v>F0472DE95CE205EB</v>
      </c>
      <c r="C4" s="12" t="str">
        <f t="shared" ref="C4:C7" si="0">DEC2HEX(LEN(B4)/2,3)</f>
        <v>008</v>
      </c>
    </row>
    <row r="5" spans="1:3">
      <c r="A5" s="11" t="str">
        <f>'Edited main'!A13</f>
        <v>003417D8</v>
      </c>
      <c r="B5" s="13" t="str">
        <f>_xlfn.CONCAT('Edited main'!B13:B14)</f>
        <v>FFE105EA00F020E3</v>
      </c>
      <c r="C5" s="12" t="str">
        <f t="shared" si="0"/>
        <v>008</v>
      </c>
    </row>
    <row r="6" spans="1:3">
      <c r="A6" s="11" t="str">
        <f>'Edited main'!A17</f>
        <v>003418EC</v>
      </c>
      <c r="B6" s="13" t="str">
        <f>_xlfn.CONCAT('Edited main'!B17)</f>
        <v>F087BDE8</v>
      </c>
      <c r="C6" s="12" t="str">
        <f t="shared" si="0"/>
        <v>004</v>
      </c>
    </row>
    <row r="7" spans="1:3" ht="14.6" thickBot="1">
      <c r="A7" s="6" t="str">
        <f>'Edited main'!A25</f>
        <v>004B9F8C</v>
      </c>
      <c r="B7" s="7" t="str">
        <f>_xlfn.CONCAT('Edited main'!B25:B67)</f>
        <v>0CD04DE20C402DE9052B41E2AA2052E2090000BA0E0052E30700008A033002E22221A0E1033082E0030053E303304322010053E3B410DF31B210DF810C80BDE87C15171601A0A0E10CD04DE21EFF2FE11F402DE90040A0E10A00A0E134A6F5EB040050E11F40BDE8321EFABA020050E3F61DFAEA</v>
      </c>
      <c r="C7" s="8" t="str">
        <f t="shared" si="0"/>
        <v>074</v>
      </c>
    </row>
    <row r="8" spans="1:3" ht="15" thickTop="1" thickBot="1"/>
    <row r="9" spans="1:3" ht="14.6" thickTop="1">
      <c r="A9" s="30" t="s">
        <v>62</v>
      </c>
      <c r="B9" s="31"/>
      <c r="C9" s="32"/>
    </row>
    <row r="10" spans="1:3">
      <c r="A10" s="3" t="s">
        <v>0</v>
      </c>
      <c r="B10" s="9" t="s">
        <v>6</v>
      </c>
      <c r="C10" s="10" t="s">
        <v>80</v>
      </c>
    </row>
    <row r="11" spans="1:3">
      <c r="A11" s="3" t="str">
        <f>'Edited main'!E3</f>
        <v>0029A048</v>
      </c>
      <c r="B11" s="4" t="str">
        <f>_xlfn.CONCAT('Edited main'!F3)</f>
        <v>CF7F08EB</v>
      </c>
      <c r="C11" s="5" t="str">
        <f>DEC2HEX(LEN(B11)/2,3)</f>
        <v>004</v>
      </c>
    </row>
    <row r="12" spans="1:3">
      <c r="A12" s="11" t="str">
        <f>'Edited main'!E9</f>
        <v>00341658</v>
      </c>
      <c r="B12" s="13" t="str">
        <f>_xlfn.CONCAT('Edited main'!F9:F10)</f>
        <v>F0472DE95BE205EB</v>
      </c>
      <c r="C12" s="12" t="str">
        <f t="shared" ref="C12:C15" si="1">DEC2HEX(LEN(B12)/2,3)</f>
        <v>008</v>
      </c>
    </row>
    <row r="13" spans="1:3">
      <c r="A13" s="11" t="str">
        <f>'Edited main'!E13</f>
        <v>003417DC</v>
      </c>
      <c r="B13" s="13" t="str">
        <f>_xlfn.CONCAT('Edited main'!F13:F14)</f>
        <v>FEE105EA00F020E3</v>
      </c>
      <c r="C13" s="12" t="str">
        <f t="shared" si="1"/>
        <v>008</v>
      </c>
    </row>
    <row r="14" spans="1:3">
      <c r="A14" s="11" t="str">
        <f>'Edited main'!E17</f>
        <v>003418F0</v>
      </c>
      <c r="B14" s="13" t="str">
        <f>_xlfn.CONCAT('Edited main'!F17)</f>
        <v>F087BDE8</v>
      </c>
      <c r="C14" s="12" t="str">
        <f t="shared" si="1"/>
        <v>004</v>
      </c>
    </row>
    <row r="15" spans="1:3" ht="14.6" thickBot="1">
      <c r="A15" s="6" t="str">
        <f>'Edited main'!E25</f>
        <v>004B9F8C</v>
      </c>
      <c r="B15" s="7" t="str">
        <f>_xlfn.CONCAT('Edited main'!F25:F67)</f>
        <v>0CD04DE20C402DE9052B41E2AA2052E2090000BA0E0052E30700008A033002E22221A0E1033082E0030053E303304322010053E3B410DF31B210DF810C80BDE87C15171601A0A0E10CD04DE21EFF2FE11F402DE90040A0E10A00A0E134A6F5EB040050E11F40BDE8331EFABA020050E3F71DFAEA</v>
      </c>
      <c r="C15" s="8" t="str">
        <f t="shared" si="1"/>
        <v>074</v>
      </c>
    </row>
    <row r="16" spans="1:3" ht="14.6" thickTop="1"/>
  </sheetData>
  <mergeCells count="2">
    <mergeCell ref="A1:C1"/>
    <mergeCell ref="A9:C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G57"/>
  <sheetViews>
    <sheetView tabSelected="1" zoomScaleNormal="100" workbookViewId="0">
      <pane ySplit="1" topLeftCell="A38" activePane="bottomLeft" state="frozen"/>
      <selection pane="bottomLeft" activeCell="C51" sqref="C51"/>
    </sheetView>
  </sheetViews>
  <sheetFormatPr defaultColWidth="9.140625" defaultRowHeight="15.9"/>
  <cols>
    <col min="1" max="1" width="11.7109375" style="25" bestFit="1" customWidth="1"/>
    <col min="2" max="2" width="9.42578125" style="25" bestFit="1" customWidth="1"/>
    <col min="3" max="3" width="47.78515625" style="25" bestFit="1" customWidth="1"/>
    <col min="4" max="4" width="27.28515625" style="25" bestFit="1" customWidth="1"/>
    <col min="5" max="5" width="10.0703125" style="25" bestFit="1" customWidth="1"/>
    <col min="6" max="6" width="9.42578125" style="25" bestFit="1" customWidth="1"/>
    <col min="7" max="7" width="25.5703125" style="25" bestFit="1" customWidth="1"/>
    <col min="8" max="8" width="17.2109375" style="25" bestFit="1" customWidth="1"/>
    <col min="9" max="16384" width="9.140625" style="25"/>
  </cols>
  <sheetData>
    <row r="1" spans="1:7">
      <c r="A1" s="24" t="s">
        <v>77</v>
      </c>
      <c r="B1" s="24" t="s">
        <v>78</v>
      </c>
      <c r="C1" s="24" t="s">
        <v>79</v>
      </c>
      <c r="D1" s="24" t="s">
        <v>3</v>
      </c>
      <c r="E1" s="24" t="s">
        <v>57</v>
      </c>
      <c r="F1" s="24" t="s">
        <v>56</v>
      </c>
      <c r="G1" s="24" t="s">
        <v>55</v>
      </c>
    </row>
    <row r="2" spans="1:7">
      <c r="A2" s="29" t="s">
        <v>15</v>
      </c>
      <c r="B2" s="29"/>
      <c r="C2" s="29"/>
      <c r="D2" s="29"/>
      <c r="E2" s="29"/>
      <c r="F2" s="29"/>
      <c r="G2" s="29"/>
    </row>
    <row r="3" spans="1:7">
      <c r="A3" s="25" t="s">
        <v>30</v>
      </c>
      <c r="B3" s="25" t="s">
        <v>54</v>
      </c>
      <c r="C3" s="25" t="str">
        <f>_xlfn.CONCAT("bl 0x",A25)</f>
        <v>bl 0x004B9F8C</v>
      </c>
      <c r="E3" s="25" t="s">
        <v>30</v>
      </c>
      <c r="F3" s="25" t="s">
        <v>54</v>
      </c>
      <c r="G3" s="25" t="str">
        <f>_xlfn.CONCAT("bl 0x",E25)</f>
        <v>bl 0x004B9F8C</v>
      </c>
    </row>
    <row r="5" spans="1:7">
      <c r="A5" s="29" t="s">
        <v>19</v>
      </c>
      <c r="B5" s="29"/>
      <c r="C5" s="29"/>
      <c r="D5" s="29"/>
      <c r="E5" s="29"/>
      <c r="F5" s="29"/>
      <c r="G5" s="29"/>
    </row>
    <row r="6" spans="1:7">
      <c r="A6" s="25" t="s">
        <v>27</v>
      </c>
      <c r="E6" s="25" t="s">
        <v>27</v>
      </c>
    </row>
    <row r="8" spans="1:7">
      <c r="A8" s="29" t="s">
        <v>22</v>
      </c>
      <c r="B8" s="29"/>
      <c r="C8" s="29"/>
      <c r="D8" s="29"/>
      <c r="E8" s="29"/>
      <c r="F8" s="29"/>
      <c r="G8" s="29"/>
    </row>
    <row r="9" spans="1:7">
      <c r="A9" s="26" t="s">
        <v>16</v>
      </c>
      <c r="B9" s="25" t="s">
        <v>76</v>
      </c>
      <c r="C9" s="25" t="s">
        <v>63</v>
      </c>
      <c r="E9" s="26" t="s">
        <v>58</v>
      </c>
      <c r="F9" s="25" t="s">
        <v>76</v>
      </c>
      <c r="G9" s="25" t="s">
        <v>63</v>
      </c>
    </row>
    <row r="10" spans="1:7">
      <c r="A10" s="25" t="str">
        <f t="shared" ref="A10" si="0">DEC2HEX(HEX2DEC(A9)+4,8)</f>
        <v>00341658</v>
      </c>
      <c r="B10" s="25" t="s">
        <v>154</v>
      </c>
      <c r="C10" s="25" t="str">
        <f>_xlfn.CONCAT("bl 0x",A44)</f>
        <v>bl 0x004B9FD0</v>
      </c>
      <c r="E10" s="25" t="str">
        <f t="shared" ref="E10" si="1">DEC2HEX(HEX2DEC(E9)+4,8)</f>
        <v>0034165C</v>
      </c>
      <c r="F10" s="25" t="s">
        <v>151</v>
      </c>
      <c r="G10" s="25" t="str">
        <f>_xlfn.CONCAT("bl 0x",E44)</f>
        <v>bl 0x004B9FD0</v>
      </c>
    </row>
    <row r="12" spans="1:7">
      <c r="A12" s="29" t="s">
        <v>67</v>
      </c>
      <c r="B12" s="29"/>
      <c r="C12" s="29"/>
      <c r="D12" s="29"/>
      <c r="E12" s="29"/>
      <c r="F12" s="29"/>
      <c r="G12" s="29"/>
    </row>
    <row r="13" spans="1:7">
      <c r="A13" s="25" t="s">
        <v>17</v>
      </c>
      <c r="B13" s="26" t="s">
        <v>153</v>
      </c>
      <c r="C13" s="25" t="str">
        <f>_xlfn.CONCAT("b 0x",A49)</f>
        <v>b 0x004B9FDC</v>
      </c>
      <c r="E13" s="25" t="s">
        <v>59</v>
      </c>
      <c r="F13" s="26" t="s">
        <v>150</v>
      </c>
      <c r="G13" s="25" t="str">
        <f>_xlfn.CONCAT("b 0x",E49)</f>
        <v>b 0x004B9FDC</v>
      </c>
    </row>
    <row r="14" spans="1:7">
      <c r="A14" s="25" t="str">
        <f t="shared" ref="A14" si="2">DEC2HEX(HEX2DEC(A13)+4,8)</f>
        <v>003417DC</v>
      </c>
      <c r="B14" s="25" t="s">
        <v>9</v>
      </c>
      <c r="C14" s="25" t="s">
        <v>4</v>
      </c>
      <c r="E14" s="25" t="str">
        <f t="shared" ref="E14" si="3">DEC2HEX(HEX2DEC(E13)+4,8)</f>
        <v>003417E0</v>
      </c>
      <c r="F14" s="25" t="s">
        <v>9</v>
      </c>
      <c r="G14" s="25" t="s">
        <v>4</v>
      </c>
    </row>
    <row r="16" spans="1:7">
      <c r="A16" s="29" t="s">
        <v>68</v>
      </c>
      <c r="B16" s="29"/>
      <c r="C16" s="29"/>
      <c r="D16" s="29"/>
      <c r="E16" s="29"/>
      <c r="F16" s="29"/>
      <c r="G16" s="29"/>
    </row>
    <row r="17" spans="1:7">
      <c r="A17" s="25" t="s">
        <v>69</v>
      </c>
      <c r="B17" s="25" t="s">
        <v>71</v>
      </c>
      <c r="C17" s="25" t="s">
        <v>70</v>
      </c>
      <c r="E17" s="25" t="str">
        <f>DEC2HEX(HEX2DEC(A17)-HEX2DEC(A14)+HEX2DEC(E14),8)</f>
        <v>003418F0</v>
      </c>
      <c r="F17" s="25" t="s">
        <v>71</v>
      </c>
      <c r="G17" s="25" t="s">
        <v>70</v>
      </c>
    </row>
    <row r="21" spans="1:7" hidden="1">
      <c r="A21" s="29" t="s">
        <v>23</v>
      </c>
      <c r="B21" s="29"/>
      <c r="C21" s="29"/>
      <c r="D21" s="29"/>
      <c r="E21" s="29"/>
      <c r="F21" s="29"/>
      <c r="G21" s="29"/>
    </row>
    <row r="22" spans="1:7" hidden="1">
      <c r="A22" s="25" t="s">
        <v>28</v>
      </c>
      <c r="B22" s="26" t="s">
        <v>38</v>
      </c>
      <c r="C22" s="25" t="s">
        <v>35</v>
      </c>
      <c r="E22" s="25" t="s">
        <v>60</v>
      </c>
      <c r="F22" s="26" t="s">
        <v>38</v>
      </c>
      <c r="G22" s="25" t="s">
        <v>35</v>
      </c>
    </row>
    <row r="23" spans="1:7" hidden="1">
      <c r="B23" s="27"/>
      <c r="F23" s="27"/>
    </row>
    <row r="24" spans="1:7">
      <c r="A24" s="29" t="s">
        <v>26</v>
      </c>
      <c r="B24" s="29"/>
      <c r="C24" s="29"/>
      <c r="D24" s="29"/>
      <c r="E24" s="29"/>
      <c r="F24" s="29"/>
      <c r="G24" s="29"/>
    </row>
    <row r="25" spans="1:7">
      <c r="A25" s="25" t="s">
        <v>53</v>
      </c>
      <c r="B25" s="25" t="s">
        <v>33</v>
      </c>
      <c r="C25" s="25" t="s">
        <v>32</v>
      </c>
      <c r="E25" s="25" t="s">
        <v>53</v>
      </c>
      <c r="F25" s="25" t="str">
        <f>B25</f>
        <v>0CD04DE2</v>
      </c>
      <c r="G25" s="25" t="str">
        <f>C25</f>
        <v>sub sp, sp, #0xc</v>
      </c>
    </row>
    <row r="26" spans="1:7">
      <c r="A26" s="25" t="str">
        <f t="shared" ref="A26:A40" si="4">DEC2HEX(HEX2DEC(A25)+4,8)</f>
        <v>004B9F90</v>
      </c>
      <c r="B26" s="25" t="s">
        <v>133</v>
      </c>
      <c r="C26" s="25" t="s">
        <v>123</v>
      </c>
      <c r="D26" s="28"/>
      <c r="E26" s="25" t="str">
        <f t="shared" ref="E26:E41" si="5">DEC2HEX(HEX2DEC(E25)+4,8)</f>
        <v>004B9F90</v>
      </c>
      <c r="F26" s="25" t="str">
        <f t="shared" ref="F26:F40" si="6">B26</f>
        <v>0C402DE9</v>
      </c>
      <c r="G26" s="25" t="str">
        <f t="shared" ref="G26:G40" si="7">C26</f>
        <v>push {r2, r3, lr}</v>
      </c>
    </row>
    <row r="27" spans="1:7">
      <c r="A27" s="25" t="str">
        <f t="shared" si="4"/>
        <v>004B9F94</v>
      </c>
      <c r="B27" s="26" t="s">
        <v>134</v>
      </c>
      <c r="C27" s="25" t="s">
        <v>117</v>
      </c>
      <c r="D27" s="28" t="s">
        <v>119</v>
      </c>
      <c r="E27" s="25" t="str">
        <f t="shared" si="5"/>
        <v>004B9F94</v>
      </c>
      <c r="F27" s="25" t="str">
        <f t="shared" si="6"/>
        <v>052B41E2</v>
      </c>
      <c r="G27" s="25" t="str">
        <f t="shared" si="7"/>
        <v>sub r2, r1, 0x1400</v>
      </c>
    </row>
    <row r="28" spans="1:7">
      <c r="A28" s="25" t="str">
        <f t="shared" si="4"/>
        <v>004B9F98</v>
      </c>
      <c r="B28" s="25" t="s">
        <v>135</v>
      </c>
      <c r="C28" s="25" t="s">
        <v>118</v>
      </c>
      <c r="E28" s="25" t="str">
        <f t="shared" si="5"/>
        <v>004B9F98</v>
      </c>
      <c r="F28" s="25" t="str">
        <f t="shared" si="6"/>
        <v>AA2052E2</v>
      </c>
      <c r="G28" s="25" t="str">
        <f t="shared" si="7"/>
        <v>subs r2, r2, 0xAA</v>
      </c>
    </row>
    <row r="29" spans="1:7">
      <c r="A29" s="25" t="str">
        <f t="shared" si="4"/>
        <v>004B9F9C</v>
      </c>
      <c r="B29" s="25" t="s">
        <v>136</v>
      </c>
      <c r="C29" s="25" t="str">
        <f>_xlfn.CONCAT("blt 0x",A40)</f>
        <v>blt 0x004B9FC8</v>
      </c>
      <c r="D29" s="25" t="s">
        <v>120</v>
      </c>
      <c r="E29" s="25" t="str">
        <f t="shared" si="5"/>
        <v>004B9F9C</v>
      </c>
      <c r="F29" s="25" t="str">
        <f t="shared" si="6"/>
        <v>090000BA</v>
      </c>
      <c r="G29" s="25" t="str">
        <f t="shared" si="7"/>
        <v>blt 0x004B9FC8</v>
      </c>
    </row>
    <row r="30" spans="1:7">
      <c r="A30" s="25" t="str">
        <f t="shared" si="4"/>
        <v>004B9FA0</v>
      </c>
      <c r="B30" s="26" t="s">
        <v>137</v>
      </c>
      <c r="C30" s="25" t="s">
        <v>121</v>
      </c>
      <c r="E30" s="25" t="str">
        <f t="shared" si="5"/>
        <v>004B9FA0</v>
      </c>
      <c r="F30" s="25" t="str">
        <f t="shared" si="6"/>
        <v>0E0052E3</v>
      </c>
      <c r="G30" s="25" t="str">
        <f t="shared" si="7"/>
        <v>cmp r2, 0xE</v>
      </c>
    </row>
    <row r="31" spans="1:7">
      <c r="A31" s="25" t="str">
        <f t="shared" si="4"/>
        <v>004B9FA4</v>
      </c>
      <c r="B31" s="26" t="s">
        <v>138</v>
      </c>
      <c r="C31" s="25" t="str">
        <f>_xlfn.CONCAT("bhi 0x",A40)</f>
        <v>bhi 0x004B9FC8</v>
      </c>
      <c r="D31" s="25" t="s">
        <v>128</v>
      </c>
      <c r="E31" s="25" t="str">
        <f t="shared" si="5"/>
        <v>004B9FA4</v>
      </c>
      <c r="F31" s="25" t="str">
        <f t="shared" si="6"/>
        <v>0700008A</v>
      </c>
      <c r="G31" s="25" t="str">
        <f t="shared" si="7"/>
        <v>bhi 0x004B9FC8</v>
      </c>
    </row>
    <row r="32" spans="1:7">
      <c r="A32" s="25" t="str">
        <f t="shared" si="4"/>
        <v>004B9FA8</v>
      </c>
      <c r="B32" s="26" t="s">
        <v>139</v>
      </c>
      <c r="C32" s="25" t="s">
        <v>124</v>
      </c>
      <c r="E32" s="25" t="str">
        <f t="shared" si="5"/>
        <v>004B9FA8</v>
      </c>
      <c r="F32" s="25" t="str">
        <f t="shared" si="6"/>
        <v>033002E2</v>
      </c>
      <c r="G32" s="25" t="str">
        <f t="shared" si="7"/>
        <v>and r3, r2, 0x3</v>
      </c>
    </row>
    <row r="33" spans="1:7">
      <c r="A33" s="25" t="str">
        <f t="shared" si="4"/>
        <v>004B9FAC</v>
      </c>
      <c r="B33" s="26" t="s">
        <v>140</v>
      </c>
      <c r="C33" s="25" t="s">
        <v>122</v>
      </c>
      <c r="E33" s="25" t="str">
        <f t="shared" si="5"/>
        <v>004B9FAC</v>
      </c>
      <c r="F33" s="25" t="str">
        <f t="shared" si="6"/>
        <v>2221A0E1</v>
      </c>
      <c r="G33" s="25" t="str">
        <f t="shared" si="7"/>
        <v>lsr r2, r2, #2</v>
      </c>
    </row>
    <row r="34" spans="1:7">
      <c r="A34" s="25" t="str">
        <f t="shared" si="4"/>
        <v>004B9FB0</v>
      </c>
      <c r="B34" s="26" t="s">
        <v>141</v>
      </c>
      <c r="C34" s="25" t="s">
        <v>125</v>
      </c>
      <c r="E34" s="25" t="str">
        <f t="shared" si="5"/>
        <v>004B9FB0</v>
      </c>
      <c r="F34" s="25" t="str">
        <f t="shared" si="6"/>
        <v>033082E0</v>
      </c>
      <c r="G34" s="25" t="str">
        <f t="shared" si="7"/>
        <v>add r3, r2, r3</v>
      </c>
    </row>
    <row r="35" spans="1:7">
      <c r="A35" s="25" t="str">
        <f t="shared" si="4"/>
        <v>004B9FB4</v>
      </c>
      <c r="B35" s="26" t="s">
        <v>142</v>
      </c>
      <c r="C35" s="25" t="s">
        <v>126</v>
      </c>
      <c r="E35" s="25" t="str">
        <f t="shared" si="5"/>
        <v>004B9FB4</v>
      </c>
      <c r="F35" s="25" t="str">
        <f t="shared" si="6"/>
        <v>030053E3</v>
      </c>
      <c r="G35" s="25" t="str">
        <f t="shared" si="7"/>
        <v>cmp r3, 0x3</v>
      </c>
    </row>
    <row r="36" spans="1:7">
      <c r="A36" s="25" t="str">
        <f t="shared" si="4"/>
        <v>004B9FB8</v>
      </c>
      <c r="B36" s="26" t="s">
        <v>143</v>
      </c>
      <c r="C36" s="25" t="s">
        <v>127</v>
      </c>
      <c r="E36" s="25" t="str">
        <f t="shared" si="5"/>
        <v>004B9FB8</v>
      </c>
      <c r="F36" s="25" t="str">
        <f t="shared" si="6"/>
        <v>03304322</v>
      </c>
      <c r="G36" s="25" t="str">
        <f t="shared" si="7"/>
        <v>subhs r3, r3, 0x3</v>
      </c>
    </row>
    <row r="37" spans="1:7">
      <c r="A37" s="25" t="str">
        <f t="shared" si="4"/>
        <v>004B9FBC</v>
      </c>
      <c r="B37" s="26" t="s">
        <v>144</v>
      </c>
      <c r="C37" s="25" t="s">
        <v>129</v>
      </c>
      <c r="D37" s="25" t="s">
        <v>113</v>
      </c>
      <c r="E37" s="25" t="str">
        <f t="shared" si="5"/>
        <v>004B9FBC</v>
      </c>
      <c r="F37" s="25" t="str">
        <f t="shared" si="6"/>
        <v>010053E3</v>
      </c>
      <c r="G37" s="25" t="str">
        <f t="shared" si="7"/>
        <v>cmp r3, 0x1</v>
      </c>
    </row>
    <row r="38" spans="1:7">
      <c r="A38" s="25" t="str">
        <f t="shared" si="4"/>
        <v>004B9FC0</v>
      </c>
      <c r="B38" s="26" t="s">
        <v>145</v>
      </c>
      <c r="C38" s="25" t="str">
        <f>_xlfn.CONCAT("ldrhlo r1, [pc, #",HEX2DEC(A$41)-HEX2DEC(A38)-8,"]")</f>
        <v>ldrhlo r1, [pc, #4]</v>
      </c>
      <c r="D38" s="25" t="s">
        <v>132</v>
      </c>
      <c r="E38" s="25" t="str">
        <f t="shared" si="5"/>
        <v>004B9FC0</v>
      </c>
      <c r="F38" s="25" t="str">
        <f t="shared" si="6"/>
        <v>B410DF31</v>
      </c>
      <c r="G38" s="25" t="str">
        <f t="shared" si="7"/>
        <v>ldrhlo r1, [pc, #4]</v>
      </c>
    </row>
    <row r="39" spans="1:7">
      <c r="A39" s="25" t="str">
        <f t="shared" si="4"/>
        <v>004B9FC4</v>
      </c>
      <c r="B39" s="26" t="s">
        <v>146</v>
      </c>
      <c r="C39" s="25" t="str">
        <f>_xlfn.CONCAT("ldrhhi r1, [pc, #",HEX2DEC(A$41)-HEX2DEC(A39)-8+2,"]")</f>
        <v>ldrhhi r1, [pc, #2]</v>
      </c>
      <c r="E39" s="25" t="str">
        <f t="shared" si="5"/>
        <v>004B9FC4</v>
      </c>
      <c r="F39" s="25" t="str">
        <f t="shared" si="6"/>
        <v>B210DF81</v>
      </c>
      <c r="G39" s="25" t="str">
        <f t="shared" si="7"/>
        <v>ldrhhi r1, [pc, #2]</v>
      </c>
    </row>
    <row r="40" spans="1:7">
      <c r="A40" s="25" t="str">
        <f t="shared" si="4"/>
        <v>004B9FC8</v>
      </c>
      <c r="B40" s="26" t="s">
        <v>147</v>
      </c>
      <c r="C40" s="25" t="str">
        <f>SUBSTITUTE(SUBSTITUTE(C26,"push","pop"),"lr","pc")</f>
        <v>pop {r2, r3, pc}</v>
      </c>
      <c r="E40" s="25" t="str">
        <f t="shared" si="5"/>
        <v>004B9FC8</v>
      </c>
      <c r="F40" s="25" t="str">
        <f t="shared" si="6"/>
        <v>0C80BDE8</v>
      </c>
      <c r="G40" s="25" t="str">
        <f t="shared" si="7"/>
        <v>pop {r2, r3, pc}</v>
      </c>
    </row>
    <row r="41" spans="1:7">
      <c r="A41" s="25" t="str">
        <f>DEC2HEX(HEX2DEC(A40)+4,8)</f>
        <v>004B9FCC</v>
      </c>
      <c r="B41" s="25" t="s">
        <v>130</v>
      </c>
      <c r="D41" s="25" t="s">
        <v>131</v>
      </c>
      <c r="E41" s="25" t="str">
        <f t="shared" si="5"/>
        <v>004B9FCC</v>
      </c>
      <c r="F41" s="25" t="str">
        <f>B41</f>
        <v>7C151716</v>
      </c>
    </row>
    <row r="43" spans="1:7">
      <c r="A43" s="24" t="s">
        <v>41</v>
      </c>
      <c r="B43" s="24"/>
      <c r="E43" s="24"/>
      <c r="F43" s="24"/>
      <c r="G43" s="24"/>
    </row>
    <row r="44" spans="1:7">
      <c r="A44" s="25" t="str">
        <f>DEC2HEX(HEX2DEC(A41)+4,8)</f>
        <v>004B9FD0</v>
      </c>
      <c r="B44" s="25" t="s">
        <v>75</v>
      </c>
      <c r="C44" s="25" t="s">
        <v>64</v>
      </c>
      <c r="D44" s="25" t="s">
        <v>72</v>
      </c>
      <c r="E44" s="25" t="str">
        <f>DEC2HEX(HEX2DEC(E41)+4,8)</f>
        <v>004B9FD0</v>
      </c>
      <c r="F44" s="25" t="s">
        <v>75</v>
      </c>
      <c r="G44" s="25" t="s">
        <v>64</v>
      </c>
    </row>
    <row r="45" spans="1:7">
      <c r="A45" s="25" t="str">
        <f t="shared" ref="A45:A46" si="8">DEC2HEX(HEX2DEC(A44)+4,8)</f>
        <v>004B9FD4</v>
      </c>
      <c r="B45" s="26" t="s">
        <v>33</v>
      </c>
      <c r="C45" s="25" t="s">
        <v>32</v>
      </c>
      <c r="D45" s="25" t="s">
        <v>73</v>
      </c>
      <c r="E45" s="25" t="str">
        <f t="shared" ref="E45:E46" si="9">DEC2HEX(HEX2DEC(E44)+4,8)</f>
        <v>004B9FD4</v>
      </c>
      <c r="F45" s="26" t="s">
        <v>33</v>
      </c>
      <c r="G45" s="25" t="s">
        <v>32</v>
      </c>
    </row>
    <row r="46" spans="1:7">
      <c r="A46" s="25" t="str">
        <f t="shared" si="8"/>
        <v>004B9FD8</v>
      </c>
      <c r="B46" s="25" t="s">
        <v>10</v>
      </c>
      <c r="C46" s="25" t="s">
        <v>5</v>
      </c>
      <c r="D46" s="25" t="s">
        <v>74</v>
      </c>
      <c r="E46" s="25" t="str">
        <f t="shared" si="9"/>
        <v>004B9FD8</v>
      </c>
      <c r="F46" s="25" t="s">
        <v>10</v>
      </c>
      <c r="G46" s="25" t="s">
        <v>5</v>
      </c>
    </row>
    <row r="48" spans="1:7">
      <c r="A48" s="24" t="s">
        <v>42</v>
      </c>
      <c r="B48" s="24"/>
      <c r="E48" s="24"/>
      <c r="F48" s="24"/>
      <c r="G48" s="24"/>
    </row>
    <row r="49" spans="1:7">
      <c r="A49" s="25" t="str">
        <f>DEC2HEX(HEX2DEC(A46)+4,8)</f>
        <v>004B9FDC</v>
      </c>
      <c r="B49" s="26" t="s">
        <v>48</v>
      </c>
      <c r="C49" s="25" t="s">
        <v>43</v>
      </c>
      <c r="D49" s="28"/>
      <c r="E49" s="25" t="str">
        <f>DEC2HEX(HEX2DEC(E46)+4,8)</f>
        <v>004B9FDC</v>
      </c>
      <c r="F49" s="26" t="s">
        <v>48</v>
      </c>
      <c r="G49" s="25" t="s">
        <v>43</v>
      </c>
    </row>
    <row r="50" spans="1:7">
      <c r="A50" s="25" t="str">
        <f t="shared" ref="A50:A57" si="10">DEC2HEX(HEX2DEC(A49)+4,8)</f>
        <v>004B9FE0</v>
      </c>
      <c r="B50" s="25" t="s">
        <v>49</v>
      </c>
      <c r="C50" s="25" t="s">
        <v>44</v>
      </c>
      <c r="E50" s="25" t="str">
        <f t="shared" ref="E50:E57" si="11">DEC2HEX(HEX2DEC(E49)+4,8)</f>
        <v>004B9FE0</v>
      </c>
      <c r="F50" s="25" t="s">
        <v>49</v>
      </c>
      <c r="G50" s="25" t="s">
        <v>44</v>
      </c>
    </row>
    <row r="51" spans="1:7">
      <c r="A51" s="25" t="str">
        <f t="shared" si="10"/>
        <v>004B9FE4</v>
      </c>
      <c r="B51" s="26" t="s">
        <v>66</v>
      </c>
      <c r="C51" s="25" t="s">
        <v>65</v>
      </c>
      <c r="E51" s="25" t="str">
        <f t="shared" si="11"/>
        <v>004B9FE4</v>
      </c>
      <c r="F51" s="26" t="s">
        <v>66</v>
      </c>
      <c r="G51" s="25" t="s">
        <v>65</v>
      </c>
    </row>
    <row r="52" spans="1:7">
      <c r="A52" s="25" t="str">
        <f t="shared" si="10"/>
        <v>004B9FE8</v>
      </c>
      <c r="B52" s="25" t="s">
        <v>152</v>
      </c>
      <c r="C52" s="25" t="str">
        <f>_xlfn.CONCAT("bl 0x",A6)</f>
        <v>bl 0x002238C0</v>
      </c>
      <c r="E52" s="25" t="str">
        <f t="shared" si="11"/>
        <v>004B9FE8</v>
      </c>
      <c r="F52" s="25" t="s">
        <v>152</v>
      </c>
      <c r="G52" s="25" t="str">
        <f>_xlfn.CONCAT("bl 0x",E6)</f>
        <v>bl 0x002238C0</v>
      </c>
    </row>
    <row r="53" spans="1:7">
      <c r="A53" s="25" t="str">
        <f t="shared" si="10"/>
        <v>004B9FEC</v>
      </c>
      <c r="B53" s="26" t="s">
        <v>8</v>
      </c>
      <c r="C53" s="25" t="s">
        <v>7</v>
      </c>
      <c r="D53" s="25" t="s">
        <v>45</v>
      </c>
      <c r="E53" s="25" t="str">
        <f t="shared" si="11"/>
        <v>004B9FEC</v>
      </c>
      <c r="F53" s="26" t="s">
        <v>8</v>
      </c>
      <c r="G53" s="25" t="s">
        <v>7</v>
      </c>
    </row>
    <row r="54" spans="1:7">
      <c r="A54" s="25" t="str">
        <f t="shared" si="10"/>
        <v>004B9FF0</v>
      </c>
      <c r="B54" s="26" t="s">
        <v>50</v>
      </c>
      <c r="C54" s="25" t="s">
        <v>46</v>
      </c>
      <c r="E54" s="25" t="str">
        <f t="shared" si="11"/>
        <v>004B9FF0</v>
      </c>
      <c r="F54" s="25" t="s">
        <v>50</v>
      </c>
      <c r="G54" s="25" t="s">
        <v>46</v>
      </c>
    </row>
    <row r="55" spans="1:7">
      <c r="A55" s="25" t="str">
        <f t="shared" si="10"/>
        <v>004B9FF4</v>
      </c>
      <c r="B55" s="25" t="s">
        <v>155</v>
      </c>
      <c r="C55" s="25" t="str">
        <f>_xlfn.CONCAT("blt 0x",A22)</f>
        <v>blt 0x003418C4</v>
      </c>
      <c r="E55" s="25" t="str">
        <f t="shared" si="11"/>
        <v>004B9FF4</v>
      </c>
      <c r="F55" s="25" t="s">
        <v>148</v>
      </c>
      <c r="G55" s="25" t="str">
        <f>_xlfn.CONCAT("blt 0x",E22)</f>
        <v>blt 0x003418C8</v>
      </c>
    </row>
    <row r="56" spans="1:7">
      <c r="A56" s="25" t="str">
        <f t="shared" si="10"/>
        <v>004B9FF8</v>
      </c>
      <c r="B56" s="26" t="s">
        <v>12</v>
      </c>
      <c r="C56" s="25" t="s">
        <v>47</v>
      </c>
      <c r="D56" s="25" t="s">
        <v>51</v>
      </c>
      <c r="E56" s="25" t="str">
        <f t="shared" si="11"/>
        <v>004B9FF8</v>
      </c>
      <c r="F56" s="26" t="s">
        <v>12</v>
      </c>
      <c r="G56" s="25" t="s">
        <v>47</v>
      </c>
    </row>
    <row r="57" spans="1:7">
      <c r="A57" s="25" t="str">
        <f t="shared" si="10"/>
        <v>004B9FFC</v>
      </c>
      <c r="B57" s="26" t="s">
        <v>156</v>
      </c>
      <c r="C57" s="25" t="str">
        <f>_xlfn.CONCAT("b 0x",A14)</f>
        <v>b 0x003417DC</v>
      </c>
      <c r="D57" s="25" t="s">
        <v>52</v>
      </c>
      <c r="E57" s="25" t="str">
        <f t="shared" si="11"/>
        <v>004B9FFC</v>
      </c>
      <c r="F57" s="25" t="s">
        <v>149</v>
      </c>
      <c r="G57" s="25" t="str">
        <f>_xlfn.CONCAT("b 0x",E14)</f>
        <v>b 0x003417E0</v>
      </c>
    </row>
  </sheetData>
  <mergeCells count="7">
    <mergeCell ref="A24:G24"/>
    <mergeCell ref="A16:G16"/>
    <mergeCell ref="A2:G2"/>
    <mergeCell ref="A5:G5"/>
    <mergeCell ref="A8:G8"/>
    <mergeCell ref="A12:G12"/>
    <mergeCell ref="A21:G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D277-C753-4CC2-B4A8-935BAA61127D}">
  <dimension ref="A1:M21"/>
  <sheetViews>
    <sheetView workbookViewId="0">
      <selection activeCell="F2" sqref="F2:F16"/>
    </sheetView>
  </sheetViews>
  <sheetFormatPr defaultRowHeight="14.15"/>
  <cols>
    <col min="1" max="1" width="4.85546875" bestFit="1" customWidth="1"/>
    <col min="2" max="2" width="5.35546875" bestFit="1" customWidth="1"/>
    <col min="3" max="3" width="28.140625" bestFit="1" customWidth="1"/>
  </cols>
  <sheetData>
    <row r="1" spans="1:13" ht="14.6" thickTop="1">
      <c r="A1" s="14" t="s">
        <v>112</v>
      </c>
      <c r="B1" s="15" t="s">
        <v>1</v>
      </c>
      <c r="C1" s="16" t="s">
        <v>96</v>
      </c>
      <c r="E1" s="23" t="s">
        <v>115</v>
      </c>
    </row>
    <row r="2" spans="1:13">
      <c r="A2" s="17" t="s">
        <v>81</v>
      </c>
      <c r="B2" s="18" t="str">
        <f>DEC2HEX(A2)</f>
        <v>14AA</v>
      </c>
      <c r="C2" s="19" t="s">
        <v>97</v>
      </c>
      <c r="E2">
        <f>M2</f>
        <v>0</v>
      </c>
      <c r="F2" t="str">
        <f>_xlfn.XLOOKUP(E2,D$19:D$21,C$19:C$21)</f>
        <v>Move Relearner</v>
      </c>
      <c r="H2">
        <f>A2-5290</f>
        <v>0</v>
      </c>
      <c r="I2" t="str">
        <f>DEC2HEX(H2)</f>
        <v>0</v>
      </c>
      <c r="J2">
        <f>_xlfn.BITAND(H2,3)</f>
        <v>0</v>
      </c>
      <c r="K2">
        <f>_xlfn.BITRSHIFT(H2,2)</f>
        <v>0</v>
      </c>
      <c r="L2">
        <f>SUM(J2:K2)</f>
        <v>0</v>
      </c>
      <c r="M2">
        <f>IF(L2&gt;=3,L2-3,L2)</f>
        <v>0</v>
      </c>
    </row>
    <row r="3" spans="1:13">
      <c r="A3" s="17" t="s">
        <v>82</v>
      </c>
      <c r="B3" s="18" t="str">
        <f t="shared" ref="B3:B16" si="0">DEC2HEX(A3)</f>
        <v>14AB</v>
      </c>
      <c r="C3" s="19" t="s">
        <v>98</v>
      </c>
      <c r="E3">
        <f t="shared" ref="E3:E16" si="1">M3</f>
        <v>1</v>
      </c>
      <c r="F3" t="str">
        <f t="shared" ref="F3:F16" si="2">_xlfn.XLOOKUP(E3,D$19:D$21,C$19:C$21)</f>
        <v>Café</v>
      </c>
      <c r="H3">
        <f t="shared" ref="H3:H16" si="3">A3-5290</f>
        <v>1</v>
      </c>
      <c r="I3" t="str">
        <f t="shared" ref="I3:I16" si="4">DEC2HEX(H3)</f>
        <v>1</v>
      </c>
      <c r="J3">
        <f t="shared" ref="J3:J16" si="5">_xlfn.BITAND(H3,3)</f>
        <v>1</v>
      </c>
      <c r="K3">
        <f t="shared" ref="K3:K16" si="6">_xlfn.BITRSHIFT(H3,2)</f>
        <v>0</v>
      </c>
      <c r="L3">
        <f t="shared" ref="L3:L16" si="7">SUM(J3:K3)</f>
        <v>1</v>
      </c>
      <c r="M3">
        <f t="shared" ref="M3:M16" si="8">IF(L3&gt;=3,L3-3,L3)</f>
        <v>1</v>
      </c>
    </row>
    <row r="4" spans="1:13">
      <c r="A4" s="17" t="s">
        <v>83</v>
      </c>
      <c r="B4" s="18" t="str">
        <f t="shared" si="0"/>
        <v>14AC</v>
      </c>
      <c r="C4" s="19" t="s">
        <v>99</v>
      </c>
      <c r="E4">
        <f t="shared" si="1"/>
        <v>2</v>
      </c>
      <c r="F4" t="str">
        <f t="shared" si="2"/>
        <v>Super Training</v>
      </c>
      <c r="H4">
        <f t="shared" si="3"/>
        <v>2</v>
      </c>
      <c r="I4" t="str">
        <f t="shared" si="4"/>
        <v>2</v>
      </c>
      <c r="J4">
        <f t="shared" si="5"/>
        <v>2</v>
      </c>
      <c r="K4">
        <f t="shared" si="6"/>
        <v>0</v>
      </c>
      <c r="L4">
        <f t="shared" si="7"/>
        <v>2</v>
      </c>
      <c r="M4">
        <f t="shared" si="8"/>
        <v>2</v>
      </c>
    </row>
    <row r="5" spans="1:13">
      <c r="A5" s="17" t="s">
        <v>84</v>
      </c>
      <c r="B5" s="18" t="str">
        <f t="shared" si="0"/>
        <v>14AD</v>
      </c>
      <c r="C5" s="19" t="s">
        <v>100</v>
      </c>
      <c r="E5">
        <f t="shared" si="1"/>
        <v>0</v>
      </c>
      <c r="F5" t="str">
        <f t="shared" si="2"/>
        <v>Move Relearner</v>
      </c>
      <c r="H5">
        <f t="shared" si="3"/>
        <v>3</v>
      </c>
      <c r="I5" t="str">
        <f t="shared" si="4"/>
        <v>3</v>
      </c>
      <c r="J5">
        <f t="shared" si="5"/>
        <v>3</v>
      </c>
      <c r="K5">
        <f t="shared" si="6"/>
        <v>0</v>
      </c>
      <c r="L5">
        <f t="shared" si="7"/>
        <v>3</v>
      </c>
      <c r="M5">
        <f t="shared" si="8"/>
        <v>0</v>
      </c>
    </row>
    <row r="6" spans="1:13">
      <c r="A6" s="17" t="s">
        <v>85</v>
      </c>
      <c r="B6" s="18" t="str">
        <f t="shared" si="0"/>
        <v>14AE</v>
      </c>
      <c r="C6" s="19" t="s">
        <v>101</v>
      </c>
      <c r="E6">
        <f t="shared" si="1"/>
        <v>1</v>
      </c>
      <c r="F6" t="str">
        <f t="shared" si="2"/>
        <v>Café</v>
      </c>
      <c r="H6">
        <f t="shared" si="3"/>
        <v>4</v>
      </c>
      <c r="I6" t="str">
        <f t="shared" si="4"/>
        <v>4</v>
      </c>
      <c r="J6">
        <f t="shared" si="5"/>
        <v>0</v>
      </c>
      <c r="K6">
        <f t="shared" si="6"/>
        <v>1</v>
      </c>
      <c r="L6">
        <f t="shared" si="7"/>
        <v>1</v>
      </c>
      <c r="M6">
        <f t="shared" si="8"/>
        <v>1</v>
      </c>
    </row>
    <row r="7" spans="1:13">
      <c r="A7" s="17" t="s">
        <v>86</v>
      </c>
      <c r="B7" s="18" t="str">
        <f t="shared" si="0"/>
        <v>14AF</v>
      </c>
      <c r="C7" s="19" t="s">
        <v>102</v>
      </c>
      <c r="E7">
        <f t="shared" si="1"/>
        <v>2</v>
      </c>
      <c r="F7" t="str">
        <f t="shared" si="2"/>
        <v>Super Training</v>
      </c>
      <c r="H7">
        <f t="shared" si="3"/>
        <v>5</v>
      </c>
      <c r="I7" t="str">
        <f t="shared" si="4"/>
        <v>5</v>
      </c>
      <c r="J7">
        <f t="shared" si="5"/>
        <v>1</v>
      </c>
      <c r="K7">
        <f t="shared" si="6"/>
        <v>1</v>
      </c>
      <c r="L7">
        <f t="shared" si="7"/>
        <v>2</v>
      </c>
      <c r="M7">
        <f t="shared" si="8"/>
        <v>2</v>
      </c>
    </row>
    <row r="8" spans="1:13">
      <c r="A8" s="17" t="s">
        <v>87</v>
      </c>
      <c r="B8" s="18" t="str">
        <f t="shared" si="0"/>
        <v>14B0</v>
      </c>
      <c r="C8" s="19" t="s">
        <v>103</v>
      </c>
      <c r="E8">
        <f t="shared" si="1"/>
        <v>0</v>
      </c>
      <c r="F8" t="str">
        <f t="shared" si="2"/>
        <v>Move Relearner</v>
      </c>
      <c r="H8">
        <f t="shared" si="3"/>
        <v>6</v>
      </c>
      <c r="I8" t="str">
        <f t="shared" si="4"/>
        <v>6</v>
      </c>
      <c r="J8">
        <f t="shared" si="5"/>
        <v>2</v>
      </c>
      <c r="K8">
        <f t="shared" si="6"/>
        <v>1</v>
      </c>
      <c r="L8">
        <f t="shared" si="7"/>
        <v>3</v>
      </c>
      <c r="M8">
        <f t="shared" si="8"/>
        <v>0</v>
      </c>
    </row>
    <row r="9" spans="1:13">
      <c r="A9" s="17" t="s">
        <v>88</v>
      </c>
      <c r="B9" s="18" t="str">
        <f t="shared" si="0"/>
        <v>14B1</v>
      </c>
      <c r="C9" s="19" t="s">
        <v>104</v>
      </c>
      <c r="E9">
        <f t="shared" si="1"/>
        <v>1</v>
      </c>
      <c r="F9" t="str">
        <f t="shared" si="2"/>
        <v>Café</v>
      </c>
      <c r="H9">
        <f t="shared" si="3"/>
        <v>7</v>
      </c>
      <c r="I9" t="str">
        <f t="shared" si="4"/>
        <v>7</v>
      </c>
      <c r="J9">
        <f t="shared" si="5"/>
        <v>3</v>
      </c>
      <c r="K9">
        <f t="shared" si="6"/>
        <v>1</v>
      </c>
      <c r="L9">
        <f t="shared" si="7"/>
        <v>4</v>
      </c>
      <c r="M9">
        <f t="shared" si="8"/>
        <v>1</v>
      </c>
    </row>
    <row r="10" spans="1:13">
      <c r="A10" s="17" t="s">
        <v>89</v>
      </c>
      <c r="B10" s="18" t="str">
        <f t="shared" si="0"/>
        <v>14B2</v>
      </c>
      <c r="C10" s="19" t="s">
        <v>105</v>
      </c>
      <c r="E10">
        <f t="shared" si="1"/>
        <v>2</v>
      </c>
      <c r="F10" t="str">
        <f t="shared" si="2"/>
        <v>Super Training</v>
      </c>
      <c r="H10">
        <f t="shared" si="3"/>
        <v>8</v>
      </c>
      <c r="I10" t="str">
        <f t="shared" si="4"/>
        <v>8</v>
      </c>
      <c r="J10">
        <f t="shared" si="5"/>
        <v>0</v>
      </c>
      <c r="K10">
        <f t="shared" si="6"/>
        <v>2</v>
      </c>
      <c r="L10">
        <f t="shared" si="7"/>
        <v>2</v>
      </c>
      <c r="M10">
        <f t="shared" si="8"/>
        <v>2</v>
      </c>
    </row>
    <row r="11" spans="1:13">
      <c r="A11" s="17" t="s">
        <v>90</v>
      </c>
      <c r="B11" s="18" t="str">
        <f t="shared" si="0"/>
        <v>14B3</v>
      </c>
      <c r="C11" s="19" t="s">
        <v>111</v>
      </c>
      <c r="E11">
        <f t="shared" si="1"/>
        <v>0</v>
      </c>
      <c r="F11" t="str">
        <f t="shared" si="2"/>
        <v>Move Relearner</v>
      </c>
      <c r="H11">
        <f t="shared" si="3"/>
        <v>9</v>
      </c>
      <c r="I11" t="str">
        <f t="shared" si="4"/>
        <v>9</v>
      </c>
      <c r="J11">
        <f t="shared" si="5"/>
        <v>1</v>
      </c>
      <c r="K11">
        <f t="shared" si="6"/>
        <v>2</v>
      </c>
      <c r="L11">
        <f t="shared" si="7"/>
        <v>3</v>
      </c>
      <c r="M11">
        <f t="shared" si="8"/>
        <v>0</v>
      </c>
    </row>
    <row r="12" spans="1:13">
      <c r="A12" s="17" t="s">
        <v>91</v>
      </c>
      <c r="B12" s="18" t="str">
        <f t="shared" si="0"/>
        <v>14B4</v>
      </c>
      <c r="C12" s="19" t="s">
        <v>106</v>
      </c>
      <c r="E12">
        <f t="shared" si="1"/>
        <v>1</v>
      </c>
      <c r="F12" t="str">
        <f t="shared" si="2"/>
        <v>Café</v>
      </c>
      <c r="H12">
        <f t="shared" si="3"/>
        <v>10</v>
      </c>
      <c r="I12" t="str">
        <f t="shared" si="4"/>
        <v>A</v>
      </c>
      <c r="J12">
        <f t="shared" si="5"/>
        <v>2</v>
      </c>
      <c r="K12">
        <f t="shared" si="6"/>
        <v>2</v>
      </c>
      <c r="L12">
        <f t="shared" si="7"/>
        <v>4</v>
      </c>
      <c r="M12">
        <f t="shared" si="8"/>
        <v>1</v>
      </c>
    </row>
    <row r="13" spans="1:13">
      <c r="A13" s="17" t="s">
        <v>92</v>
      </c>
      <c r="B13" s="18" t="str">
        <f t="shared" si="0"/>
        <v>14B5</v>
      </c>
      <c r="C13" s="19" t="s">
        <v>107</v>
      </c>
      <c r="E13">
        <f t="shared" si="1"/>
        <v>2</v>
      </c>
      <c r="F13" t="str">
        <f t="shared" si="2"/>
        <v>Super Training</v>
      </c>
      <c r="H13">
        <f t="shared" si="3"/>
        <v>11</v>
      </c>
      <c r="I13" t="str">
        <f t="shared" si="4"/>
        <v>B</v>
      </c>
      <c r="J13">
        <f t="shared" si="5"/>
        <v>3</v>
      </c>
      <c r="K13">
        <f t="shared" si="6"/>
        <v>2</v>
      </c>
      <c r="L13">
        <f t="shared" si="7"/>
        <v>5</v>
      </c>
      <c r="M13">
        <f t="shared" si="8"/>
        <v>2</v>
      </c>
    </row>
    <row r="14" spans="1:13">
      <c r="A14" s="17" t="s">
        <v>93</v>
      </c>
      <c r="B14" s="18" t="str">
        <f t="shared" si="0"/>
        <v>14B6</v>
      </c>
      <c r="C14" s="19" t="s">
        <v>108</v>
      </c>
      <c r="E14">
        <f t="shared" si="1"/>
        <v>0</v>
      </c>
      <c r="F14" t="str">
        <f t="shared" si="2"/>
        <v>Move Relearner</v>
      </c>
      <c r="H14">
        <f t="shared" si="3"/>
        <v>12</v>
      </c>
      <c r="I14" t="str">
        <f t="shared" si="4"/>
        <v>C</v>
      </c>
      <c r="J14">
        <f t="shared" si="5"/>
        <v>0</v>
      </c>
      <c r="K14">
        <f t="shared" si="6"/>
        <v>3</v>
      </c>
      <c r="L14">
        <f t="shared" si="7"/>
        <v>3</v>
      </c>
      <c r="M14">
        <f t="shared" si="8"/>
        <v>0</v>
      </c>
    </row>
    <row r="15" spans="1:13">
      <c r="A15" s="17" t="s">
        <v>94</v>
      </c>
      <c r="B15" s="18" t="str">
        <f t="shared" si="0"/>
        <v>14B7</v>
      </c>
      <c r="C15" s="19" t="s">
        <v>110</v>
      </c>
      <c r="E15">
        <f t="shared" si="1"/>
        <v>1</v>
      </c>
      <c r="F15" t="str">
        <f t="shared" si="2"/>
        <v>Café</v>
      </c>
      <c r="H15">
        <f t="shared" si="3"/>
        <v>13</v>
      </c>
      <c r="I15" t="str">
        <f t="shared" si="4"/>
        <v>D</v>
      </c>
      <c r="J15">
        <f t="shared" si="5"/>
        <v>1</v>
      </c>
      <c r="K15">
        <f t="shared" si="6"/>
        <v>3</v>
      </c>
      <c r="L15">
        <f t="shared" si="7"/>
        <v>4</v>
      </c>
      <c r="M15">
        <f t="shared" si="8"/>
        <v>1</v>
      </c>
    </row>
    <row r="16" spans="1:13" ht="14.6" thickBot="1">
      <c r="A16" s="20" t="s">
        <v>95</v>
      </c>
      <c r="B16" s="21" t="str">
        <f t="shared" si="0"/>
        <v>14B8</v>
      </c>
      <c r="C16" s="22" t="s">
        <v>109</v>
      </c>
      <c r="E16">
        <f t="shared" si="1"/>
        <v>2</v>
      </c>
      <c r="F16" t="str">
        <f t="shared" si="2"/>
        <v>Super Training</v>
      </c>
      <c r="H16">
        <f t="shared" si="3"/>
        <v>14</v>
      </c>
      <c r="I16" t="str">
        <f t="shared" si="4"/>
        <v>E</v>
      </c>
      <c r="J16">
        <f t="shared" si="5"/>
        <v>2</v>
      </c>
      <c r="K16">
        <f t="shared" si="6"/>
        <v>3</v>
      </c>
      <c r="L16">
        <f t="shared" si="7"/>
        <v>5</v>
      </c>
      <c r="M16">
        <f t="shared" si="8"/>
        <v>2</v>
      </c>
    </row>
    <row r="17" spans="1:5" ht="14.6" thickTop="1"/>
    <row r="19" spans="1:5">
      <c r="A19">
        <v>5655</v>
      </c>
      <c r="B19" t="str">
        <f>DEC2HEX(A19)</f>
        <v>1617</v>
      </c>
      <c r="C19" t="s">
        <v>114</v>
      </c>
      <c r="D19">
        <v>2</v>
      </c>
      <c r="E19">
        <v>2</v>
      </c>
    </row>
    <row r="20" spans="1:5">
      <c r="A20">
        <v>5500</v>
      </c>
      <c r="B20" t="str">
        <f>DEC2HEX(A20)</f>
        <v>157C</v>
      </c>
      <c r="C20" t="s">
        <v>113</v>
      </c>
      <c r="D20">
        <v>0</v>
      </c>
      <c r="E20">
        <v>0</v>
      </c>
    </row>
    <row r="21" spans="1:5">
      <c r="C21" t="s">
        <v>116</v>
      </c>
      <c r="D21">
        <v>1</v>
      </c>
      <c r="E21">
        <v>1</v>
      </c>
    </row>
  </sheetData>
  <sortState xmlns:xlrd2="http://schemas.microsoft.com/office/spreadsheetml/2017/richdata2" ref="A2:A16">
    <sortCondition ref="A2:A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I25"/>
  <sheetViews>
    <sheetView zoomScale="115" zoomScaleNormal="115" workbookViewId="0">
      <pane ySplit="1" topLeftCell="A2" activePane="bottomLeft" state="frozen"/>
      <selection pane="bottomLeft" activeCell="C4" sqref="C4"/>
    </sheetView>
  </sheetViews>
  <sheetFormatPr defaultRowHeight="14.15"/>
  <cols>
    <col min="1" max="1" width="11.42578125" customWidth="1"/>
    <col min="2" max="2" width="12.35546875" customWidth="1"/>
    <col min="3" max="3" width="19.78515625" customWidth="1"/>
    <col min="4" max="4" width="47.2109375" customWidth="1"/>
    <col min="5" max="5" width="8.85546875" bestFit="1" customWidth="1"/>
    <col min="6" max="6" width="9.140625" bestFit="1" customWidth="1"/>
    <col min="7" max="7" width="16.5703125" bestFit="1" customWidth="1"/>
    <col min="8" max="8" width="13.5703125" customWidth="1"/>
    <col min="10" max="10" width="9.140625" bestFit="1" customWidth="1"/>
    <col min="11" max="11" width="16.5703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/>
      <c r="I1" s="2"/>
    </row>
    <row r="2" spans="1:9">
      <c r="A2" s="2" t="s">
        <v>15</v>
      </c>
      <c r="B2" s="2"/>
      <c r="C2" s="2"/>
      <c r="D2" s="2"/>
      <c r="E2" s="2"/>
      <c r="I2" s="2"/>
    </row>
    <row r="3" spans="1:9">
      <c r="A3" t="s">
        <v>13</v>
      </c>
      <c r="B3" t="s">
        <v>24</v>
      </c>
      <c r="C3" t="s">
        <v>29</v>
      </c>
      <c r="D3" t="s">
        <v>14</v>
      </c>
    </row>
    <row r="4" spans="1:9">
      <c r="A4" t="str">
        <f t="shared" ref="A4" si="0">DEC2HEX(HEX2DEC(A3)+4,8)</f>
        <v>0029A048</v>
      </c>
      <c r="B4" t="s">
        <v>33</v>
      </c>
      <c r="C4" t="s">
        <v>32</v>
      </c>
    </row>
    <row r="6" spans="1:9">
      <c r="A6" s="2" t="s">
        <v>19</v>
      </c>
    </row>
    <row r="7" spans="1:9">
      <c r="A7" t="s">
        <v>18</v>
      </c>
    </row>
    <row r="10" spans="1:9">
      <c r="A10" s="2" t="s">
        <v>22</v>
      </c>
    </row>
    <row r="11" spans="1:9">
      <c r="A11" s="1" t="s">
        <v>16</v>
      </c>
      <c r="B11" t="s">
        <v>25</v>
      </c>
      <c r="C11" t="s">
        <v>31</v>
      </c>
    </row>
    <row r="12" spans="1:9">
      <c r="A12" t="str">
        <f t="shared" ref="A12" si="1">DEC2HEX(HEX2DEC(A11)+4,8)</f>
        <v>00341658</v>
      </c>
      <c r="B12" t="s">
        <v>33</v>
      </c>
      <c r="C12" t="s">
        <v>32</v>
      </c>
    </row>
    <row r="17" spans="1:3">
      <c r="A17" s="2" t="s">
        <v>21</v>
      </c>
    </row>
    <row r="18" spans="1:3">
      <c r="A18" t="s">
        <v>17</v>
      </c>
      <c r="B18" s="1" t="s">
        <v>12</v>
      </c>
      <c r="C18" t="s">
        <v>11</v>
      </c>
    </row>
    <row r="19" spans="1:3">
      <c r="A19" t="str">
        <f t="shared" ref="A19" si="2">DEC2HEX(HEX2DEC(A18)+4,8)</f>
        <v>003417DC</v>
      </c>
      <c r="B19" t="s">
        <v>9</v>
      </c>
      <c r="C19" t="s">
        <v>34</v>
      </c>
    </row>
    <row r="21" spans="1:3">
      <c r="A21" s="2" t="s">
        <v>23</v>
      </c>
    </row>
    <row r="22" spans="1:3">
      <c r="A22" t="s">
        <v>20</v>
      </c>
      <c r="B22" s="1" t="s">
        <v>38</v>
      </c>
      <c r="C22" t="s">
        <v>35</v>
      </c>
    </row>
    <row r="23" spans="1:3">
      <c r="A23" t="str">
        <f t="shared" ref="A23:A25" si="3">DEC2HEX(HEX2DEC(A22)+4,8)</f>
        <v>003418C8</v>
      </c>
      <c r="B23" s="1" t="s">
        <v>39</v>
      </c>
      <c r="C23" t="s">
        <v>36</v>
      </c>
    </row>
    <row r="24" spans="1:3">
      <c r="A24" t="str">
        <f t="shared" si="3"/>
        <v>003418CC</v>
      </c>
      <c r="B24" t="s">
        <v>40</v>
      </c>
      <c r="C24" t="s">
        <v>37</v>
      </c>
    </row>
    <row r="25" spans="1:3">
      <c r="A25" t="str">
        <f t="shared" si="3"/>
        <v>003418D0</v>
      </c>
      <c r="B25" s="1" t="s">
        <v>8</v>
      </c>
      <c r="C2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 Output</vt:lpstr>
      <vt:lpstr>Edited main</vt:lpstr>
      <vt:lpstr>Cafe Script IDs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2026-06-10T22:30:28Z</dcterms:modified>
</cp:coreProperties>
</file>