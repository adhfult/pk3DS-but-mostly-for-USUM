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Other Mechanics\"/>
    </mc:Choice>
  </mc:AlternateContent>
  <xr:revisionPtr revIDLastSave="0" documentId="13_ncr:1_{807049C2-AD79-4569-A207-E3A3ABF9F651}" xr6:coauthVersionLast="47" xr6:coauthVersionMax="47" xr10:uidLastSave="{00000000-0000-0000-0000-000000000000}"/>
  <bookViews>
    <workbookView xWindow="0" yWindow="0" windowWidth="16466" windowHeight="17914" activeTab="3" xr2:uid="{FFF8744C-F0B4-428F-8CA7-718350CADE02}"/>
  </bookViews>
  <sheets>
    <sheet name="Edited code.bin and bag.cro" sheetId="18" r:id="rId1"/>
    <sheet name="Edited battle.cro" sheetId="13" r:id="rId2"/>
    <sheet name="Table Builder" sheetId="19" r:id="rId3"/>
    <sheet name="Data" sheetId="15" r:id="rId4"/>
    <sheet name="original" sheetId="14" r:id="rId5"/>
    <sheet name="Sheet1" sheetId="16" r:id="rId6"/>
    <sheet name="important values" sheetId="1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1" i="15" l="1"/>
  <c r="C26" i="18"/>
  <c r="C39" i="18"/>
  <c r="C90" i="13"/>
  <c r="A70" i="13"/>
  <c r="A71" i="13" s="1"/>
  <c r="A72" i="13" s="1"/>
  <c r="A73" i="13" s="1"/>
  <c r="A74" i="13" s="1"/>
  <c r="A75" i="13" s="1"/>
  <c r="A76" i="13" s="1"/>
  <c r="A77" i="13" s="1"/>
  <c r="A78" i="13" s="1"/>
  <c r="A79" i="13" s="1"/>
  <c r="A80" i="13" s="1"/>
  <c r="A81" i="13" s="1"/>
  <c r="A82" i="13" s="1"/>
  <c r="A83" i="13" s="1"/>
  <c r="A84" i="13" s="1"/>
  <c r="A85" i="13" s="1"/>
  <c r="A86" i="13" s="1"/>
  <c r="A87" i="13" s="1"/>
  <c r="A88" i="13" s="1"/>
  <c r="A89" i="13" s="1"/>
  <c r="A90" i="13" s="1"/>
  <c r="AD2" i="15"/>
  <c r="I23" i="19"/>
  <c r="G23" i="19"/>
  <c r="F23" i="19"/>
  <c r="I25" i="19"/>
  <c r="I24" i="19"/>
  <c r="G9" i="19"/>
  <c r="M96" i="15" a="1"/>
  <c r="L90" i="15" a="1"/>
  <c r="M97" i="15" a="1"/>
  <c r="M98" i="15" a="1"/>
  <c r="M92" i="15" a="1"/>
  <c r="M95" i="15" a="1"/>
  <c r="M94" i="15" a="1"/>
  <c r="M93" i="15" a="1"/>
  <c r="M94" i="15" l="1"/>
  <c r="M93" i="15"/>
  <c r="M95" i="15"/>
  <c r="M98" i="15"/>
  <c r="M97" i="15"/>
  <c r="M96" i="15"/>
  <c r="M92" i="15"/>
  <c r="L90" i="15"/>
  <c r="L89" i="15" a="1"/>
  <c r="L89" i="15" l="1"/>
  <c r="O35" i="15"/>
  <c r="O43" i="15" s="1"/>
  <c r="O51" i="15" s="1"/>
  <c r="O59" i="15" s="1"/>
  <c r="O67" i="15" s="1"/>
  <c r="O75" i="15" s="1"/>
  <c r="O83" i="15" s="1"/>
  <c r="O91" i="15" s="1"/>
  <c r="O99" i="15" s="1"/>
  <c r="O34" i="15"/>
  <c r="O42" i="15" s="1"/>
  <c r="O50" i="15" s="1"/>
  <c r="O58" i="15" s="1"/>
  <c r="O66" i="15" s="1"/>
  <c r="O74" i="15" s="1"/>
  <c r="O82" i="15" s="1"/>
  <c r="O90" i="15" s="1"/>
  <c r="O98" i="15" s="1"/>
  <c r="O33" i="15"/>
  <c r="O41" i="15" s="1"/>
  <c r="O49" i="15" s="1"/>
  <c r="O57" i="15" s="1"/>
  <c r="O65" i="15" s="1"/>
  <c r="O73" i="15" s="1"/>
  <c r="O81" i="15" s="1"/>
  <c r="O89" i="15" s="1"/>
  <c r="O97" i="15" s="1"/>
  <c r="O32" i="15"/>
  <c r="O40" i="15" s="1"/>
  <c r="O48" i="15" s="1"/>
  <c r="O56" i="15" s="1"/>
  <c r="O64" i="15" s="1"/>
  <c r="O72" i="15" s="1"/>
  <c r="O80" i="15" s="1"/>
  <c r="O88" i="15" s="1"/>
  <c r="O96" i="15" s="1"/>
  <c r="O31" i="15"/>
  <c r="O39" i="15" s="1"/>
  <c r="O47" i="15" s="1"/>
  <c r="O55" i="15" s="1"/>
  <c r="O63" i="15" s="1"/>
  <c r="O71" i="15" s="1"/>
  <c r="O79" i="15" s="1"/>
  <c r="O87" i="15" s="1"/>
  <c r="O95" i="15" s="1"/>
  <c r="O30" i="15"/>
  <c r="O38" i="15" s="1"/>
  <c r="O46" i="15" s="1"/>
  <c r="O54" i="15" s="1"/>
  <c r="O62" i="15" s="1"/>
  <c r="O70" i="15" s="1"/>
  <c r="O78" i="15" s="1"/>
  <c r="O86" i="15" s="1"/>
  <c r="O94" i="15" s="1"/>
  <c r="O29" i="15"/>
  <c r="O37" i="15" s="1"/>
  <c r="O45" i="15" s="1"/>
  <c r="O53" i="15" s="1"/>
  <c r="O61" i="15" s="1"/>
  <c r="O69" i="15" s="1"/>
  <c r="O77" i="15" s="1"/>
  <c r="O85" i="15" s="1"/>
  <c r="O93" i="15" s="1"/>
  <c r="O28" i="15"/>
  <c r="O36" i="15" s="1"/>
  <c r="O44" i="15" s="1"/>
  <c r="O52" i="15" s="1"/>
  <c r="O60" i="15" s="1"/>
  <c r="O68" i="15" s="1"/>
  <c r="O76" i="15" s="1"/>
  <c r="O84" i="15" s="1"/>
  <c r="O92" i="15" s="1"/>
  <c r="U12" i="15"/>
  <c r="U10" i="15"/>
  <c r="L68" i="15" a="1"/>
  <c r="L78" i="15" a="1"/>
  <c r="L12" i="15" a="1"/>
  <c r="L82" i="15" a="1"/>
  <c r="L14" i="15" a="1"/>
  <c r="L36" i="15" a="1"/>
  <c r="L54" i="15" a="1"/>
  <c r="L39" i="15" a="1"/>
  <c r="L26" i="15" a="1"/>
  <c r="L18" i="15" a="1"/>
  <c r="L74" i="15" a="1"/>
  <c r="L66" i="15" a="1"/>
  <c r="L30" i="15" a="1"/>
  <c r="L16" i="15" a="1"/>
  <c r="L37" i="15" a="1"/>
  <c r="L24" i="15" a="1"/>
  <c r="L73" i="15" a="1"/>
  <c r="L28" i="15" a="1"/>
  <c r="L57" i="15" a="1"/>
  <c r="L88" i="15" a="1"/>
  <c r="L17" i="15" a="1"/>
  <c r="L72" i="15" a="1"/>
  <c r="L25" i="15" a="1"/>
  <c r="L60" i="15" a="1"/>
  <c r="L61" i="15" a="1"/>
  <c r="L48" i="15" a="1"/>
  <c r="L13" i="15" a="1"/>
  <c r="L77" i="15" a="1"/>
  <c r="N58" i="15" a="1"/>
  <c r="N69" i="15" a="1"/>
  <c r="N57" i="15" a="1"/>
  <c r="L49" i="15" a="1"/>
  <c r="L47" i="15" a="1"/>
  <c r="L32" i="15" a="1"/>
  <c r="L62" i="15" a="1"/>
  <c r="L84" i="15" a="1"/>
  <c r="L65" i="15" a="1"/>
  <c r="L42" i="15" a="1"/>
  <c r="L70" i="15" a="1"/>
  <c r="N54" i="15" a="1"/>
  <c r="L80" i="15" a="1"/>
  <c r="L20" i="15" a="1"/>
  <c r="L23" i="15" a="1"/>
  <c r="N53" i="15" a="1"/>
  <c r="N59" i="15" a="1"/>
  <c r="L85" i="15" a="1"/>
  <c r="L64" i="15" a="1"/>
  <c r="L71" i="15" a="1"/>
  <c r="N55" i="15" a="1"/>
  <c r="L38" i="15" a="1"/>
  <c r="L31" i="15" a="1"/>
  <c r="L69" i="15" a="1"/>
  <c r="L46" i="15" a="1"/>
  <c r="L34" i="15" a="1"/>
  <c r="N52" i="15" a="1"/>
  <c r="L29" i="15" a="1"/>
  <c r="L76" i="15" a="1"/>
  <c r="L15" i="15" a="1"/>
  <c r="N68" i="15" a="1"/>
  <c r="N75" i="15" a="1"/>
  <c r="N71" i="15" a="1"/>
  <c r="L56" i="15" a="1"/>
  <c r="L33" i="15" a="1"/>
  <c r="L79" i="15" a="1"/>
  <c r="L63" i="15" a="1"/>
  <c r="N73" i="15" a="1"/>
  <c r="L22" i="15" a="1"/>
  <c r="L87" i="15" a="1"/>
  <c r="L50" i="15" a="1"/>
  <c r="L53" i="15" a="1"/>
  <c r="L58" i="15" a="1"/>
  <c r="L40" i="15" a="1"/>
  <c r="L86" i="15" a="1"/>
  <c r="N70" i="15" a="1"/>
  <c r="L55" i="15" a="1"/>
  <c r="L45" i="15" a="1"/>
  <c r="N72" i="15" a="1"/>
  <c r="L44" i="15" a="1"/>
  <c r="L52" i="15" a="1"/>
  <c r="N74" i="15" a="1"/>
  <c r="N56" i="15" a="1"/>
  <c r="L21" i="15" a="1"/>
  <c r="L41" i="15" a="1"/>
  <c r="L81" i="15" a="1"/>
  <c r="L21" i="15" l="1"/>
  <c r="M21" i="15" s="1"/>
  <c r="L32" i="15"/>
  <c r="M32" i="15" s="1"/>
  <c r="L22" i="15"/>
  <c r="L45" i="15"/>
  <c r="M45" i="15" s="1"/>
  <c r="L79" i="15"/>
  <c r="M79" i="15" s="1"/>
  <c r="L34" i="15"/>
  <c r="M34" i="15" s="1"/>
  <c r="L80" i="15"/>
  <c r="L24" i="15"/>
  <c r="M24" i="15" s="1"/>
  <c r="L36" i="15"/>
  <c r="L14" i="15"/>
  <c r="M14" i="15" s="1"/>
  <c r="L37" i="15"/>
  <c r="M37" i="15" s="1"/>
  <c r="L82" i="15"/>
  <c r="M82" i="15" s="1"/>
  <c r="L38" i="15"/>
  <c r="M38" i="15" s="1"/>
  <c r="L84" i="15"/>
  <c r="M84" i="15" s="1"/>
  <c r="L28" i="15"/>
  <c r="M28" i="15" s="1"/>
  <c r="L62" i="15"/>
  <c r="M62" i="15" s="1"/>
  <c r="L73" i="15"/>
  <c r="M73" i="15" s="1"/>
  <c r="L85" i="15"/>
  <c r="M85" i="15" s="1"/>
  <c r="L55" i="15"/>
  <c r="M55" i="15" s="1"/>
  <c r="L33" i="15"/>
  <c r="M33" i="15" s="1"/>
  <c r="L46" i="15"/>
  <c r="M46" i="15" s="1"/>
  <c r="L47" i="15"/>
  <c r="L25" i="15"/>
  <c r="M25" i="15" s="1"/>
  <c r="L72" i="15"/>
  <c r="M72" i="15" s="1"/>
  <c r="L16" i="15"/>
  <c r="M16" i="15" s="1"/>
  <c r="L40" i="15"/>
  <c r="M40" i="15" s="1"/>
  <c r="L74" i="15"/>
  <c r="M74" i="15" s="1"/>
  <c r="L18" i="15"/>
  <c r="M18" i="15" s="1"/>
  <c r="L41" i="15"/>
  <c r="M41" i="15" s="1"/>
  <c r="L53" i="15"/>
  <c r="M53" i="15" s="1"/>
  <c r="L64" i="15"/>
  <c r="M64" i="15" s="1"/>
  <c r="L76" i="15"/>
  <c r="M76" i="15" s="1"/>
  <c r="L87" i="15"/>
  <c r="M87" i="15" s="1"/>
  <c r="L44" i="15"/>
  <c r="M44" i="15" s="1"/>
  <c r="L56" i="15"/>
  <c r="M56" i="15" s="1"/>
  <c r="L23" i="15"/>
  <c r="M23" i="15" s="1"/>
  <c r="L69" i="15"/>
  <c r="M69" i="15" s="1"/>
  <c r="L70" i="15"/>
  <c r="M70" i="15" s="1"/>
  <c r="L60" i="15"/>
  <c r="M60" i="15" s="1"/>
  <c r="L49" i="15"/>
  <c r="M49" i="15" s="1"/>
  <c r="L17" i="15"/>
  <c r="M17" i="15" s="1"/>
  <c r="L30" i="15"/>
  <c r="M30" i="15" s="1"/>
  <c r="L78" i="15"/>
  <c r="L13" i="15"/>
  <c r="M13" i="15" s="1"/>
  <c r="L81" i="15"/>
  <c r="M81" i="15" s="1"/>
  <c r="L48" i="15"/>
  <c r="M48" i="15" s="1"/>
  <c r="L15" i="15"/>
  <c r="L61" i="15"/>
  <c r="M61" i="15" s="1"/>
  <c r="L50" i="15"/>
  <c r="M50" i="15" s="1"/>
  <c r="L29" i="15"/>
  <c r="M29" i="15" s="1"/>
  <c r="L63" i="15"/>
  <c r="M63" i="15" s="1"/>
  <c r="L86" i="15"/>
  <c r="M86" i="15" s="1"/>
  <c r="L20" i="15"/>
  <c r="M20" i="15" s="1"/>
  <c r="L31" i="15"/>
  <c r="M31" i="15" s="1"/>
  <c r="L42" i="15"/>
  <c r="M42" i="15" s="1"/>
  <c r="L54" i="15"/>
  <c r="M54" i="15" s="1"/>
  <c r="L65" i="15"/>
  <c r="M65" i="15" s="1"/>
  <c r="L77" i="15"/>
  <c r="M77" i="15" s="1"/>
  <c r="L88" i="15"/>
  <c r="M88" i="15" s="1"/>
  <c r="L66" i="15"/>
  <c r="M66" i="15" s="1"/>
  <c r="L68" i="15"/>
  <c r="M68" i="15" s="1"/>
  <c r="L57" i="15"/>
  <c r="L58" i="15"/>
  <c r="L71" i="15"/>
  <c r="M71" i="15" s="1"/>
  <c r="L26" i="15"/>
  <c r="M26" i="15" s="1"/>
  <c r="L39" i="15"/>
  <c r="M39" i="15" s="1"/>
  <c r="L52" i="15"/>
  <c r="M52" i="15" s="1"/>
  <c r="M15" i="15"/>
  <c r="M57" i="15"/>
  <c r="M36" i="15"/>
  <c r="M78" i="15"/>
  <c r="M80" i="15"/>
  <c r="L12" i="15"/>
  <c r="M47" i="15"/>
  <c r="M58" i="15"/>
  <c r="M89" i="15"/>
  <c r="N71" i="15"/>
  <c r="N72" i="15"/>
  <c r="N73" i="15"/>
  <c r="N74" i="15"/>
  <c r="N70" i="15"/>
  <c r="N52" i="15"/>
  <c r="N53" i="15"/>
  <c r="N54" i="15"/>
  <c r="N55" i="15"/>
  <c r="N57" i="15"/>
  <c r="N68" i="15"/>
  <c r="N69" i="15"/>
  <c r="N75" i="15"/>
  <c r="N56" i="15"/>
  <c r="N58" i="15"/>
  <c r="N59" i="15"/>
  <c r="M90" i="15"/>
  <c r="M22" i="15"/>
  <c r="U15" i="15"/>
  <c r="U14" i="15"/>
  <c r="U13" i="15"/>
  <c r="AD12" i="15"/>
  <c r="U11" i="15"/>
  <c r="AD10" i="15"/>
  <c r="U9" i="15"/>
  <c r="U8" i="15"/>
  <c r="U7" i="15"/>
  <c r="U6" i="15"/>
  <c r="U5" i="15"/>
  <c r="AD5" i="15" s="1"/>
  <c r="U4" i="15"/>
  <c r="AD4" i="15" s="1"/>
  <c r="U3" i="15"/>
  <c r="J36" i="16"/>
  <c r="J35" i="16"/>
  <c r="J38" i="16"/>
  <c r="J39" i="16"/>
  <c r="K39" i="16" s="1"/>
  <c r="E23" i="15"/>
  <c r="E22" i="15"/>
  <c r="E21" i="15"/>
  <c r="E20" i="15"/>
  <c r="E19" i="15"/>
  <c r="E18" i="15"/>
  <c r="E17" i="15"/>
  <c r="E16" i="15"/>
  <c r="E15" i="15"/>
  <c r="E14" i="15"/>
  <c r="E13" i="15"/>
  <c r="E12" i="15"/>
  <c r="E11" i="15"/>
  <c r="E10" i="15"/>
  <c r="E9" i="15"/>
  <c r="E8" i="15"/>
  <c r="E7" i="15"/>
  <c r="E6" i="15"/>
  <c r="E5" i="15"/>
  <c r="E4" i="15"/>
  <c r="E3" i="15"/>
  <c r="N32" i="15" a="1"/>
  <c r="N51" i="15" a="1"/>
  <c r="N85" i="15" a="1"/>
  <c r="N76" i="15" a="1"/>
  <c r="N38" i="15" a="1"/>
  <c r="N95" i="15" a="1"/>
  <c r="N81" i="15" a="1"/>
  <c r="N29" i="15" a="1"/>
  <c r="N99" i="15" a="1"/>
  <c r="L19" i="15" a="1"/>
  <c r="L59" i="15" a="1"/>
  <c r="N84" i="15" a="1"/>
  <c r="N88" i="15" a="1"/>
  <c r="N65" i="15" a="1"/>
  <c r="N94" i="15" a="1"/>
  <c r="N42" i="15" a="1"/>
  <c r="N31" i="15" a="1"/>
  <c r="N83" i="15" a="1"/>
  <c r="N36" i="15" a="1"/>
  <c r="N79" i="15" a="1"/>
  <c r="N97" i="15" a="1"/>
  <c r="N28" i="15" a="1"/>
  <c r="N34" i="15" a="1"/>
  <c r="N43" i="15" a="1"/>
  <c r="N26" i="15" a="1"/>
  <c r="N90" i="15" a="1"/>
  <c r="N21" i="15" a="1"/>
  <c r="N87" i="15" a="1"/>
  <c r="N49" i="15" a="1"/>
  <c r="N62" i="15" a="1"/>
  <c r="N33" i="15" a="1"/>
  <c r="N86" i="15" a="1"/>
  <c r="N92" i="15" a="1"/>
  <c r="N44" i="15" a="1"/>
  <c r="N63" i="15" a="1"/>
  <c r="N35" i="15" a="1"/>
  <c r="N47" i="15" a="1"/>
  <c r="N40" i="15" a="1"/>
  <c r="N23" i="15" a="1"/>
  <c r="N89" i="15" a="1"/>
  <c r="N66" i="15" a="1"/>
  <c r="N20" i="15" a="1"/>
  <c r="N96" i="15" a="1"/>
  <c r="N25" i="15" a="1"/>
  <c r="N98" i="15" a="1"/>
  <c r="N37" i="15" a="1"/>
  <c r="N78" i="15" a="1"/>
  <c r="N61" i="15" a="1"/>
  <c r="L75" i="15" a="1"/>
  <c r="N30" i="15" a="1"/>
  <c r="N80" i="15" a="1"/>
  <c r="N77" i="15" a="1"/>
  <c r="N27" i="15" a="1"/>
  <c r="N39" i="15" a="1"/>
  <c r="N41" i="15" a="1"/>
  <c r="N82" i="15" a="1"/>
  <c r="N91" i="15" a="1"/>
  <c r="N93" i="15" a="1"/>
  <c r="N60" i="15" a="1"/>
  <c r="N22" i="15" a="1"/>
  <c r="N64" i="15" a="1"/>
  <c r="N46" i="15" a="1"/>
  <c r="N67" i="15" a="1"/>
  <c r="N50" i="15" a="1"/>
  <c r="N24" i="15" a="1"/>
  <c r="N45" i="15" a="1"/>
  <c r="N48" i="15" a="1"/>
  <c r="N28" i="15" l="1"/>
  <c r="N34" i="15"/>
  <c r="P34" i="15" s="1"/>
  <c r="N33" i="15"/>
  <c r="N29" i="15"/>
  <c r="P29" i="15" s="1"/>
  <c r="N35" i="15"/>
  <c r="N30" i="15"/>
  <c r="P30" i="15" s="1"/>
  <c r="N32" i="15"/>
  <c r="N31" i="15"/>
  <c r="P31" i="15" s="1"/>
  <c r="N96" i="15"/>
  <c r="P96" i="15" s="1"/>
  <c r="N99" i="15"/>
  <c r="P99" i="15" s="1"/>
  <c r="N94" i="15"/>
  <c r="P94" i="15" s="1"/>
  <c r="N93" i="15"/>
  <c r="P93" i="15" s="1"/>
  <c r="N92" i="15"/>
  <c r="P92" i="15" s="1"/>
  <c r="N98" i="15"/>
  <c r="P98" i="15" s="1"/>
  <c r="N97" i="15"/>
  <c r="P97" i="15" s="1"/>
  <c r="N95" i="15"/>
  <c r="P95" i="15" s="1"/>
  <c r="N89" i="15"/>
  <c r="P89" i="15" s="1"/>
  <c r="N87" i="15"/>
  <c r="P87" i="15" s="1"/>
  <c r="N90" i="15"/>
  <c r="P90" i="15" s="1"/>
  <c r="N85" i="15"/>
  <c r="P85" i="15" s="1"/>
  <c r="N86" i="15"/>
  <c r="N84" i="15"/>
  <c r="P84" i="15" s="1"/>
  <c r="N91" i="15"/>
  <c r="N88" i="15"/>
  <c r="N45" i="15"/>
  <c r="P45" i="15" s="1"/>
  <c r="N50" i="15"/>
  <c r="P50" i="15" s="1"/>
  <c r="N49" i="15"/>
  <c r="N48" i="15"/>
  <c r="P48" i="15" s="1"/>
  <c r="N46" i="15"/>
  <c r="N47" i="15"/>
  <c r="P47" i="15" s="1"/>
  <c r="N51" i="15"/>
  <c r="P51" i="15" s="1"/>
  <c r="N44" i="15"/>
  <c r="P44" i="15" s="1"/>
  <c r="N20" i="15"/>
  <c r="P20" i="15" s="1"/>
  <c r="N21" i="15"/>
  <c r="P21" i="15" s="1"/>
  <c r="N27" i="15"/>
  <c r="P27" i="15" s="1"/>
  <c r="N24" i="15"/>
  <c r="P24" i="15" s="1"/>
  <c r="N23" i="15"/>
  <c r="P23" i="15" s="1"/>
  <c r="N22" i="15"/>
  <c r="P22" i="15" s="1"/>
  <c r="N26" i="15"/>
  <c r="P26" i="15" s="1"/>
  <c r="N25" i="15"/>
  <c r="P25" i="15" s="1"/>
  <c r="N39" i="15"/>
  <c r="N37" i="15"/>
  <c r="P37" i="15" s="1"/>
  <c r="N42" i="15"/>
  <c r="N41" i="15"/>
  <c r="N38" i="15"/>
  <c r="N36" i="15"/>
  <c r="P36" i="15" s="1"/>
  <c r="N43" i="15"/>
  <c r="P43" i="15" s="1"/>
  <c r="N40" i="15"/>
  <c r="P40" i="15" s="1"/>
  <c r="N67" i="15"/>
  <c r="P67" i="15" s="1"/>
  <c r="N64" i="15"/>
  <c r="P64" i="15" s="1"/>
  <c r="N61" i="15"/>
  <c r="N60" i="15"/>
  <c r="P60" i="15" s="1"/>
  <c r="N65" i="15"/>
  <c r="P65" i="15" s="1"/>
  <c r="N63" i="15"/>
  <c r="P63" i="15" s="1"/>
  <c r="N62" i="15"/>
  <c r="P62" i="15" s="1"/>
  <c r="N66" i="15"/>
  <c r="P66" i="15" s="1"/>
  <c r="N79" i="15"/>
  <c r="P79" i="15" s="1"/>
  <c r="N78" i="15"/>
  <c r="P78" i="15" s="1"/>
  <c r="N83" i="15"/>
  <c r="P83" i="15" s="1"/>
  <c r="N82" i="15"/>
  <c r="P82" i="15" s="1"/>
  <c r="N77" i="15"/>
  <c r="N76" i="15"/>
  <c r="N81" i="15"/>
  <c r="N80" i="15"/>
  <c r="L75" i="15"/>
  <c r="M75" i="15" s="1"/>
  <c r="L59" i="15"/>
  <c r="M59" i="15" s="1"/>
  <c r="L19" i="15"/>
  <c r="M19" i="15" s="1"/>
  <c r="G2" i="19" s="1"/>
  <c r="P69" i="15"/>
  <c r="P74" i="15"/>
  <c r="P57" i="15"/>
  <c r="P32" i="15"/>
  <c r="P33" i="15"/>
  <c r="P54" i="15"/>
  <c r="P55" i="15"/>
  <c r="P42" i="15"/>
  <c r="AD3" i="15"/>
  <c r="P6" i="15" s="1"/>
  <c r="P19" i="15"/>
  <c r="P13" i="15"/>
  <c r="P9" i="15"/>
  <c r="P8" i="15"/>
  <c r="F9" i="19" s="1"/>
  <c r="I9" i="19" s="1"/>
  <c r="P5" i="15"/>
  <c r="P2" i="15"/>
  <c r="P18" i="15"/>
  <c r="P17" i="15"/>
  <c r="P10" i="15"/>
  <c r="P16" i="15"/>
  <c r="P12" i="15"/>
  <c r="P15" i="15"/>
  <c r="P14" i="15"/>
  <c r="P53" i="15"/>
  <c r="P75" i="15"/>
  <c r="P56" i="15"/>
  <c r="P71" i="15"/>
  <c r="P59" i="15"/>
  <c r="P52" i="15"/>
  <c r="P70" i="15"/>
  <c r="P58" i="15"/>
  <c r="P68" i="15"/>
  <c r="P73" i="15"/>
  <c r="P72" i="15"/>
  <c r="M91" i="15"/>
  <c r="AD6" i="15"/>
  <c r="AD8" i="15"/>
  <c r="AD9" i="15"/>
  <c r="AD11" i="15"/>
  <c r="AD13" i="15"/>
  <c r="AD14" i="15"/>
  <c r="AD15" i="15"/>
  <c r="AD7" i="15"/>
  <c r="K36" i="16"/>
  <c r="F10" i="15"/>
  <c r="F11" i="15"/>
  <c r="F12" i="15"/>
  <c r="F13" i="15"/>
  <c r="F14" i="15"/>
  <c r="F15" i="15"/>
  <c r="F16" i="15"/>
  <c r="F17" i="15"/>
  <c r="F18" i="15"/>
  <c r="F19" i="15"/>
  <c r="F20" i="15"/>
  <c r="F21" i="15"/>
  <c r="F22" i="15"/>
  <c r="F23" i="15"/>
  <c r="C30" i="16"/>
  <c r="C21" i="16"/>
  <c r="C32" i="16"/>
  <c r="C20" i="16"/>
  <c r="A34" i="16"/>
  <c r="A33" i="16"/>
  <c r="L27" i="15" a="1"/>
  <c r="L67" i="15" a="1"/>
  <c r="L83" i="15" a="1"/>
  <c r="M99" i="15" a="1"/>
  <c r="L35" i="15" a="1"/>
  <c r="L43" i="15" a="1"/>
  <c r="L51" i="15" a="1"/>
  <c r="P88" i="15" l="1"/>
  <c r="F5" i="19"/>
  <c r="G5" i="19"/>
  <c r="P41" i="15"/>
  <c r="F3" i="19"/>
  <c r="G3" i="19"/>
  <c r="P77" i="15"/>
  <c r="P28" i="15"/>
  <c r="F2" i="19"/>
  <c r="I2" i="19" s="1"/>
  <c r="P46" i="15"/>
  <c r="P61" i="15"/>
  <c r="P86" i="15"/>
  <c r="P49" i="15"/>
  <c r="P91" i="15"/>
  <c r="P81" i="15"/>
  <c r="P76" i="15"/>
  <c r="P39" i="15"/>
  <c r="P4" i="15"/>
  <c r="P80" i="15"/>
  <c r="P38" i="15"/>
  <c r="P35" i="15"/>
  <c r="L83" i="15"/>
  <c r="M83" i="15" s="1"/>
  <c r="L35" i="15"/>
  <c r="M35" i="15" s="1"/>
  <c r="L51" i="15"/>
  <c r="M51" i="15" s="1"/>
  <c r="L43" i="15"/>
  <c r="M43" i="15" s="1"/>
  <c r="M99" i="15"/>
  <c r="L27" i="15"/>
  <c r="M27" i="15" s="1"/>
  <c r="F4" i="19" s="1"/>
  <c r="L67" i="15"/>
  <c r="M67" i="15" s="1"/>
  <c r="P3" i="15"/>
  <c r="P7" i="15"/>
  <c r="C3" i="18"/>
  <c r="G6" i="19" l="1"/>
  <c r="F6" i="19"/>
  <c r="F20" i="19"/>
  <c r="G20" i="19"/>
  <c r="G21" i="19"/>
  <c r="F21" i="19"/>
  <c r="G22" i="19"/>
  <c r="F22" i="19"/>
  <c r="F19" i="19"/>
  <c r="G19" i="19"/>
  <c r="F18" i="19"/>
  <c r="G18" i="19"/>
  <c r="F17" i="19"/>
  <c r="G17" i="19"/>
  <c r="F16" i="19"/>
  <c r="G16" i="19"/>
  <c r="G15" i="19"/>
  <c r="F15" i="19"/>
  <c r="G14" i="19"/>
  <c r="F14" i="19"/>
  <c r="G13" i="19"/>
  <c r="F13" i="19"/>
  <c r="G12" i="19"/>
  <c r="F12" i="19"/>
  <c r="G11" i="19"/>
  <c r="F11" i="19"/>
  <c r="F10" i="19"/>
  <c r="G10" i="19"/>
  <c r="F8" i="19"/>
  <c r="G8" i="19"/>
  <c r="F7" i="19"/>
  <c r="G7" i="19"/>
  <c r="I5" i="19"/>
  <c r="I3" i="19"/>
  <c r="G4" i="19"/>
  <c r="I4" i="19" s="1"/>
  <c r="A10" i="18"/>
  <c r="A11" i="18" s="1"/>
  <c r="A12" i="18" s="1"/>
  <c r="A13" i="18" s="1"/>
  <c r="A14" i="18" s="1"/>
  <c r="A15" i="18" s="1"/>
  <c r="A16" i="18" s="1"/>
  <c r="A4" i="18"/>
  <c r="A5" i="18" s="1"/>
  <c r="A6" i="18" s="1"/>
  <c r="B9" i="14"/>
  <c r="B10" i="14" s="1"/>
  <c r="B11" i="14" s="1"/>
  <c r="A8" i="14"/>
  <c r="A9" i="14" s="1"/>
  <c r="A10" i="14" s="1"/>
  <c r="A11" i="14" s="1"/>
  <c r="C28" i="18"/>
  <c r="C41" i="18" s="1"/>
  <c r="I6" i="19" l="1"/>
  <c r="I18" i="19"/>
  <c r="I20" i="19"/>
  <c r="I21" i="19"/>
  <c r="I22" i="19"/>
  <c r="I19" i="19"/>
  <c r="I17" i="19"/>
  <c r="I15" i="19"/>
  <c r="I16" i="19"/>
  <c r="I14" i="19"/>
  <c r="I13" i="19"/>
  <c r="I12" i="19"/>
  <c r="I11" i="19"/>
  <c r="I10" i="19"/>
  <c r="I8" i="19"/>
  <c r="I7" i="19"/>
  <c r="A17" i="18"/>
  <c r="A18" i="18" s="1"/>
  <c r="A19" i="18" s="1"/>
  <c r="A20" i="18" s="1"/>
  <c r="A21" i="18" s="1"/>
  <c r="A22" i="18" s="1"/>
  <c r="A23" i="18" s="1"/>
  <c r="A24" i="18" s="1"/>
  <c r="A25" i="18" s="1"/>
  <c r="A26" i="18" s="1"/>
  <c r="A27" i="18" s="1"/>
  <c r="A28" i="18" l="1"/>
  <c r="D69" i="13" a="1"/>
  <c r="D69" i="13" s="1"/>
  <c r="D66" i="18" s="1" a="1"/>
  <c r="D66" i="18" s="1"/>
  <c r="B69" i="13" a="1"/>
  <c r="A29" i="18" l="1"/>
  <c r="A30" i="18" s="1"/>
  <c r="A31" i="18" s="1"/>
  <c r="C23" i="18"/>
  <c r="B69" i="13"/>
  <c r="C89" i="13"/>
  <c r="C83" i="13"/>
  <c r="C79" i="13"/>
  <c r="C76" i="13"/>
  <c r="C72" i="13"/>
  <c r="C88" i="13"/>
  <c r="C82" i="13"/>
  <c r="C78" i="13"/>
  <c r="C71" i="13"/>
  <c r="C70" i="13"/>
  <c r="C87" i="13"/>
  <c r="C84" i="13"/>
  <c r="C80" i="13"/>
  <c r="C75" i="13"/>
  <c r="C74" i="13"/>
  <c r="C86" i="13"/>
  <c r="C85" i="13"/>
  <c r="C81" i="13"/>
  <c r="C77" i="13"/>
  <c r="C73" i="13"/>
  <c r="C36" i="18" l="1"/>
  <c r="A32" i="18"/>
  <c r="A33" i="18" s="1"/>
  <c r="A34" i="18" s="1"/>
  <c r="A35" i="18" s="1"/>
  <c r="A36" i="18" s="1"/>
  <c r="A37" i="18" s="1"/>
  <c r="A38" i="18" s="1"/>
  <c r="A39" i="18" s="1"/>
  <c r="A40" i="18" s="1"/>
  <c r="C18" i="18"/>
  <c r="C69" i="13"/>
  <c r="B66" i="18" a="1"/>
  <c r="B66" i="18" s="1"/>
  <c r="A41" i="18" l="1"/>
  <c r="A42" i="18" s="1"/>
  <c r="C13" i="18"/>
  <c r="K32" i="16"/>
  <c r="A43" i="18" l="1"/>
  <c r="C15" i="18"/>
  <c r="G8" i="16"/>
  <c r="I8" i="16"/>
  <c r="G9" i="16"/>
  <c r="I9" i="16" s="1"/>
  <c r="G13" i="16"/>
  <c r="I13" i="16" s="1"/>
  <c r="G15" i="16"/>
  <c r="I15" i="16"/>
  <c r="A21" i="16"/>
  <c r="A22" i="16" s="1"/>
  <c r="A23" i="16" s="1"/>
  <c r="A24" i="16" s="1"/>
  <c r="A25" i="16" s="1"/>
  <c r="A26" i="16" s="1"/>
  <c r="A27" i="16" s="1"/>
  <c r="A28" i="16" s="1"/>
  <c r="K26" i="16"/>
  <c r="K27" i="16"/>
  <c r="K29" i="16"/>
  <c r="K30" i="16"/>
  <c r="K31" i="16"/>
  <c r="F9" i="15"/>
  <c r="F8" i="15"/>
  <c r="F7" i="15"/>
  <c r="F6" i="15"/>
  <c r="F5" i="15"/>
  <c r="F4" i="15"/>
  <c r="F3" i="15"/>
  <c r="F2" i="15"/>
  <c r="E2" i="15"/>
  <c r="A44" i="18" l="1"/>
  <c r="A45" i="18" s="1"/>
  <c r="A46" i="18" s="1"/>
  <c r="A47" i="18" s="1"/>
  <c r="A48" i="18" s="1"/>
  <c r="A49" i="18" s="1"/>
  <c r="A50" i="18" s="1"/>
  <c r="A51" i="18" s="1"/>
  <c r="A52" i="18" s="1"/>
  <c r="A53" i="18" s="1"/>
  <c r="A54" i="18" s="1"/>
  <c r="A55" i="18" s="1"/>
  <c r="A56" i="18" s="1"/>
  <c r="A57" i="18" s="1"/>
  <c r="A58" i="18" s="1"/>
  <c r="A59" i="18" s="1"/>
  <c r="A60" i="18" s="1"/>
  <c r="A61" i="18" s="1"/>
  <c r="A62" i="18" s="1"/>
  <c r="A63" i="18" s="1"/>
  <c r="A64" i="18" s="1"/>
  <c r="A65" i="18" s="1"/>
  <c r="A66" i="18" s="1"/>
  <c r="A67" i="18" s="1"/>
  <c r="A68" i="18" s="1"/>
  <c r="A69" i="18" s="1"/>
  <c r="A70" i="18" s="1"/>
  <c r="A71" i="18" s="1"/>
  <c r="A72" i="18" s="1"/>
  <c r="A73" i="18" s="1"/>
  <c r="A74" i="18" s="1"/>
  <c r="A75" i="18" s="1"/>
  <c r="A76" i="18" s="1"/>
  <c r="A77" i="18" s="1"/>
  <c r="A78" i="18" s="1"/>
  <c r="A79" i="18" s="1"/>
  <c r="A80" i="18" s="1"/>
  <c r="A81" i="18" s="1"/>
  <c r="A82" i="18" s="1"/>
  <c r="A83" i="18" s="1"/>
  <c r="A84" i="18" s="1"/>
  <c r="A85" i="18" s="1"/>
  <c r="A86" i="18" s="1"/>
  <c r="A87" i="18" s="1"/>
  <c r="C29" i="18"/>
  <c r="D44" i="18" a="1"/>
  <c r="B44" i="18" a="1"/>
  <c r="B44" i="18" s="1"/>
  <c r="C17" i="18"/>
  <c r="A29" i="16"/>
  <c r="A30" i="16" s="1"/>
  <c r="C19" i="18" l="1"/>
  <c r="D44" i="18"/>
  <c r="A31" i="16"/>
  <c r="A32" i="16" s="1"/>
  <c r="C30" i="18" l="1"/>
  <c r="C25" i="13"/>
  <c r="C38" i="13" s="1"/>
  <c r="A46" i="13"/>
  <c r="A47" i="13" s="1"/>
  <c r="A48" i="13" s="1"/>
  <c r="A49" i="13" s="1"/>
  <c r="A50" i="13" s="1"/>
  <c r="A51" i="13" s="1"/>
  <c r="B4" i="14"/>
  <c r="B5" i="14" s="1"/>
  <c r="A4" i="13"/>
  <c r="A5" i="13" s="1"/>
  <c r="A52" i="13" l="1"/>
  <c r="A53" i="13" s="1"/>
  <c r="A54" i="13" s="1"/>
  <c r="A55" i="13" s="1"/>
  <c r="A56" i="13" s="1"/>
  <c r="A57" i="13" s="1"/>
  <c r="A58" i="13" s="1"/>
  <c r="A59" i="13" s="1"/>
  <c r="A60" i="13" s="1"/>
  <c r="A61" i="13" s="1"/>
  <c r="A62" i="13" s="1"/>
  <c r="A63" i="13" s="1"/>
  <c r="A64" i="13" s="1"/>
  <c r="A65" i="13" s="1"/>
  <c r="A66" i="13" s="1"/>
  <c r="C13" i="13"/>
  <c r="C3" i="13"/>
  <c r="B45" i="13" a="1"/>
  <c r="D45" i="13" a="1"/>
  <c r="D45" i="13" s="1"/>
  <c r="C66" i="13" l="1"/>
  <c r="C57" i="13"/>
  <c r="C54" i="13"/>
  <c r="C53" i="13"/>
  <c r="C52" i="13"/>
  <c r="C56" i="13"/>
  <c r="C55" i="13"/>
  <c r="C51" i="13"/>
  <c r="C46" i="13"/>
  <c r="C58" i="13"/>
  <c r="C50" i="13"/>
  <c r="C48" i="13"/>
  <c r="C64" i="13"/>
  <c r="C63" i="13"/>
  <c r="C62" i="13"/>
  <c r="C61" i="13"/>
  <c r="C60" i="13"/>
  <c r="C59" i="13"/>
  <c r="C49" i="13"/>
  <c r="C65" i="13"/>
  <c r="C47" i="13"/>
  <c r="B45" i="13"/>
  <c r="C45" i="13" s="1"/>
  <c r="A9" i="13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l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C36" i="13"/>
  <c r="C18" i="13"/>
  <c r="C20" i="13"/>
  <c r="C33" i="13" l="1"/>
  <c r="C14" i="13"/>
  <c r="C11" i="13" l="1"/>
  <c r="C10" i="13"/>
  <c r="C27" i="13"/>
  <c r="C26" i="13"/>
  <c r="C15" i="13"/>
  <c r="C23" i="1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<sst xmlns="http://schemas.openxmlformats.org/spreadsheetml/2006/main" count="651" uniqueCount="453">
  <si>
    <t>Address</t>
  </si>
  <si>
    <t>Hex</t>
  </si>
  <si>
    <t>instruction</t>
  </si>
  <si>
    <t>notes</t>
  </si>
  <si>
    <t>010050E3</t>
  </si>
  <si>
    <t>cmp r0, 0x1</t>
  </si>
  <si>
    <t>nop</t>
  </si>
  <si>
    <t>push {r4, r5, r6, lr}</t>
  </si>
  <si>
    <t>Section in exp calc function</t>
  </si>
  <si>
    <t>00015AD4</t>
  </si>
  <si>
    <t>cmp r0, 0x64</t>
  </si>
  <si>
    <t>function just loaded current level, compare against 100</t>
  </si>
  <si>
    <t>extremely convenient nop</t>
  </si>
  <si>
    <t>bge 0x00015AF4</t>
  </si>
  <si>
    <t>if level &gt;= 100, skip over instructions that set up exp gain</t>
  </si>
  <si>
    <t>(note this is neccessary but not sufficient to allow levels over 100)</t>
  </si>
  <si>
    <t>branch to level cap check function</t>
  </si>
  <si>
    <t>Level cap function</t>
  </si>
  <si>
    <t>bne 0x00015AF4</t>
  </si>
  <si>
    <t>check if Pokemon is level 100, if it is, just return false</t>
  </si>
  <si>
    <t>get pointer to table of level caps and flags</t>
  </si>
  <si>
    <t>Trainer/Event</t>
  </si>
  <si>
    <t>Level Cap</t>
  </si>
  <si>
    <t>Associated Flag</t>
  </si>
  <si>
    <t>Trainer School</t>
  </si>
  <si>
    <t>Captain Ilima</t>
  </si>
  <si>
    <t>C</t>
  </si>
  <si>
    <t>Totem Gumshoos</t>
  </si>
  <si>
    <t>Kahuna Hala</t>
  </si>
  <si>
    <t>Dexio/Sina Battle</t>
  </si>
  <si>
    <t>1D</t>
  </si>
  <si>
    <t>Hau, Paniola Town</t>
  </si>
  <si>
    <t>1F</t>
  </si>
  <si>
    <t>Gladion</t>
  </si>
  <si>
    <t>Totem Araquanid</t>
  </si>
  <si>
    <t>Totem Marowak</t>
  </si>
  <si>
    <t>Totem Lurantis</t>
  </si>
  <si>
    <t>Kahuna Olivia</t>
  </si>
  <si>
    <t>5D</t>
  </si>
  <si>
    <t>Malie City Hau Battle</t>
  </si>
  <si>
    <t>Mt. Hokulani Bus</t>
  </si>
  <si>
    <t>7A</t>
  </si>
  <si>
    <t>Totem Togedemaru</t>
  </si>
  <si>
    <t>8A</t>
  </si>
  <si>
    <t>Arrive Tapu Village</t>
  </si>
  <si>
    <t>Totem Mimikyu</t>
  </si>
  <si>
    <t>Po Town</t>
  </si>
  <si>
    <t>A3</t>
  </si>
  <si>
    <t>Kahuna Nanu</t>
  </si>
  <si>
    <t>Aether Branch Chief Faba</t>
  </si>
  <si>
    <t>C3</t>
  </si>
  <si>
    <t>Final Ultra Recon Squad Battle</t>
  </si>
  <si>
    <t>C5</t>
  </si>
  <si>
    <t>Vast Poni Canyon</t>
  </si>
  <si>
    <t>D7</t>
  </si>
  <si>
    <t>Value (hex)</t>
  </si>
  <si>
    <t>Where in game</t>
  </si>
  <si>
    <t>Start</t>
  </si>
  <si>
    <t>before first hau</t>
  </si>
  <si>
    <t>after first Hau</t>
  </si>
  <si>
    <t>partway through Trainer School</t>
  </si>
  <si>
    <t>before ilima</t>
  </si>
  <si>
    <t>D</t>
  </si>
  <si>
    <t>After beating ilima</t>
  </si>
  <si>
    <t>Before Normal Trial</t>
  </si>
  <si>
    <t>During Normal Trial</t>
  </si>
  <si>
    <t>Post Normal Trial</t>
  </si>
  <si>
    <t>Before Hala Grand Trial</t>
  </si>
  <si>
    <t>1B</t>
  </si>
  <si>
    <t>Before Dexio</t>
  </si>
  <si>
    <t>After Dexio, before Hau</t>
  </si>
  <si>
    <t>After Hau, before gladion</t>
  </si>
  <si>
    <t>2C</t>
  </si>
  <si>
    <t>After Gladion before Brooklet Hill</t>
  </si>
  <si>
    <t>Right before Water totem</t>
  </si>
  <si>
    <t>Before double battle before Battle Royale</t>
  </si>
  <si>
    <t>3F</t>
  </si>
  <si>
    <t>After first, scripted Battle Royale</t>
  </si>
  <si>
    <t>Before Grass trial</t>
  </si>
  <si>
    <t>Before entering Diglett tunnel</t>
  </si>
  <si>
    <t>Some point in trainers between exiting Diglett Tunnel and Olivia</t>
  </si>
  <si>
    <t>Before Malie Hau(?)</t>
  </si>
  <si>
    <t>Before Team Skull at foot of observatory</t>
  </si>
  <si>
    <t>After Team Skull?</t>
  </si>
  <si>
    <t>7C</t>
  </si>
  <si>
    <t>Reached summit</t>
  </si>
  <si>
    <t xml:space="preserve"> pre electric trial</t>
  </si>
  <si>
    <t>After Electric Trial</t>
  </si>
  <si>
    <t>After reaching Tapu Village</t>
  </si>
  <si>
    <t>partway through Po Town (halfway into Mansion)</t>
  </si>
  <si>
    <t>Aether Foundation</t>
  </si>
  <si>
    <t>Battle with Dulse</t>
  </si>
  <si>
    <t>D4</t>
  </si>
  <si>
    <t>Deeper into canyon</t>
  </si>
  <si>
    <t>Pokemon League</t>
  </si>
  <si>
    <t>load next important NPC battle count entry</t>
  </si>
  <si>
    <t>compare current value to value in table</t>
  </si>
  <si>
    <t>this pulls the max flag from the table</t>
  </si>
  <si>
    <t>if we are &gt;= that, level cap is max, don't bother checking</t>
  </si>
  <si>
    <t>cmp r1, r6</t>
  </si>
  <si>
    <t>add 3 to iterator</t>
  </si>
  <si>
    <t>next loop</t>
  </si>
  <si>
    <t>compare current level to level cap</t>
  </si>
  <si>
    <t>mov r0, 0x1</t>
  </si>
  <si>
    <t>otherwise return true</t>
  </si>
  <si>
    <t>mov r0, 0x0</t>
  </si>
  <si>
    <t>640050E3</t>
  </si>
  <si>
    <t>060051E1</t>
  </si>
  <si>
    <t>0100002A</t>
  </si>
  <si>
    <t>0100A0E3</t>
  </si>
  <si>
    <t>0000A0E3</t>
  </si>
  <si>
    <t>00000000</t>
  </si>
  <si>
    <t>0400001A</t>
  </si>
  <si>
    <t>ldrh r1, [r4, 0x2]</t>
  </si>
  <si>
    <t>B210D4E1</t>
  </si>
  <si>
    <t>0100003A</t>
  </si>
  <si>
    <t>FAFFFFEA</t>
  </si>
  <si>
    <t>cmp r0, r5</t>
  </si>
  <si>
    <t>050050E1</t>
  </si>
  <si>
    <t>will be 0 if at level cap or level &gt;= 100</t>
  </si>
  <si>
    <t>0000</t>
  </si>
  <si>
    <t>0100</t>
  </si>
  <si>
    <t>0500</t>
  </si>
  <si>
    <t>0900</t>
  </si>
  <si>
    <t>0C00</t>
  </si>
  <si>
    <t>0D00</t>
  </si>
  <si>
    <t>1400</t>
  </si>
  <si>
    <t>1500</t>
  </si>
  <si>
    <t>1600</t>
  </si>
  <si>
    <t>1900</t>
  </si>
  <si>
    <t>1B00</t>
  </si>
  <si>
    <t>1D00</t>
  </si>
  <si>
    <t>1F00</t>
  </si>
  <si>
    <t>2400</t>
  </si>
  <si>
    <t>2C00</t>
  </si>
  <si>
    <t>3100</t>
  </si>
  <si>
    <t>3300</t>
  </si>
  <si>
    <t>3F00</t>
  </si>
  <si>
    <t>4600</t>
  </si>
  <si>
    <t>5100</t>
  </si>
  <si>
    <t>5200</t>
  </si>
  <si>
    <t>5800</t>
  </si>
  <si>
    <t>5900</t>
  </si>
  <si>
    <t>5D00</t>
  </si>
  <si>
    <t>7300</t>
  </si>
  <si>
    <t>7500</t>
  </si>
  <si>
    <t>7A00</t>
  </si>
  <si>
    <t>7C00</t>
  </si>
  <si>
    <t>8800</t>
  </si>
  <si>
    <t>8A00</t>
  </si>
  <si>
    <t>9300</t>
  </si>
  <si>
    <t>A300</t>
  </si>
  <si>
    <t>C300</t>
  </si>
  <si>
    <t>C500</t>
  </si>
  <si>
    <t>D400</t>
  </si>
  <si>
    <t>D700</t>
  </si>
  <si>
    <t>4001</t>
  </si>
  <si>
    <t>Dec</t>
  </si>
  <si>
    <t>3000000</t>
  </si>
  <si>
    <t>2366C</t>
  </si>
  <si>
    <t>33012FA8</t>
  </si>
  <si>
    <t>FEFFFF0A</t>
  </si>
  <si>
    <t>30034B14</t>
  </si>
  <si>
    <t>30034B94</t>
  </si>
  <si>
    <t>3B (zflag)</t>
  </si>
  <si>
    <t>32F86236</t>
  </si>
  <si>
    <t>31055f62</t>
  </si>
  <si>
    <t>Base</t>
  </si>
  <si>
    <t>Found</t>
  </si>
  <si>
    <t>F80</t>
  </si>
  <si>
    <t>02 00 04 2F</t>
  </si>
  <si>
    <t>Mantine Surf moves</t>
  </si>
  <si>
    <t>3301390C</t>
  </si>
  <si>
    <t>330138D0</t>
  </si>
  <si>
    <t>27CC</t>
  </si>
  <si>
    <t>Rides</t>
  </si>
  <si>
    <t>Poipole 0x20</t>
  </si>
  <si>
    <t>25F2</t>
  </si>
  <si>
    <t>"Important battles"</t>
  </si>
  <si>
    <t>33012FAA</t>
  </si>
  <si>
    <t>001EA6</t>
  </si>
  <si>
    <t>bit 2 is Z-moves enabled</t>
  </si>
  <si>
    <t>Offset</t>
  </si>
  <si>
    <t>offset in game</t>
  </si>
  <si>
    <t>Max Level</t>
  </si>
  <si>
    <t>3003811C</t>
  </si>
  <si>
    <t>A8</t>
  </si>
  <si>
    <t>70402DE9</t>
  </si>
  <si>
    <t>7080BDE8</t>
  </si>
  <si>
    <t>r4 points to table</t>
  </si>
  <si>
    <t>Section in code.bin for rare candy</t>
  </si>
  <si>
    <t>in-file code.bin</t>
  </si>
  <si>
    <t>00F020E3</t>
  </si>
  <si>
    <t>00325ACC</t>
  </si>
  <si>
    <t>cmp r5, 0x64</t>
  </si>
  <si>
    <t>checks if current level + 1 &gt; 100</t>
  </si>
  <si>
    <t>movhi r5, 0x64</t>
  </si>
  <si>
    <t>if so, set it to 100</t>
  </si>
  <si>
    <t>cmp r5, r0</t>
  </si>
  <si>
    <t>compare new level to old level</t>
  </si>
  <si>
    <t>beq 0x325B58</t>
  </si>
  <si>
    <t>if they are equal, exit</t>
  </si>
  <si>
    <t>640055E3</t>
  </si>
  <si>
    <t>6450A083</t>
  </si>
  <si>
    <t>000055E1</t>
  </si>
  <si>
    <t>1E00000A</t>
  </si>
  <si>
    <t>check if new level is &gt;100</t>
  </si>
  <si>
    <t>if so set 100 instead</t>
  </si>
  <si>
    <t>if new level == old level</t>
  </si>
  <si>
    <t>return false</t>
  </si>
  <si>
    <t>mov r0, r5</t>
  </si>
  <si>
    <t>set r0 to new level</t>
  </si>
  <si>
    <t>cmp r0, 0x0</t>
  </si>
  <si>
    <t>returns 0 if new level == old level or new level &gt;100</t>
  </si>
  <si>
    <t>0500A0E1</t>
  </si>
  <si>
    <t>000050E3</t>
  </si>
  <si>
    <t>1F00000A</t>
  </si>
  <si>
    <t>code.bin</t>
  </si>
  <si>
    <t>if current value is smaller, then that is our level cap</t>
  </si>
  <si>
    <t>ldrb r5, [r4, 0x2]</t>
  </si>
  <si>
    <t>0250D4E5</t>
  </si>
  <si>
    <t>321674</t>
  </si>
  <si>
    <t>PID</t>
  </si>
  <si>
    <t>pointer</t>
  </si>
  <si>
    <t>mov r2, 0x0</t>
  </si>
  <si>
    <t>cmp r1, r3</t>
  </si>
  <si>
    <t>30009FE5</t>
  </si>
  <si>
    <t>0020A0E3</t>
  </si>
  <si>
    <t>030051E1</t>
  </si>
  <si>
    <t>F5FFFFEA</t>
  </si>
  <si>
    <t>0000FE33</t>
  </si>
  <si>
    <t>1C010000</t>
  </si>
  <si>
    <t>ldrh r3, [r0, r2]</t>
  </si>
  <si>
    <t>add r2, r2, 0x2</t>
  </si>
  <si>
    <t>B812DFE1</t>
  </si>
  <si>
    <t>B23090E1</t>
  </si>
  <si>
    <t>022082E2</t>
  </si>
  <si>
    <t>33FE011C</t>
  </si>
  <si>
    <t>addeq r0, r0, r2</t>
  </si>
  <si>
    <t>ldreq r4, [r0]</t>
  </si>
  <si>
    <t>ldreq r5, [r0, 0x4]</t>
  </si>
  <si>
    <t>ldreq r6, [r0, 0x8]</t>
  </si>
  <si>
    <t>ldreq r7, [r0, 0xC]</t>
  </si>
  <si>
    <t>02008000</t>
  </si>
  <si>
    <t>00409005</t>
  </si>
  <si>
    <t>04509005</t>
  </si>
  <si>
    <t>08609005</t>
  </si>
  <si>
    <t>0C709005</t>
  </si>
  <si>
    <t>ldrh r6, [r4]</t>
  </si>
  <si>
    <t>add r4, r4, 0x3</t>
  </si>
  <si>
    <t>Pointer to flag</t>
  </si>
  <si>
    <t>A82F0133</t>
  </si>
  <si>
    <t>Load pointer to flag</t>
  </si>
  <si>
    <t>0800002A</t>
  </si>
  <si>
    <t>30409FE5</t>
  </si>
  <si>
    <t>B060D4E1</t>
  </si>
  <si>
    <t>034084E2</t>
  </si>
  <si>
    <t>load level</t>
  </si>
  <si>
    <t>Royal Avenue</t>
  </si>
  <si>
    <t>CC00</t>
  </si>
  <si>
    <t>3C00</t>
  </si>
  <si>
    <t>4D00</t>
  </si>
  <si>
    <t>6400</t>
  </si>
  <si>
    <t>8100</t>
  </si>
  <si>
    <t>9100</t>
  </si>
  <si>
    <t>9A00</t>
  </si>
  <si>
    <t>A200</t>
  </si>
  <si>
    <t>AA00</t>
  </si>
  <si>
    <t>BA00</t>
  </si>
  <si>
    <t>CA00</t>
  </si>
  <si>
    <t>DE00</t>
  </si>
  <si>
    <t>1EA4</t>
  </si>
  <si>
    <t>00001EA6</t>
  </si>
  <si>
    <t># Battles</t>
  </si>
  <si>
    <t>Variable</t>
  </si>
  <si>
    <t>Save Location</t>
  </si>
  <si>
    <t>Loaded Location</t>
  </si>
  <si>
    <t>Bytes</t>
  </si>
  <si>
    <t>Ride Pokemon Byte 1</t>
  </si>
  <si>
    <t>Ride Pokemon Byte 2</t>
  </si>
  <si>
    <t>000027CD</t>
  </si>
  <si>
    <t>000027CE</t>
  </si>
  <si>
    <t>330138D1</t>
  </si>
  <si>
    <t>330138D2</t>
  </si>
  <si>
    <t>Circle Controls</t>
  </si>
  <si>
    <t>Ride Pager</t>
  </si>
  <si>
    <t>Tauros</t>
  </si>
  <si>
    <t>?</t>
  </si>
  <si>
    <t>Stoutland</t>
  </si>
  <si>
    <t>Machamp</t>
  </si>
  <si>
    <t>Mudsdale</t>
  </si>
  <si>
    <t>Lapras</t>
  </si>
  <si>
    <t>Sharpedo</t>
  </si>
  <si>
    <t>Charizard</t>
  </si>
  <si>
    <t>Starmie 720</t>
  </si>
  <si>
    <t>Mantine Surf Moves</t>
  </si>
  <si>
    <t>Over the Gyarados</t>
  </si>
  <si>
    <t>Lanturn 360</t>
  </si>
  <si>
    <t>Primarina Twist</t>
  </si>
  <si>
    <t>000027DD</t>
  </si>
  <si>
    <t>00002801</t>
  </si>
  <si>
    <t>00002808</t>
  </si>
  <si>
    <t>Your House</t>
  </si>
  <si>
    <t>Iki Town</t>
  </si>
  <si>
    <t>Ten Carat Hill</t>
  </si>
  <si>
    <t>Route 1</t>
  </si>
  <si>
    <t>Hau'oli City</t>
  </si>
  <si>
    <t>000027DC</t>
  </si>
  <si>
    <t>Hau'oli Cemetery</t>
  </si>
  <si>
    <t>Route 2</t>
  </si>
  <si>
    <t>Verdant Cave</t>
  </si>
  <si>
    <t>Melemele Meadow</t>
  </si>
  <si>
    <t>Ruins of Conflict</t>
  </si>
  <si>
    <t>Heahea City</t>
  </si>
  <si>
    <t>Poni Beach</t>
  </si>
  <si>
    <t>Paniola Town</t>
  </si>
  <si>
    <t>Paniola Ranch</t>
  </si>
  <si>
    <t>000027DE</t>
  </si>
  <si>
    <t>000027DF</t>
  </si>
  <si>
    <t>Ula'ula Beach</t>
  </si>
  <si>
    <t>Battle Royale Dome</t>
  </si>
  <si>
    <t>00002802</t>
  </si>
  <si>
    <t>Heahea Beach</t>
  </si>
  <si>
    <t>Big Wave Beach</t>
  </si>
  <si>
    <t>Route 8</t>
  </si>
  <si>
    <t>Lush Jungle</t>
  </si>
  <si>
    <t>Konikoni Photo Club</t>
  </si>
  <si>
    <t>Konikoni City</t>
  </si>
  <si>
    <t>Hau'oli Photo Club</t>
  </si>
  <si>
    <t>Ruins of Life</t>
  </si>
  <si>
    <t>Hano Grand Resort</t>
  </si>
  <si>
    <t>Malie City</t>
  </si>
  <si>
    <t>000027E0</t>
  </si>
  <si>
    <t>Blush Mountain</t>
  </si>
  <si>
    <t>Tapu Village</t>
  </si>
  <si>
    <t>Route 16</t>
  </si>
  <si>
    <t>000027FA</t>
  </si>
  <si>
    <t>Lake of the Moone</t>
  </si>
  <si>
    <t>000027F9</t>
  </si>
  <si>
    <t>Flags 1</t>
  </si>
  <si>
    <t>Flags 2</t>
  </si>
  <si>
    <t>Flags 3</t>
  </si>
  <si>
    <t>Flags 4</t>
  </si>
  <si>
    <t>Flags 5</t>
  </si>
  <si>
    <t>Flags 6</t>
  </si>
  <si>
    <t>Flags 7</t>
  </si>
  <si>
    <t>Flags 8</t>
  </si>
  <si>
    <t>Flags 9</t>
  </si>
  <si>
    <t>Ruins of Abundance</t>
  </si>
  <si>
    <t>000027E1</t>
  </si>
  <si>
    <t>Aether Paradise</t>
  </si>
  <si>
    <t>Battle Tree</t>
  </si>
  <si>
    <t>Poni Meadow</t>
  </si>
  <si>
    <t>Altar of the Sunne</t>
  </si>
  <si>
    <t>Ruins of Hope</t>
  </si>
  <si>
    <t>Exeggutor Island</t>
  </si>
  <si>
    <t>Seafolk Village</t>
  </si>
  <si>
    <t>Flags 10</t>
  </si>
  <si>
    <t># Battles approximate (hex)</t>
  </si>
  <si>
    <t>Bit</t>
  </si>
  <si>
    <t>Flag</t>
  </si>
  <si>
    <t>Always 1?</t>
  </si>
  <si>
    <t>Charizard Fly</t>
  </si>
  <si>
    <t>Sharpedo Jet</t>
  </si>
  <si>
    <t>Lapras Surf</t>
  </si>
  <si>
    <t>Mudsdale Ride</t>
  </si>
  <si>
    <t>Tauros Charge</t>
  </si>
  <si>
    <t>Stoutland Search</t>
  </si>
  <si>
    <t>Machamp Shove</t>
  </si>
  <si>
    <t>330138E0</t>
  </si>
  <si>
    <t>From 330138D0</t>
  </si>
  <si>
    <t>Fly - Route 1</t>
  </si>
  <si>
    <t>Fly - Hau'oli City</t>
  </si>
  <si>
    <t>Fly - Verdant Cave</t>
  </si>
  <si>
    <t>Fly - Melemele Meadow</t>
  </si>
  <si>
    <t>Fly - Heahea City</t>
  </si>
  <si>
    <t>Fly - Paniola Town</t>
  </si>
  <si>
    <t>Route 5/Brooklet Hill</t>
  </si>
  <si>
    <t>Fly - Route 5/Brooklet Hill</t>
  </si>
  <si>
    <t>Fly - Royal Avenue</t>
  </si>
  <si>
    <t>Route 7/Wela Volcano Park</t>
  </si>
  <si>
    <t>Fly - Route 7/Wela Volcano Park</t>
  </si>
  <si>
    <t>Fly - Route 8</t>
  </si>
  <si>
    <t>Fly - Konikoni City</t>
  </si>
  <si>
    <t>Route 9/Memorial Hill</t>
  </si>
  <si>
    <t>Fly - Ruins of Life</t>
  </si>
  <si>
    <t>Fly - Malie City</t>
  </si>
  <si>
    <t>Mount Hokulani</t>
  </si>
  <si>
    <t>Fly - Mount Hokulani</t>
  </si>
  <si>
    <t>Fly - Tapu Village</t>
  </si>
  <si>
    <t>Ula'Ula Beach</t>
  </si>
  <si>
    <t>Fly - Po Town</t>
  </si>
  <si>
    <t>Fly - Altar of the Sunne</t>
  </si>
  <si>
    <t>Arrive Seafolk Village</t>
  </si>
  <si>
    <t>Arrive Ponyi Canyon Altar</t>
  </si>
  <si>
    <t>Fly - Aether Paradise</t>
  </si>
  <si>
    <t>D0380133</t>
  </si>
  <si>
    <t>Table of battle count caps</t>
  </si>
  <si>
    <t>Table of other flag caps</t>
  </si>
  <si>
    <t>get pointer to game storage of fly and other flags</t>
  </si>
  <si>
    <t>get pointer to cap table</t>
  </si>
  <si>
    <t>if level &gt;= level cap, double check using other flags</t>
  </si>
  <si>
    <t>offset from base</t>
  </si>
  <si>
    <t>ldrb r1, [r5, 0x0]</t>
  </si>
  <si>
    <t>ldrb r1, [r4, r1]</t>
  </si>
  <si>
    <t>get byte with bitflags</t>
  </si>
  <si>
    <t>get the bit for this flag</t>
  </si>
  <si>
    <t>bitand the bitflag's bit and the loaded byte, and set CPSR</t>
  </si>
  <si>
    <t>if equal (0, not set), we're not up to this part of the game</t>
  </si>
  <si>
    <t>And the last one passed, so the cap here is the cap</t>
  </si>
  <si>
    <t>if NE, then the bitflag is set, and this level cap is surpassed</t>
  </si>
  <si>
    <t>addne r5, r5, 0x3</t>
  </si>
  <si>
    <t>if equal (0, not set), use this entry as cap (first not arrived)</t>
  </si>
  <si>
    <t>000064</t>
  </si>
  <si>
    <t>Catch</t>
  </si>
  <si>
    <t>NE, passed this, add 3 and do next</t>
  </si>
  <si>
    <t>ldrb r6, [r5, 0x1]</t>
  </si>
  <si>
    <t>ands r1, r1, r6</t>
  </si>
  <si>
    <t>ldrb r6, [r5, 0x2]</t>
  </si>
  <si>
    <t>cmp r0, r6</t>
  </si>
  <si>
    <t>level &lt; level cap, return true</t>
  </si>
  <si>
    <t>addhs r4, r4, 0x3</t>
  </si>
  <si>
    <t>00103A90</t>
  </si>
  <si>
    <t>1A0000AA</t>
  </si>
  <si>
    <t>68409FE5</t>
  </si>
  <si>
    <t>DE0051E3</t>
  </si>
  <si>
    <t>60409FE5</t>
  </si>
  <si>
    <t>34509FE5</t>
  </si>
  <si>
    <t>0010D5E5</t>
  </si>
  <si>
    <t>0110D4E7</t>
  </si>
  <si>
    <t>0160D5E5</t>
  </si>
  <si>
    <t>061011E0</t>
  </si>
  <si>
    <t>03508512</t>
  </si>
  <si>
    <t>F9FFFF1A</t>
  </si>
  <si>
    <t>0260D5E5</t>
  </si>
  <si>
    <t>060050E1</t>
  </si>
  <si>
    <t>F2FFFF3A</t>
  </si>
  <si>
    <t>0014E170</t>
  </si>
  <si>
    <t>0014E1C0</t>
  </si>
  <si>
    <t>00015F4C</t>
  </si>
  <si>
    <t>1900000A</t>
  </si>
  <si>
    <t>64409FE5</t>
  </si>
  <si>
    <t>0700002A</t>
  </si>
  <si>
    <t>5C408FE2</t>
  </si>
  <si>
    <t>03408422</t>
  </si>
  <si>
    <t>FBFFFF2A</t>
  </si>
  <si>
    <t>1E350FEB</t>
  </si>
  <si>
    <t>EDB703EB</t>
  </si>
  <si>
    <t>72508FE2</t>
  </si>
  <si>
    <t>level &lt;= level cap, return true</t>
  </si>
  <si>
    <t>if level &gt; level cap, return false</t>
  </si>
  <si>
    <t>0100008A</t>
  </si>
  <si>
    <t>F2FFFF9A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</si>
</sst>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  <font>
      <sz val="11"/>
      <name val="Cascadia Code"/>
      <family val="3"/>
    </font>
    <font>
      <sz val="8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0" fontId="2" fillId="2" borderId="0" xfId="0" applyFont="1" applyFill="1"/>
    <xf numFmtId="0" fontId="2" fillId="2" borderId="0" xfId="0" quotePrefix="1" applyFont="1" applyFill="1"/>
    <xf numFmtId="49" fontId="2" fillId="0" borderId="0" xfId="0" quotePrefix="1" applyNumberFormat="1" applyFont="1"/>
    <xf numFmtId="49" fontId="2" fillId="0" borderId="0" xfId="0" applyNumberFormat="1" applyFont="1"/>
    <xf numFmtId="0" fontId="2" fillId="3" borderId="0" xfId="0" applyFont="1" applyFill="1"/>
    <xf numFmtId="49" fontId="3" fillId="3" borderId="0" xfId="0" quotePrefix="1" applyNumberFormat="1" applyFont="1" applyFill="1"/>
    <xf numFmtId="0" fontId="3" fillId="3" borderId="0" xfId="0" applyFont="1" applyFill="1"/>
    <xf numFmtId="49" fontId="3" fillId="3" borderId="0" xfId="0" applyNumberFormat="1" applyFont="1" applyFill="1"/>
    <xf numFmtId="0" fontId="3" fillId="0" borderId="0" xfId="0" applyFont="1"/>
    <xf numFmtId="49" fontId="3" fillId="0" borderId="0" xfId="0" quotePrefix="1" applyNumberFormat="1" applyFont="1"/>
    <xf numFmtId="49" fontId="3" fillId="0" borderId="0" xfId="0" applyNumberFormat="1" applyFont="1"/>
    <xf numFmtId="0" fontId="2" fillId="4" borderId="0" xfId="0" applyFont="1" applyFill="1"/>
    <xf numFmtId="0" fontId="2" fillId="4" borderId="0" xfId="0" quotePrefix="1" applyFont="1" applyFill="1"/>
    <xf numFmtId="0" fontId="3" fillId="0" borderId="0" xfId="0" quotePrefix="1" applyFont="1"/>
    <xf numFmtId="0" fontId="2" fillId="5" borderId="0" xfId="0" applyFont="1" applyFill="1"/>
    <xf numFmtId="0" fontId="2" fillId="5" borderId="0" xfId="0" quotePrefix="1" applyFont="1" applyFill="1"/>
    <xf numFmtId="0" fontId="2" fillId="6" borderId="0" xfId="0" applyFont="1" applyFill="1"/>
    <xf numFmtId="0" fontId="3" fillId="6" borderId="0" xfId="0" applyFont="1" applyFill="1"/>
    <xf numFmtId="0" fontId="2" fillId="7" borderId="0" xfId="0" applyFont="1" applyFill="1"/>
    <xf numFmtId="0" fontId="2" fillId="7" borderId="0" xfId="0" quotePrefix="1" applyFont="1" applyFill="1"/>
    <xf numFmtId="0" fontId="2" fillId="8" borderId="0" xfId="0" applyFont="1" applyFill="1"/>
    <xf numFmtId="0" fontId="2" fillId="8" borderId="0" xfId="0" quotePrefix="1" applyFont="1" applyFill="1"/>
    <xf numFmtId="49" fontId="3" fillId="8" borderId="0" xfId="0" applyNumberFormat="1" applyFont="1" applyFill="1"/>
    <xf numFmtId="0" fontId="3" fillId="8" borderId="0" xfId="0" applyFont="1" applyFill="1"/>
    <xf numFmtId="0" fontId="2" fillId="9" borderId="0" xfId="0" applyFont="1" applyFill="1"/>
    <xf numFmtId="0" fontId="2" fillId="9" borderId="0" xfId="0" quotePrefix="1" applyFont="1" applyFill="1"/>
    <xf numFmtId="49" fontId="3" fillId="9" borderId="0" xfId="0" applyNumberFormat="1" applyFont="1" applyFill="1"/>
    <xf numFmtId="0" fontId="3" fillId="9" borderId="0" xfId="0" applyFont="1" applyFill="1"/>
    <xf numFmtId="0" fontId="2" fillId="10" borderId="0" xfId="0" applyFont="1" applyFill="1"/>
    <xf numFmtId="49" fontId="3" fillId="10" borderId="0" xfId="0" applyNumberFormat="1" applyFont="1" applyFill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right" indent="1"/>
    </xf>
    <xf numFmtId="0" fontId="1" fillId="0" borderId="0" xfId="0" applyFont="1" applyAlignment="1">
      <alignment horizontal="right"/>
    </xf>
    <xf numFmtId="0" fontId="2" fillId="0" borderId="0" xfId="0" quotePrefix="1" applyFont="1" applyAlignment="1">
      <alignment horizontal="right"/>
    </xf>
    <xf numFmtId="0" fontId="2" fillId="0" borderId="0" xfId="0" applyFont="1" applyAlignment="1">
      <alignment shrinkToFit="1"/>
    </xf>
    <xf numFmtId="11" fontId="2" fillId="0" borderId="0" xfId="0" quotePrefix="1" applyNumberFormat="1" applyFont="1"/>
    <xf numFmtId="0" fontId="2" fillId="11" borderId="0" xfId="0" applyFont="1" applyFill="1"/>
    <xf numFmtId="49" fontId="3" fillId="11" borderId="0" xfId="0" applyNumberFormat="1" applyFont="1" applyFill="1"/>
    <xf numFmtId="0" fontId="3" fillId="11" borderId="0" xfId="0" applyFont="1" applyFill="1"/>
    <xf numFmtId="0" fontId="2" fillId="12" borderId="0" xfId="0" applyFont="1" applyFill="1"/>
    <xf numFmtId="49" fontId="3" fillId="12" borderId="0" xfId="0" applyNumberFormat="1" applyFont="1" applyFill="1"/>
    <xf numFmtId="0" fontId="3" fillId="12" borderId="0" xfId="0" applyFont="1" applyFill="1"/>
    <xf numFmtId="0" fontId="2" fillId="13" borderId="0" xfId="0" applyFont="1" applyFill="1"/>
    <xf numFmtId="49" fontId="3" fillId="13" borderId="0" xfId="0" applyNumberFormat="1" applyFont="1" applyFill="1"/>
    <xf numFmtId="0" fontId="3" fillId="13" borderId="0" xfId="0" applyFont="1" applyFill="1"/>
    <xf numFmtId="0" fontId="2" fillId="14" borderId="0" xfId="0" applyFont="1" applyFill="1"/>
    <xf numFmtId="49" fontId="3" fillId="14" borderId="0" xfId="0" applyNumberFormat="1" applyFont="1" applyFill="1"/>
    <xf numFmtId="0" fontId="3" fillId="1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3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C2195-8476-4F55-A96F-DE6990A98BD4}">
  <dimension ref="A1:F87"/>
  <sheetViews>
    <sheetView zoomScaleNormal="100" workbookViewId="0">
      <pane ySplit="1" topLeftCell="A2" activePane="bottomLeft" state="frozen"/>
      <selection pane="bottomLeft" activeCell="C15" sqref="C15"/>
    </sheetView>
  </sheetViews>
  <sheetFormatPr defaultColWidth="9.2109375" defaultRowHeight="15.9"/>
  <cols>
    <col min="1" max="1" width="12.2109375" style="2" customWidth="1"/>
    <col min="2" max="2" width="10.640625" style="2" customWidth="1"/>
    <col min="3" max="3" width="36.7109375" style="2" customWidth="1"/>
    <col min="4" max="4" width="66.0703125" style="2" customWidth="1"/>
    <col min="5" max="5" width="3.640625" style="2" customWidth="1"/>
    <col min="6" max="6" width="12.7109375" style="2" customWidth="1"/>
    <col min="7" max="7" width="13.640625" style="2" customWidth="1"/>
    <col min="8" max="11" width="9.2109375" style="2"/>
    <col min="12" max="12" width="9.7109375" style="2" bestFit="1" customWidth="1"/>
    <col min="13" max="16384" width="9.2109375" style="2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</row>
    <row r="2" spans="1:6">
      <c r="A2" s="1" t="s">
        <v>217</v>
      </c>
      <c r="B2" s="1"/>
      <c r="C2" s="1"/>
      <c r="D2" s="1"/>
    </row>
    <row r="3" spans="1:6">
      <c r="A3" s="3" t="s">
        <v>193</v>
      </c>
      <c r="B3" s="39" t="s">
        <v>446</v>
      </c>
      <c r="C3" s="2" t="str">
        <f>_xlfn.CONCAT("bl 0x",DEC2HEX(HEX2DEC(A9)+HEX2DEC("6DD000"),8))</f>
        <v>bl 0x006F2F4C</v>
      </c>
      <c r="D3" s="2" t="s">
        <v>213</v>
      </c>
    </row>
    <row r="4" spans="1:6">
      <c r="A4" s="2" t="str">
        <f>DEC2HEX(HEX2DEC(A3)+4,8)</f>
        <v>00325AD0</v>
      </c>
      <c r="B4" s="3" t="s">
        <v>215</v>
      </c>
      <c r="C4" s="2" t="s">
        <v>212</v>
      </c>
    </row>
    <row r="5" spans="1:6">
      <c r="A5" s="2" t="str">
        <f>DEC2HEX(HEX2DEC(A4)+4,8)</f>
        <v>00325AD4</v>
      </c>
      <c r="B5" s="3" t="s">
        <v>216</v>
      </c>
      <c r="C5" s="2" t="s">
        <v>200</v>
      </c>
    </row>
    <row r="6" spans="1:6">
      <c r="A6" s="2" t="str">
        <f>DEC2HEX(HEX2DEC(A5)+4,8)</f>
        <v>00325AD8</v>
      </c>
      <c r="B6" s="2" t="s">
        <v>192</v>
      </c>
      <c r="C6" s="2" t="s">
        <v>6</v>
      </c>
    </row>
    <row r="7" spans="1:6">
      <c r="A7" s="1"/>
      <c r="B7" s="1"/>
      <c r="C7" s="1"/>
      <c r="D7" s="1"/>
    </row>
    <row r="8" spans="1:6">
      <c r="A8" s="1" t="s">
        <v>17</v>
      </c>
      <c r="B8" s="1"/>
      <c r="C8" s="1"/>
    </row>
    <row r="9" spans="1:6">
      <c r="A9" s="4" t="s">
        <v>439</v>
      </c>
      <c r="B9" s="5" t="s">
        <v>202</v>
      </c>
      <c r="C9" s="4" t="s">
        <v>194</v>
      </c>
      <c r="D9" s="4" t="s">
        <v>206</v>
      </c>
    </row>
    <row r="10" spans="1:6">
      <c r="A10" s="4" t="str">
        <f t="shared" ref="A10:A44" si="0">DEC2HEX(HEX2DEC(A9)+4,8)</f>
        <v>00015F50</v>
      </c>
      <c r="B10" s="5" t="s">
        <v>203</v>
      </c>
      <c r="C10" s="4" t="s">
        <v>196</v>
      </c>
      <c r="D10" s="4" t="s">
        <v>207</v>
      </c>
      <c r="F10" s="3"/>
    </row>
    <row r="11" spans="1:6">
      <c r="A11" s="4" t="str">
        <f t="shared" si="0"/>
        <v>00015F54</v>
      </c>
      <c r="B11" s="5" t="s">
        <v>204</v>
      </c>
      <c r="C11" s="4" t="s">
        <v>198</v>
      </c>
      <c r="D11" s="4" t="s">
        <v>208</v>
      </c>
    </row>
    <row r="12" spans="1:6">
      <c r="A12" s="2" t="str">
        <f t="shared" si="0"/>
        <v>00015F58</v>
      </c>
      <c r="B12" s="3" t="s">
        <v>187</v>
      </c>
      <c r="C12" s="2" t="s">
        <v>7</v>
      </c>
    </row>
    <row r="13" spans="1:6">
      <c r="A13" s="4" t="str">
        <f t="shared" si="0"/>
        <v>00015F5C</v>
      </c>
      <c r="B13" s="5" t="s">
        <v>440</v>
      </c>
      <c r="C13" s="4" t="str">
        <f>_xlfn.CONCAT("beq 0x",A40)</f>
        <v>beq 0x00015FC8</v>
      </c>
      <c r="D13" s="4" t="s">
        <v>209</v>
      </c>
      <c r="F13" s="3"/>
    </row>
    <row r="14" spans="1:6">
      <c r="A14" s="15" t="str">
        <f t="shared" si="0"/>
        <v>00015F60</v>
      </c>
      <c r="B14" s="16" t="s">
        <v>214</v>
      </c>
      <c r="C14" s="15" t="s">
        <v>210</v>
      </c>
      <c r="D14" s="15" t="s">
        <v>211</v>
      </c>
    </row>
    <row r="15" spans="1:6">
      <c r="A15" s="15" t="str">
        <f t="shared" si="0"/>
        <v>00015F64</v>
      </c>
      <c r="B15" s="16" t="s">
        <v>441</v>
      </c>
      <c r="C15" s="15" t="str">
        <f>_xlfn.CONCAT("ldr r4, [pc, #",HEX2DEC(A$42)-HEX2DEC(A15)-8,"]")</f>
        <v>ldr r4, [pc, #100]</v>
      </c>
      <c r="D15" s="15" t="s">
        <v>252</v>
      </c>
      <c r="F15" s="3"/>
    </row>
    <row r="16" spans="1:6">
      <c r="A16" s="15" t="str">
        <f t="shared" si="0"/>
        <v>00015F68</v>
      </c>
      <c r="B16" s="16" t="s">
        <v>114</v>
      </c>
      <c r="C16" s="15" t="s">
        <v>113</v>
      </c>
      <c r="D16" s="15"/>
    </row>
    <row r="17" spans="1:4">
      <c r="A17" s="18" t="str">
        <f t="shared" si="0"/>
        <v>00015F6C</v>
      </c>
      <c r="B17" s="19" t="s">
        <v>425</v>
      </c>
      <c r="C17" s="18" t="str">
        <f>_xlfn.CONCAT("cmp r1, 0x",DEC2HEX(MAX(Data!E:E)))</f>
        <v>cmp r1, 0xDE</v>
      </c>
      <c r="D17" s="18" t="s">
        <v>97</v>
      </c>
    </row>
    <row r="18" spans="1:4">
      <c r="A18" s="28" t="str">
        <f t="shared" si="0"/>
        <v>00015F70</v>
      </c>
      <c r="B18" s="29" t="s">
        <v>442</v>
      </c>
      <c r="C18" s="28" t="str">
        <f>_xlfn.CONCAT("bhs 0x",A$27)</f>
        <v>bhs 0x00015F94</v>
      </c>
      <c r="D18" s="28" t="s">
        <v>98</v>
      </c>
    </row>
    <row r="19" spans="1:4">
      <c r="A19" s="20" t="str">
        <f t="shared" si="0"/>
        <v>00015F74</v>
      </c>
      <c r="B19" s="21" t="s">
        <v>443</v>
      </c>
      <c r="C19" s="20" t="str">
        <f>_xlfn.CONCAT("add r4, pc, 0x",DEC2HEX(HEX2DEC(A44)-HEX2DEC(A19)-8))</f>
        <v>add r4, pc, 0x5C</v>
      </c>
      <c r="D19" s="20" t="s">
        <v>189</v>
      </c>
    </row>
    <row r="20" spans="1:4">
      <c r="A20" s="22" t="str">
        <f t="shared" si="0"/>
        <v>00015F78</v>
      </c>
      <c r="B20" s="22" t="s">
        <v>255</v>
      </c>
      <c r="C20" s="22" t="s">
        <v>248</v>
      </c>
      <c r="D20" s="22" t="s">
        <v>95</v>
      </c>
    </row>
    <row r="21" spans="1:4">
      <c r="A21" s="22" t="str">
        <f t="shared" si="0"/>
        <v>00015F7C</v>
      </c>
      <c r="B21" s="23" t="s">
        <v>107</v>
      </c>
      <c r="C21" s="22" t="s">
        <v>99</v>
      </c>
      <c r="D21" s="22" t="s">
        <v>96</v>
      </c>
    </row>
    <row r="22" spans="1:4">
      <c r="A22" s="8" t="str">
        <f t="shared" si="0"/>
        <v>00015F80</v>
      </c>
      <c r="B22" s="9" t="s">
        <v>444</v>
      </c>
      <c r="C22" s="8" t="s">
        <v>421</v>
      </c>
      <c r="D22" s="10" t="s">
        <v>100</v>
      </c>
    </row>
    <row r="23" spans="1:4">
      <c r="A23" s="8" t="str">
        <f t="shared" si="0"/>
        <v>00015F84</v>
      </c>
      <c r="B23" s="11" t="s">
        <v>445</v>
      </c>
      <c r="C23" s="8" t="str">
        <f>_xlfn.CONCAT("bhs 0x",A20)</f>
        <v>bhs 0x00015F78</v>
      </c>
      <c r="D23" s="8" t="s">
        <v>101</v>
      </c>
    </row>
    <row r="24" spans="1:4">
      <c r="A24" s="32" t="str">
        <f t="shared" si="0"/>
        <v>00015F88</v>
      </c>
      <c r="B24" s="33" t="s">
        <v>220</v>
      </c>
      <c r="C24" s="32" t="s">
        <v>219</v>
      </c>
      <c r="D24" s="32" t="s">
        <v>257</v>
      </c>
    </row>
    <row r="25" spans="1:4">
      <c r="A25" s="24" t="str">
        <f t="shared" si="0"/>
        <v>00015F8C</v>
      </c>
      <c r="B25" s="26" t="s">
        <v>118</v>
      </c>
      <c r="C25" s="24" t="s">
        <v>117</v>
      </c>
      <c r="D25" s="27" t="s">
        <v>102</v>
      </c>
    </row>
    <row r="26" spans="1:4">
      <c r="A26" s="28" t="str">
        <f t="shared" si="0"/>
        <v>00015F90</v>
      </c>
      <c r="B26" s="30" t="s">
        <v>451</v>
      </c>
      <c r="C26" s="28" t="str">
        <f>_xlfn.CONCAT("bhi 0x",A$29)</f>
        <v>bhi 0x00015F9C</v>
      </c>
      <c r="D26" s="31" t="s">
        <v>450</v>
      </c>
    </row>
    <row r="27" spans="1:4">
      <c r="A27" s="24" t="str">
        <f t="shared" si="0"/>
        <v>00015F94</v>
      </c>
      <c r="B27" s="26" t="s">
        <v>109</v>
      </c>
      <c r="C27" s="24" t="s">
        <v>103</v>
      </c>
      <c r="D27" s="27" t="s">
        <v>104</v>
      </c>
    </row>
    <row r="28" spans="1:4">
      <c r="A28" s="24" t="str">
        <f t="shared" si="0"/>
        <v>00015F98</v>
      </c>
      <c r="B28" s="26" t="s">
        <v>188</v>
      </c>
      <c r="C28" s="24" t="str">
        <f>SUBSTITUTE(SUBSTITUTE(C12,"push","pop"),"lr","pc")</f>
        <v>pop {r4, r5, r6, pc}</v>
      </c>
      <c r="D28" s="27"/>
    </row>
    <row r="29" spans="1:4">
      <c r="A29" s="40" t="str">
        <f t="shared" si="0"/>
        <v>00015F9C</v>
      </c>
      <c r="B29" s="41" t="s">
        <v>254</v>
      </c>
      <c r="C29" s="40" t="str">
        <f>_xlfn.CONCAT("ldr r4, [pc, #",HEX2DEC(A$43)-HEX2DEC(A29)-8,"]")</f>
        <v>ldr r4, [pc, #48]</v>
      </c>
      <c r="D29" s="42" t="s">
        <v>399</v>
      </c>
    </row>
    <row r="30" spans="1:4">
      <c r="A30" s="40" t="str">
        <f t="shared" si="0"/>
        <v>00015FA0</v>
      </c>
      <c r="B30" s="41" t="s">
        <v>448</v>
      </c>
      <c r="C30" s="40" t="str">
        <f>_xlfn.CONCAT("add r5, pc, 0x",DEC2HEX(HEX2DEC(A66)-HEX2DEC(A30)-8))</f>
        <v>add r5, pc, 0x72</v>
      </c>
      <c r="D30" s="42" t="s">
        <v>400</v>
      </c>
    </row>
    <row r="31" spans="1:4">
      <c r="A31" s="43" t="str">
        <f t="shared" si="0"/>
        <v>00015FA4</v>
      </c>
      <c r="B31" s="44" t="s">
        <v>428</v>
      </c>
      <c r="C31" s="43" t="s">
        <v>403</v>
      </c>
      <c r="D31" s="45" t="s">
        <v>402</v>
      </c>
    </row>
    <row r="32" spans="1:4">
      <c r="A32" s="43" t="str">
        <f t="shared" si="0"/>
        <v>00015FA8</v>
      </c>
      <c r="B32" s="44" t="s">
        <v>429</v>
      </c>
      <c r="C32" s="43" t="s">
        <v>404</v>
      </c>
      <c r="D32" s="45" t="s">
        <v>405</v>
      </c>
    </row>
    <row r="33" spans="1:4">
      <c r="A33" s="43" t="str">
        <f t="shared" si="0"/>
        <v>00015FAC</v>
      </c>
      <c r="B33" s="44" t="s">
        <v>430</v>
      </c>
      <c r="C33" s="43" t="s">
        <v>416</v>
      </c>
      <c r="D33" s="45" t="s">
        <v>406</v>
      </c>
    </row>
    <row r="34" spans="1:4">
      <c r="A34" s="46" t="str">
        <f t="shared" si="0"/>
        <v>00015FB0</v>
      </c>
      <c r="B34" s="47" t="s">
        <v>431</v>
      </c>
      <c r="C34" s="46" t="s">
        <v>417</v>
      </c>
      <c r="D34" s="48" t="s">
        <v>407</v>
      </c>
    </row>
    <row r="35" spans="1:4">
      <c r="A35" s="46" t="str">
        <f t="shared" si="0"/>
        <v>00015FB4</v>
      </c>
      <c r="B35" s="47" t="s">
        <v>432</v>
      </c>
      <c r="C35" s="46" t="s">
        <v>411</v>
      </c>
      <c r="D35" s="48" t="s">
        <v>415</v>
      </c>
    </row>
    <row r="36" spans="1:4">
      <c r="A36" s="46" t="str">
        <f t="shared" si="0"/>
        <v>00015FB8</v>
      </c>
      <c r="B36" s="47" t="s">
        <v>433</v>
      </c>
      <c r="C36" s="46" t="str">
        <f>_xlfn.CONCAT("bne 0x",A31)</f>
        <v>bne 0x00015FA4</v>
      </c>
      <c r="D36" s="48"/>
    </row>
    <row r="37" spans="1:4">
      <c r="A37" s="49" t="str">
        <f t="shared" si="0"/>
        <v>00015FBC</v>
      </c>
      <c r="B37" s="50" t="s">
        <v>434</v>
      </c>
      <c r="C37" s="49" t="s">
        <v>418</v>
      </c>
      <c r="D37" s="51" t="s">
        <v>412</v>
      </c>
    </row>
    <row r="38" spans="1:4">
      <c r="A38" s="49" t="str">
        <f t="shared" si="0"/>
        <v>00015FC0</v>
      </c>
      <c r="B38" s="50" t="s">
        <v>435</v>
      </c>
      <c r="C38" s="49" t="s">
        <v>419</v>
      </c>
      <c r="D38" s="51" t="s">
        <v>102</v>
      </c>
    </row>
    <row r="39" spans="1:4">
      <c r="A39" s="49" t="str">
        <f t="shared" si="0"/>
        <v>00015FC4</v>
      </c>
      <c r="B39" s="50" t="s">
        <v>452</v>
      </c>
      <c r="C39" s="49" t="str">
        <f>_xlfn.CONCAT("bls 0x",A27)</f>
        <v>bls 0x00015F94</v>
      </c>
      <c r="D39" s="51" t="s">
        <v>449</v>
      </c>
    </row>
    <row r="40" spans="1:4">
      <c r="A40" s="28" t="str">
        <f t="shared" si="0"/>
        <v>00015FC8</v>
      </c>
      <c r="B40" s="30" t="s">
        <v>110</v>
      </c>
      <c r="C40" s="28" t="s">
        <v>105</v>
      </c>
      <c r="D40" s="31"/>
    </row>
    <row r="41" spans="1:4">
      <c r="A41" s="28" t="str">
        <f t="shared" si="0"/>
        <v>00015FCC</v>
      </c>
      <c r="B41" s="30" t="s">
        <v>188</v>
      </c>
      <c r="C41" s="28" t="str">
        <f>C28</f>
        <v>pop {r4, r5, r6, pc}</v>
      </c>
      <c r="D41" s="31"/>
    </row>
    <row r="42" spans="1:4">
      <c r="A42" s="2" t="str">
        <f t="shared" si="0"/>
        <v>00015FD0</v>
      </c>
      <c r="B42" s="6" t="s">
        <v>251</v>
      </c>
      <c r="D42" s="2" t="s">
        <v>250</v>
      </c>
    </row>
    <row r="43" spans="1:4">
      <c r="A43" s="2" t="str">
        <f t="shared" si="0"/>
        <v>00015FD4</v>
      </c>
      <c r="B43" s="6" t="s">
        <v>396</v>
      </c>
    </row>
    <row r="44" spans="1:4">
      <c r="A44" s="2" t="str">
        <f t="shared" si="0"/>
        <v>00015FD8</v>
      </c>
      <c r="B44" s="17" t="str" cm="1">
        <f t="array" ref="B44:B65">_xlfn._xlws.FILTER(Data!F:F,Data!F:F&lt;&gt;"")</f>
        <v>09000F</v>
      </c>
      <c r="C44" s="12"/>
      <c r="D44" s="2" t="str" cm="1">
        <f t="array" ref="D44:D65">_xlfn._xlws.FILTER(Data!A:A,Data!F:F&lt;&gt;"")</f>
        <v>Trainer School</v>
      </c>
    </row>
    <row r="45" spans="1:4">
      <c r="A45" s="2" t="str">
        <f>DEC2HEX(HEX2DEC(A44)+3,8)</f>
        <v>00015FDB</v>
      </c>
      <c r="B45" s="3" t="str">
        <v>0C0011</v>
      </c>
      <c r="D45" s="2" t="str">
        <v>Captain Ilima</v>
      </c>
    </row>
    <row r="46" spans="1:4">
      <c r="A46" s="2" t="str">
        <f t="shared" ref="A46:A87" si="1">DEC2HEX(HEX2DEC(A45)+3,8)</f>
        <v>00015FDE</v>
      </c>
      <c r="B46" s="3" t="str">
        <v>150014</v>
      </c>
      <c r="D46" s="2" t="str">
        <v>Totem Gumshoos</v>
      </c>
    </row>
    <row r="47" spans="1:4">
      <c r="A47" s="2" t="str">
        <f t="shared" si="1"/>
        <v>00015FE1</v>
      </c>
      <c r="B47" s="3" t="str">
        <v>19001B</v>
      </c>
      <c r="D47" s="2" t="str">
        <v>Kahuna Hala</v>
      </c>
    </row>
    <row r="48" spans="1:4">
      <c r="A48" s="2" t="str">
        <f t="shared" si="1"/>
        <v>00015FE4</v>
      </c>
      <c r="B48" s="13" t="str">
        <v>1D001D</v>
      </c>
      <c r="D48" s="12" t="str">
        <v>Dexio/Sina Battle</v>
      </c>
    </row>
    <row r="49" spans="1:4">
      <c r="A49" s="2" t="str">
        <f t="shared" si="1"/>
        <v>00015FE7</v>
      </c>
      <c r="B49" s="14" t="str">
        <v>1F0020</v>
      </c>
      <c r="D49" s="2" t="str">
        <v>Hau, Paniola Town</v>
      </c>
    </row>
    <row r="50" spans="1:4">
      <c r="A50" s="2" t="str">
        <f t="shared" si="1"/>
        <v>00015FEA</v>
      </c>
      <c r="B50" s="14" t="str">
        <v>240025</v>
      </c>
      <c r="D50" s="12" t="str">
        <v>Gladion</v>
      </c>
    </row>
    <row r="51" spans="1:4">
      <c r="A51" s="2" t="str">
        <f t="shared" si="1"/>
        <v>00015FED</v>
      </c>
      <c r="B51" s="14" t="str">
        <v>310028</v>
      </c>
      <c r="D51" s="12" t="str">
        <v>Totem Araquanid</v>
      </c>
    </row>
    <row r="52" spans="1:4">
      <c r="A52" s="2" t="str">
        <f t="shared" si="1"/>
        <v>00015FF0</v>
      </c>
      <c r="B52" s="6" t="str">
        <v>3C002D</v>
      </c>
      <c r="D52" s="2" t="str">
        <v>Royal Avenue</v>
      </c>
    </row>
    <row r="53" spans="1:4">
      <c r="A53" s="2" t="str">
        <f t="shared" si="1"/>
        <v>00015FF3</v>
      </c>
      <c r="B53" s="7" t="str">
        <v>470032</v>
      </c>
      <c r="D53" s="2" t="str">
        <v>Totem Marowak</v>
      </c>
    </row>
    <row r="54" spans="1:4">
      <c r="A54" s="2" t="str">
        <f t="shared" si="1"/>
        <v>00015FF6</v>
      </c>
      <c r="B54" s="7" t="str">
        <v>4D0037</v>
      </c>
      <c r="C54" s="12"/>
      <c r="D54" s="2" t="str">
        <v>Totem Lurantis</v>
      </c>
    </row>
    <row r="55" spans="1:4">
      <c r="A55" s="2" t="str">
        <f t="shared" si="1"/>
        <v>00015FF9</v>
      </c>
      <c r="B55" s="6" t="str">
        <v>64003F</v>
      </c>
      <c r="D55" s="2" t="str">
        <v>Kahuna Olivia</v>
      </c>
    </row>
    <row r="56" spans="1:4">
      <c r="A56" s="2" t="str">
        <f t="shared" si="1"/>
        <v>00015FFC</v>
      </c>
      <c r="B56" s="6" t="str">
        <v>7A0041</v>
      </c>
      <c r="D56" s="2" t="str">
        <v>Malie City Hau Battle</v>
      </c>
    </row>
    <row r="57" spans="1:4">
      <c r="A57" s="2" t="str">
        <f t="shared" si="1"/>
        <v>00015FFF</v>
      </c>
      <c r="B57" s="6" t="str">
        <v>810046</v>
      </c>
      <c r="D57" s="2" t="str">
        <v>Mt. Hokulani Bus</v>
      </c>
    </row>
    <row r="58" spans="1:4">
      <c r="A58" s="2" t="str">
        <f t="shared" si="1"/>
        <v>00016002</v>
      </c>
      <c r="B58" s="7" t="str">
        <v>910048</v>
      </c>
      <c r="D58" s="2" t="str">
        <v>Totem Togedemaru</v>
      </c>
    </row>
    <row r="59" spans="1:4">
      <c r="A59" s="2" t="str">
        <f t="shared" si="1"/>
        <v>00016005</v>
      </c>
      <c r="B59" s="7" t="str">
        <v>9A004B</v>
      </c>
      <c r="D59" s="2" t="str">
        <v>Arrive Tapu Village</v>
      </c>
    </row>
    <row r="60" spans="1:4">
      <c r="A60" s="2" t="str">
        <f t="shared" si="1"/>
        <v>00016008</v>
      </c>
      <c r="B60" s="7" t="str">
        <v>A20050</v>
      </c>
      <c r="D60" s="2" t="str">
        <v>Totem Mimikyu</v>
      </c>
    </row>
    <row r="61" spans="1:4">
      <c r="A61" s="2" t="str">
        <f t="shared" si="1"/>
        <v>0001600B</v>
      </c>
      <c r="B61" s="7" t="str">
        <v>AA0055</v>
      </c>
      <c r="D61" s="2" t="str">
        <v>Po Town</v>
      </c>
    </row>
    <row r="62" spans="1:4">
      <c r="A62" s="2" t="str">
        <f t="shared" si="1"/>
        <v>0001600E</v>
      </c>
      <c r="B62" s="6" t="str">
        <v>BA0057</v>
      </c>
      <c r="D62" s="2" t="str">
        <v>Kahuna Nanu</v>
      </c>
    </row>
    <row r="63" spans="1:4">
      <c r="A63" s="2" t="str">
        <f t="shared" si="1"/>
        <v>00016011</v>
      </c>
      <c r="B63" s="3" t="str">
        <v>CA005A</v>
      </c>
      <c r="D63" s="2" t="str">
        <v>Aether Branch Chief Faba</v>
      </c>
    </row>
    <row r="64" spans="1:4">
      <c r="A64" s="2" t="str">
        <f t="shared" si="1"/>
        <v>00016014</v>
      </c>
      <c r="B64" s="3" t="str">
        <v>CC0060</v>
      </c>
      <c r="D64" s="2" t="str">
        <v>Final Ultra Recon Squad Battle</v>
      </c>
    </row>
    <row r="65" spans="1:4">
      <c r="A65" s="2" t="str">
        <f t="shared" si="1"/>
        <v>00016017</v>
      </c>
      <c r="B65" s="2" t="str">
        <v>DE0064</v>
      </c>
      <c r="D65" s="2" t="str">
        <v>Vast Poni Canyon</v>
      </c>
    </row>
    <row r="66" spans="1:4">
      <c r="A66" s="2" t="str">
        <f t="shared" si="1"/>
        <v>0001601A</v>
      </c>
      <c r="B66" s="3" t="str" cm="1">
        <f t="array" aca="1" ref="B66:B87" ca="1">'Edited battle.cro'!B69:B90</f>
        <v>11010F</v>
      </c>
      <c r="D66" s="2" t="str" cm="1">
        <f t="array" aca="1" ref="D66:D87" ca="1">'Edited battle.cro'!D69:D90</f>
        <v>Trainer School</v>
      </c>
    </row>
    <row r="67" spans="1:4">
      <c r="A67" s="2" t="str">
        <f t="shared" si="1"/>
        <v>0001601D</v>
      </c>
      <c r="B67" s="3" t="str">
        <f ca="1"/>
        <v>110211</v>
      </c>
      <c r="D67" s="2" t="str">
        <f ca="1"/>
        <v>Captain Ilima</v>
      </c>
    </row>
    <row r="68" spans="1:4">
      <c r="A68" s="2" t="str">
        <f t="shared" si="1"/>
        <v>00016020</v>
      </c>
      <c r="B68" s="3" t="str">
        <f ca="1"/>
        <v>118014</v>
      </c>
      <c r="D68" s="2" t="str">
        <f ca="1"/>
        <v>Totem Gumshoos</v>
      </c>
    </row>
    <row r="69" spans="1:4">
      <c r="A69" s="2" t="str">
        <f t="shared" si="1"/>
        <v>00016023</v>
      </c>
      <c r="B69" s="3" t="str">
        <f ca="1"/>
        <v>11401B</v>
      </c>
      <c r="D69" s="2" t="str">
        <f ca="1"/>
        <v>Kahuna Hala</v>
      </c>
    </row>
    <row r="70" spans="1:4">
      <c r="A70" s="2" t="str">
        <f t="shared" si="1"/>
        <v>00016026</v>
      </c>
      <c r="B70" s="3" t="str">
        <f ca="1"/>
        <v>12041D</v>
      </c>
      <c r="D70" s="2" t="str">
        <f ca="1"/>
        <v>Dexio/Sina Battle</v>
      </c>
    </row>
    <row r="71" spans="1:4">
      <c r="A71" s="2" t="str">
        <f t="shared" si="1"/>
        <v>00016029</v>
      </c>
      <c r="B71" s="3" t="str">
        <f ca="1"/>
        <v>124020</v>
      </c>
      <c r="D71" s="2" t="str">
        <f ca="1"/>
        <v>Hau, Paniola Town</v>
      </c>
    </row>
    <row r="72" spans="1:4">
      <c r="A72" s="2" t="str">
        <f t="shared" si="1"/>
        <v>0001602C</v>
      </c>
      <c r="B72" s="3" t="str">
        <f ca="1"/>
        <v>130225</v>
      </c>
      <c r="D72" s="2" t="str">
        <f ca="1"/>
        <v>Gladion</v>
      </c>
    </row>
    <row r="73" spans="1:4">
      <c r="A73" s="2" t="str">
        <f t="shared" si="1"/>
        <v>0001602F</v>
      </c>
      <c r="B73" s="7" t="str">
        <f ca="1"/>
        <v>014028</v>
      </c>
      <c r="D73" s="2" t="str">
        <f ca="1"/>
        <v>Totem Araquanid</v>
      </c>
    </row>
    <row r="74" spans="1:4">
      <c r="A74" s="2" t="str">
        <f t="shared" si="1"/>
        <v>00016032</v>
      </c>
      <c r="B74" s="7" t="str">
        <f ca="1"/>
        <v>12082D</v>
      </c>
      <c r="D74" s="2" t="str">
        <f ca="1"/>
        <v>Royal Avenue</v>
      </c>
    </row>
    <row r="75" spans="1:4">
      <c r="A75" s="2" t="str">
        <f t="shared" si="1"/>
        <v>00016035</v>
      </c>
      <c r="B75" s="6" t="str">
        <f ca="1"/>
        <v>130832</v>
      </c>
      <c r="D75" s="2" t="str">
        <f ca="1"/>
        <v>Totem Marowak</v>
      </c>
    </row>
    <row r="76" spans="1:4">
      <c r="A76" s="2" t="str">
        <f t="shared" si="1"/>
        <v>00016038</v>
      </c>
      <c r="B76" s="7" t="str">
        <f ca="1"/>
        <v>121037</v>
      </c>
      <c r="D76" s="2" t="str">
        <f ca="1"/>
        <v>Totem Lurantis</v>
      </c>
    </row>
    <row r="77" spans="1:4">
      <c r="A77" s="2" t="str">
        <f t="shared" si="1"/>
        <v>0001603B</v>
      </c>
      <c r="B77" s="7" t="str">
        <f ca="1"/>
        <v>12203C</v>
      </c>
      <c r="D77" s="2" t="str">
        <f ca="1"/>
        <v>Konikoni City</v>
      </c>
    </row>
    <row r="78" spans="1:4">
      <c r="A78" s="2" t="str">
        <f t="shared" si="1"/>
        <v>0001603E</v>
      </c>
      <c r="B78" s="6" t="str">
        <f ca="1"/>
        <v>13103F</v>
      </c>
      <c r="D78" s="2" t="str">
        <f ca="1"/>
        <v>Kahuna Olivia</v>
      </c>
    </row>
    <row r="79" spans="1:4">
      <c r="A79" s="2" t="str">
        <f t="shared" si="1"/>
        <v>00016041</v>
      </c>
      <c r="B79" s="6" t="str">
        <f ca="1"/>
        <v>134041</v>
      </c>
      <c r="D79" s="2" t="str">
        <f ca="1"/>
        <v>Malie City Hau Battle</v>
      </c>
    </row>
    <row r="80" spans="1:4">
      <c r="A80" s="2" t="str">
        <f t="shared" si="1"/>
        <v>00016044</v>
      </c>
      <c r="B80" s="6" t="str">
        <f ca="1"/>
        <v>140448</v>
      </c>
      <c r="D80" s="2" t="str">
        <f ca="1"/>
        <v>Totem Togedemaru</v>
      </c>
    </row>
    <row r="81" spans="1:4">
      <c r="A81" s="2" t="str">
        <f t="shared" si="1"/>
        <v>00016047</v>
      </c>
      <c r="B81" s="7" t="str">
        <f ca="1"/>
        <v>01204B</v>
      </c>
      <c r="D81" s="2" t="str">
        <f ca="1"/>
        <v>Ula'Ula Beach</v>
      </c>
    </row>
    <row r="82" spans="1:4">
      <c r="A82" s="2" t="str">
        <f t="shared" si="1"/>
        <v>0001604A</v>
      </c>
      <c r="B82" s="7" t="str">
        <f ca="1"/>
        <v>140150</v>
      </c>
      <c r="D82" s="2" t="str">
        <f ca="1"/>
        <v>Totem Mimikyu</v>
      </c>
    </row>
    <row r="83" spans="1:4">
      <c r="A83" s="2" t="str">
        <f t="shared" si="1"/>
        <v>0001604D</v>
      </c>
      <c r="B83" s="7" t="str">
        <f ca="1"/>
        <v>2D4055</v>
      </c>
      <c r="D83" s="2" t="str">
        <f ca="1"/>
        <v>Po Town</v>
      </c>
    </row>
    <row r="84" spans="1:4">
      <c r="A84" s="2" t="str">
        <f t="shared" si="1"/>
        <v>00016050</v>
      </c>
      <c r="B84" s="2" t="str">
        <f ca="1"/>
        <v>15085A</v>
      </c>
      <c r="D84" s="2" t="str">
        <f ca="1"/>
        <v>Aether Branch Chief Faba</v>
      </c>
    </row>
    <row r="85" spans="1:4">
      <c r="A85" s="2" t="str">
        <f t="shared" si="1"/>
        <v>00016053</v>
      </c>
      <c r="B85" s="2" t="str">
        <f ca="1"/>
        <v>3C105F</v>
      </c>
      <c r="D85" s="2" t="str">
        <f ca="1"/>
        <v>Arrive Seafolk Village</v>
      </c>
    </row>
    <row r="86" spans="1:4">
      <c r="A86" s="2" t="str">
        <f t="shared" si="1"/>
        <v>00016056</v>
      </c>
      <c r="B86" s="2" t="str">
        <f ca="1"/>
        <v>2E1064</v>
      </c>
      <c r="D86" s="2" t="str">
        <f ca="1"/>
        <v>Arrive Ponyi Canyon Altar</v>
      </c>
    </row>
    <row r="87" spans="1:4">
      <c r="A87" s="2" t="str">
        <f t="shared" si="1"/>
        <v>00016059</v>
      </c>
      <c r="B87" s="3" t="str">
        <f ca="1"/>
        <v>000064</v>
      </c>
      <c r="D87" s="2" t="str">
        <f ca="1"/>
        <v>Catch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CDE46-BAFF-4288-852C-796EA5E0E042}">
  <dimension ref="A1:J90"/>
  <sheetViews>
    <sheetView zoomScaleNormal="100" workbookViewId="0">
      <pane ySplit="1" topLeftCell="A8" activePane="bottomLeft" state="frozen"/>
      <selection pane="bottomLeft" activeCell="C27" sqref="C27"/>
    </sheetView>
  </sheetViews>
  <sheetFormatPr defaultColWidth="9.2109375" defaultRowHeight="15.9"/>
  <cols>
    <col min="1" max="1" width="12.2109375" style="2" customWidth="1"/>
    <col min="2" max="2" width="10.640625" style="2" bestFit="1" customWidth="1"/>
    <col min="3" max="3" width="37.7109375" style="2" bestFit="1" customWidth="1"/>
    <col min="4" max="4" width="69.28515625" style="2" bestFit="1" customWidth="1"/>
    <col min="5" max="5" width="3.640625" style="2" customWidth="1"/>
    <col min="6" max="6" width="12.7109375" style="2" customWidth="1"/>
    <col min="7" max="7" width="13.640625" style="2" customWidth="1"/>
    <col min="8" max="11" width="9.2109375" style="2"/>
    <col min="12" max="12" width="9.7109375" style="2" bestFit="1" customWidth="1"/>
    <col min="13" max="16384" width="9.2109375" style="2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8</v>
      </c>
      <c r="B2" s="1"/>
      <c r="C2" s="1"/>
      <c r="D2" s="1"/>
    </row>
    <row r="3" spans="1:4">
      <c r="A3" s="2" t="s">
        <v>9</v>
      </c>
      <c r="B3" s="2" t="s">
        <v>447</v>
      </c>
      <c r="C3" s="2" t="str">
        <f>_xlfn.CONCAT("bl 0x",A8)</f>
        <v>bl 0x00103A90</v>
      </c>
      <c r="D3" s="2" t="s">
        <v>16</v>
      </c>
    </row>
    <row r="4" spans="1:4">
      <c r="A4" s="2" t="str">
        <f t="shared" ref="A4:A5" si="0">DEC2HEX(HEX2DEC(A3)+4,8)</f>
        <v>00015AD8</v>
      </c>
      <c r="B4" s="3" t="s">
        <v>4</v>
      </c>
      <c r="C4" s="2" t="s">
        <v>5</v>
      </c>
      <c r="D4" s="2" t="s">
        <v>119</v>
      </c>
    </row>
    <row r="5" spans="1:4">
      <c r="A5" s="2" t="str">
        <f t="shared" si="0"/>
        <v>00015ADC</v>
      </c>
      <c r="B5" s="2" t="s">
        <v>112</v>
      </c>
      <c r="C5" s="2" t="s">
        <v>18</v>
      </c>
    </row>
    <row r="6" spans="1:4">
      <c r="A6" s="1"/>
      <c r="B6" s="1"/>
      <c r="C6" s="1"/>
      <c r="D6" s="1"/>
    </row>
    <row r="7" spans="1:4">
      <c r="A7" s="1" t="s">
        <v>17</v>
      </c>
      <c r="B7" s="1"/>
      <c r="C7" s="1"/>
    </row>
    <row r="8" spans="1:4">
      <c r="A8" s="2" t="s">
        <v>422</v>
      </c>
      <c r="B8" s="3" t="s">
        <v>187</v>
      </c>
      <c r="C8" s="2" t="s">
        <v>7</v>
      </c>
    </row>
    <row r="9" spans="1:4">
      <c r="A9" s="4" t="str">
        <f t="shared" ref="A9:A42" si="1">DEC2HEX(HEX2DEC(A8)+4,8)</f>
        <v>00103A94</v>
      </c>
      <c r="B9" s="5" t="s">
        <v>106</v>
      </c>
      <c r="C9" s="4" t="s">
        <v>10</v>
      </c>
      <c r="D9" s="4" t="s">
        <v>19</v>
      </c>
    </row>
    <row r="10" spans="1:4">
      <c r="A10" s="4" t="str">
        <f t="shared" si="1"/>
        <v>00103A98</v>
      </c>
      <c r="B10" s="5" t="s">
        <v>423</v>
      </c>
      <c r="C10" s="4" t="str">
        <f>_xlfn.CONCAT("bge 0x",A38)</f>
        <v>bge 0x00103B08</v>
      </c>
      <c r="D10" s="4"/>
    </row>
    <row r="11" spans="1:4">
      <c r="A11" s="15" t="str">
        <f t="shared" si="1"/>
        <v>00103A9C</v>
      </c>
      <c r="B11" s="16" t="s">
        <v>424</v>
      </c>
      <c r="C11" s="15" t="str">
        <f>_xlfn.CONCAT("ldr r4, [pc, #",HEX2DEC(A$39)-HEX2DEC(A11)-8,"]")</f>
        <v>ldr r4, [pc, #104]</v>
      </c>
      <c r="D11" s="15" t="s">
        <v>252</v>
      </c>
    </row>
    <row r="12" spans="1:4">
      <c r="A12" s="15" t="str">
        <f t="shared" si="1"/>
        <v>00103AA0</v>
      </c>
      <c r="B12" s="16" t="s">
        <v>114</v>
      </c>
      <c r="C12" s="15" t="s">
        <v>113</v>
      </c>
      <c r="D12" s="15" t="s">
        <v>186</v>
      </c>
    </row>
    <row r="13" spans="1:4">
      <c r="A13" s="18" t="str">
        <f t="shared" si="1"/>
        <v>00103AA4</v>
      </c>
      <c r="B13" s="19" t="s">
        <v>425</v>
      </c>
      <c r="C13" s="18" t="str">
        <f>_xlfn.CONCAT("cmp r1, 0x",DEC2HEX(MAX(Data!E:E)))</f>
        <v>cmp r1, 0xDE</v>
      </c>
      <c r="D13" s="18" t="s">
        <v>97</v>
      </c>
    </row>
    <row r="14" spans="1:4">
      <c r="A14" s="28" t="str">
        <f t="shared" si="1"/>
        <v>00103AA8</v>
      </c>
      <c r="B14" s="29" t="s">
        <v>253</v>
      </c>
      <c r="C14" s="28" t="str">
        <f>_xlfn.CONCAT("bhs 0x",A$24)</f>
        <v>bhs 0x00103AD0</v>
      </c>
      <c r="D14" s="28" t="s">
        <v>98</v>
      </c>
    </row>
    <row r="15" spans="1:4">
      <c r="A15" s="20" t="str">
        <f t="shared" si="1"/>
        <v>00103AAC</v>
      </c>
      <c r="B15" s="21" t="s">
        <v>426</v>
      </c>
      <c r="C15" s="20" t="str">
        <f>_xlfn.CONCAT("ldr r4, [pc, #",HEX2DEC(A$41)-HEX2DEC(A15)-8,"]")</f>
        <v>ldr r4, [pc, #96]</v>
      </c>
      <c r="D15" s="20" t="s">
        <v>20</v>
      </c>
    </row>
    <row r="16" spans="1:4">
      <c r="A16" s="22" t="str">
        <f t="shared" si="1"/>
        <v>00103AB0</v>
      </c>
      <c r="B16" s="22" t="s">
        <v>255</v>
      </c>
      <c r="C16" s="22" t="s">
        <v>248</v>
      </c>
      <c r="D16" s="22" t="s">
        <v>95</v>
      </c>
    </row>
    <row r="17" spans="1:4">
      <c r="A17" s="22" t="str">
        <f t="shared" si="1"/>
        <v>00103AB4</v>
      </c>
      <c r="B17" s="23" t="s">
        <v>107</v>
      </c>
      <c r="C17" s="22" t="s">
        <v>99</v>
      </c>
      <c r="D17" s="22" t="s">
        <v>96</v>
      </c>
    </row>
    <row r="18" spans="1:4">
      <c r="A18" s="24" t="str">
        <f t="shared" si="1"/>
        <v>00103AB8</v>
      </c>
      <c r="B18" s="25" t="s">
        <v>115</v>
      </c>
      <c r="C18" s="24" t="str">
        <f>_xlfn.CONCAT("blo 0x",A$21)</f>
        <v>blo 0x00103AC4</v>
      </c>
      <c r="D18" s="24" t="s">
        <v>218</v>
      </c>
    </row>
    <row r="19" spans="1:4">
      <c r="A19" s="8" t="str">
        <f t="shared" si="1"/>
        <v>00103ABC</v>
      </c>
      <c r="B19" s="9" t="s">
        <v>256</v>
      </c>
      <c r="C19" s="8" t="s">
        <v>249</v>
      </c>
      <c r="D19" s="10" t="s">
        <v>100</v>
      </c>
    </row>
    <row r="20" spans="1:4">
      <c r="A20" s="8" t="str">
        <f t="shared" si="1"/>
        <v>00103AC0</v>
      </c>
      <c r="B20" s="11" t="s">
        <v>116</v>
      </c>
      <c r="C20" s="8" t="str">
        <f>_xlfn.CONCAT("b 0x",A16)</f>
        <v>b 0x00103AB0</v>
      </c>
      <c r="D20" s="8" t="s">
        <v>101</v>
      </c>
    </row>
    <row r="21" spans="1:4">
      <c r="A21" s="32" t="str">
        <f t="shared" si="1"/>
        <v>00103AC4</v>
      </c>
      <c r="B21" s="33" t="s">
        <v>220</v>
      </c>
      <c r="C21" s="32" t="s">
        <v>219</v>
      </c>
      <c r="D21" s="32"/>
    </row>
    <row r="22" spans="1:4">
      <c r="A22" s="24" t="str">
        <f t="shared" si="1"/>
        <v>00103AC8</v>
      </c>
      <c r="B22" s="26" t="s">
        <v>118</v>
      </c>
      <c r="C22" s="24" t="s">
        <v>117</v>
      </c>
      <c r="D22" s="27" t="s">
        <v>102</v>
      </c>
    </row>
    <row r="23" spans="1:4">
      <c r="A23" s="28" t="str">
        <f t="shared" si="1"/>
        <v>00103ACC</v>
      </c>
      <c r="B23" s="30" t="s">
        <v>108</v>
      </c>
      <c r="C23" s="28" t="str">
        <f>_xlfn.CONCAT("bhs 0x",A$26)</f>
        <v>bhs 0x00103AD8</v>
      </c>
      <c r="D23" s="31" t="s">
        <v>401</v>
      </c>
    </row>
    <row r="24" spans="1:4">
      <c r="A24" s="24" t="str">
        <f t="shared" si="1"/>
        <v>00103AD0</v>
      </c>
      <c r="B24" s="26" t="s">
        <v>109</v>
      </c>
      <c r="C24" s="24" t="s">
        <v>103</v>
      </c>
      <c r="D24" s="27" t="s">
        <v>104</v>
      </c>
    </row>
    <row r="25" spans="1:4">
      <c r="A25" s="24" t="str">
        <f t="shared" si="1"/>
        <v>00103AD4</v>
      </c>
      <c r="B25" s="26" t="s">
        <v>188</v>
      </c>
      <c r="C25" s="24" t="str">
        <f>SUBSTITUTE(SUBSTITUTE(C8,"push","pop"),"lr","pc")</f>
        <v>pop {r4, r5, r6, pc}</v>
      </c>
      <c r="D25" s="27"/>
    </row>
    <row r="26" spans="1:4">
      <c r="A26" s="40" t="str">
        <f t="shared" si="1"/>
        <v>00103AD8</v>
      </c>
      <c r="B26" s="41" t="s">
        <v>254</v>
      </c>
      <c r="C26" s="40" t="str">
        <f>_xlfn.CONCAT("ldr r4, [pc, #",HEX2DEC(A$40)-HEX2DEC(A26)-8,"]")</f>
        <v>ldr r4, [pc, #48]</v>
      </c>
      <c r="D26" s="42" t="s">
        <v>399</v>
      </c>
    </row>
    <row r="27" spans="1:4">
      <c r="A27" s="40" t="str">
        <f t="shared" si="1"/>
        <v>00103ADC</v>
      </c>
      <c r="B27" s="41" t="s">
        <v>427</v>
      </c>
      <c r="C27" s="40" t="str">
        <f>_xlfn.CONCAT("ldr r5, [pc, #",HEX2DEC(A$42)-HEX2DEC(A27)-8,"]")</f>
        <v>ldr r5, [pc, #52]</v>
      </c>
      <c r="D27" s="42" t="s">
        <v>400</v>
      </c>
    </row>
    <row r="28" spans="1:4">
      <c r="A28" s="43" t="str">
        <f t="shared" si="1"/>
        <v>00103AE0</v>
      </c>
      <c r="B28" s="44" t="s">
        <v>428</v>
      </c>
      <c r="C28" s="43" t="s">
        <v>403</v>
      </c>
      <c r="D28" s="45" t="s">
        <v>402</v>
      </c>
    </row>
    <row r="29" spans="1:4">
      <c r="A29" s="43" t="str">
        <f t="shared" si="1"/>
        <v>00103AE4</v>
      </c>
      <c r="B29" s="44" t="s">
        <v>429</v>
      </c>
      <c r="C29" s="43" t="s">
        <v>404</v>
      </c>
      <c r="D29" s="45" t="s">
        <v>405</v>
      </c>
    </row>
    <row r="30" spans="1:4">
      <c r="A30" s="43" t="str">
        <f t="shared" si="1"/>
        <v>00103AE8</v>
      </c>
      <c r="B30" s="44" t="s">
        <v>430</v>
      </c>
      <c r="C30" s="43" t="s">
        <v>416</v>
      </c>
      <c r="D30" s="45" t="s">
        <v>406</v>
      </c>
    </row>
    <row r="31" spans="1:4">
      <c r="A31" s="46" t="str">
        <f t="shared" si="1"/>
        <v>00103AEC</v>
      </c>
      <c r="B31" s="47" t="s">
        <v>431</v>
      </c>
      <c r="C31" s="46" t="s">
        <v>417</v>
      </c>
      <c r="D31" s="48" t="s">
        <v>407</v>
      </c>
    </row>
    <row r="32" spans="1:4">
      <c r="A32" s="46" t="str">
        <f t="shared" si="1"/>
        <v>00103AF0</v>
      </c>
      <c r="B32" s="47" t="s">
        <v>432</v>
      </c>
      <c r="C32" s="46" t="s">
        <v>411</v>
      </c>
      <c r="D32" s="48" t="s">
        <v>415</v>
      </c>
    </row>
    <row r="33" spans="1:10">
      <c r="A33" s="46" t="str">
        <f t="shared" si="1"/>
        <v>00103AF4</v>
      </c>
      <c r="B33" s="47" t="s">
        <v>433</v>
      </c>
      <c r="C33" s="46" t="str">
        <f>_xlfn.CONCAT("bne 0x",A28)</f>
        <v>bne 0x00103AE0</v>
      </c>
      <c r="D33" s="48"/>
      <c r="I33" s="2" t="s">
        <v>411</v>
      </c>
      <c r="J33" s="2" t="s">
        <v>410</v>
      </c>
    </row>
    <row r="34" spans="1:10">
      <c r="A34" s="49" t="str">
        <f t="shared" si="1"/>
        <v>00103AF8</v>
      </c>
      <c r="B34" s="50" t="s">
        <v>434</v>
      </c>
      <c r="C34" s="49" t="s">
        <v>418</v>
      </c>
      <c r="D34" s="51" t="s">
        <v>412</v>
      </c>
    </row>
    <row r="35" spans="1:10">
      <c r="A35" s="49" t="str">
        <f t="shared" si="1"/>
        <v>00103AFC</v>
      </c>
      <c r="B35" s="50" t="s">
        <v>435</v>
      </c>
      <c r="C35" s="49" t="s">
        <v>419</v>
      </c>
      <c r="D35" s="51" t="s">
        <v>102</v>
      </c>
    </row>
    <row r="36" spans="1:10">
      <c r="A36" s="49" t="str">
        <f t="shared" si="1"/>
        <v>00103B00</v>
      </c>
      <c r="B36" s="50" t="s">
        <v>436</v>
      </c>
      <c r="C36" s="49" t="str">
        <f>_xlfn.CONCAT("blo 0x",A24)</f>
        <v>blo 0x00103AD0</v>
      </c>
      <c r="D36" s="51" t="s">
        <v>420</v>
      </c>
    </row>
    <row r="37" spans="1:10">
      <c r="A37" s="28" t="str">
        <f t="shared" si="1"/>
        <v>00103B04</v>
      </c>
      <c r="B37" s="30" t="s">
        <v>110</v>
      </c>
      <c r="C37" s="28" t="s">
        <v>105</v>
      </c>
      <c r="D37" s="31" t="s">
        <v>209</v>
      </c>
      <c r="I37" s="2" t="s">
        <v>408</v>
      </c>
    </row>
    <row r="38" spans="1:10">
      <c r="A38" s="28" t="str">
        <f t="shared" si="1"/>
        <v>00103B08</v>
      </c>
      <c r="B38" s="30" t="s">
        <v>188</v>
      </c>
      <c r="C38" s="28" t="str">
        <f>C25</f>
        <v>pop {r4, r5, r6, pc}</v>
      </c>
      <c r="D38" s="31"/>
      <c r="I38" s="2" t="s">
        <v>409</v>
      </c>
    </row>
    <row r="39" spans="1:10">
      <c r="A39" s="2" t="str">
        <f t="shared" si="1"/>
        <v>00103B0C</v>
      </c>
      <c r="B39" s="6" t="s">
        <v>251</v>
      </c>
      <c r="D39" s="2" t="s">
        <v>250</v>
      </c>
    </row>
    <row r="40" spans="1:10">
      <c r="A40" s="2" t="str">
        <f t="shared" si="1"/>
        <v>00103B10</v>
      </c>
      <c r="B40" s="2" t="s">
        <v>396</v>
      </c>
    </row>
    <row r="41" spans="1:10">
      <c r="A41" s="2" t="str">
        <f t="shared" si="1"/>
        <v>00103B14</v>
      </c>
      <c r="B41" s="6" t="s">
        <v>111</v>
      </c>
      <c r="D41" s="2" t="s">
        <v>397</v>
      </c>
    </row>
    <row r="42" spans="1:10">
      <c r="A42" s="2" t="str">
        <f t="shared" si="1"/>
        <v>00103B18</v>
      </c>
      <c r="B42" s="6" t="s">
        <v>111</v>
      </c>
      <c r="D42" s="2" t="s">
        <v>398</v>
      </c>
    </row>
    <row r="43" spans="1:10">
      <c r="B43" s="7"/>
      <c r="C43" s="12"/>
    </row>
    <row r="44" spans="1:10">
      <c r="A44" s="1" t="s">
        <v>397</v>
      </c>
      <c r="B44" s="6"/>
    </row>
    <row r="45" spans="1:10">
      <c r="A45" s="3" t="s">
        <v>437</v>
      </c>
      <c r="B45" s="17" t="str" cm="1">
        <f t="array" ref="B45:B66">_xlfn._xlws.FILTER(Data!F:F,Data!F:F&lt;&gt;"")</f>
        <v>09000F</v>
      </c>
      <c r="C45" s="12" t="str">
        <f>_xlfn.CONCAT("Up to ",HEX2DEC(LEFT(B45,2))," battles, up to level ",HEX2DEC(RIGHT(B45,2)))</f>
        <v>Up to 9 battles, up to level 15</v>
      </c>
      <c r="D45" s="2" t="str" cm="1">
        <f t="array" ref="D45:D66">_xlfn._xlws.FILTER(Data!A:A,Data!F:F&lt;&gt;"")</f>
        <v>Trainer School</v>
      </c>
    </row>
    <row r="46" spans="1:10">
      <c r="A46" s="2" t="str">
        <f>DEC2HEX(HEX2DEC(A45)+3,8)</f>
        <v>0014E173</v>
      </c>
      <c r="B46" s="3" t="str">
        <v>0C0011</v>
      </c>
      <c r="C46" s="12" t="str">
        <f t="shared" ref="C46:C66" si="2">_xlfn.CONCAT("Up to ",HEX2DEC(LEFT(B46,2))," battles, up to level ",HEX2DEC(RIGHT(B46,2)))</f>
        <v>Up to 12 battles, up to level 17</v>
      </c>
      <c r="D46" s="2" t="str">
        <v>Captain Ilima</v>
      </c>
    </row>
    <row r="47" spans="1:10">
      <c r="A47" s="2" t="str">
        <f t="shared" ref="A47:A66" si="3">DEC2HEX(HEX2DEC(A46)+3,8)</f>
        <v>0014E176</v>
      </c>
      <c r="B47" s="3" t="str">
        <v>150014</v>
      </c>
      <c r="C47" s="12" t="str">
        <f t="shared" si="2"/>
        <v>Up to 21 battles, up to level 20</v>
      </c>
      <c r="D47" s="2" t="str">
        <v>Totem Gumshoos</v>
      </c>
    </row>
    <row r="48" spans="1:10">
      <c r="A48" s="2" t="str">
        <f t="shared" si="3"/>
        <v>0014E179</v>
      </c>
      <c r="B48" s="3" t="str">
        <v>19001B</v>
      </c>
      <c r="C48" s="12" t="str">
        <f t="shared" si="2"/>
        <v>Up to 25 battles, up to level 27</v>
      </c>
      <c r="D48" s="2" t="str">
        <v>Kahuna Hala</v>
      </c>
    </row>
    <row r="49" spans="1:4">
      <c r="A49" s="2" t="str">
        <f t="shared" si="3"/>
        <v>0014E17C</v>
      </c>
      <c r="B49" s="13" t="str">
        <v>1D001D</v>
      </c>
      <c r="C49" s="12" t="str">
        <f t="shared" si="2"/>
        <v>Up to 29 battles, up to level 29</v>
      </c>
      <c r="D49" s="12" t="str">
        <v>Dexio/Sina Battle</v>
      </c>
    </row>
    <row r="50" spans="1:4">
      <c r="A50" s="2" t="str">
        <f t="shared" si="3"/>
        <v>0014E17F</v>
      </c>
      <c r="B50" s="14" t="str">
        <v>1F0020</v>
      </c>
      <c r="C50" s="12" t="str">
        <f t="shared" si="2"/>
        <v>Up to 31 battles, up to level 32</v>
      </c>
      <c r="D50" s="2" t="str">
        <v>Hau, Paniola Town</v>
      </c>
    </row>
    <row r="51" spans="1:4">
      <c r="A51" s="2" t="str">
        <f t="shared" si="3"/>
        <v>0014E182</v>
      </c>
      <c r="B51" s="14" t="str">
        <v>240025</v>
      </c>
      <c r="C51" s="12" t="str">
        <f t="shared" si="2"/>
        <v>Up to 36 battles, up to level 37</v>
      </c>
      <c r="D51" s="12" t="str">
        <v>Gladion</v>
      </c>
    </row>
    <row r="52" spans="1:4">
      <c r="A52" s="2" t="str">
        <f t="shared" si="3"/>
        <v>0014E185</v>
      </c>
      <c r="B52" s="14" t="str">
        <v>310028</v>
      </c>
      <c r="C52" s="12" t="str">
        <f t="shared" si="2"/>
        <v>Up to 49 battles, up to level 40</v>
      </c>
      <c r="D52" s="12" t="str">
        <v>Totem Araquanid</v>
      </c>
    </row>
    <row r="53" spans="1:4">
      <c r="A53" s="2" t="str">
        <f t="shared" si="3"/>
        <v>0014E188</v>
      </c>
      <c r="B53" s="14" t="str">
        <v>3C002D</v>
      </c>
      <c r="C53" s="12" t="str">
        <f t="shared" si="2"/>
        <v>Up to 60 battles, up to level 45</v>
      </c>
      <c r="D53" s="12" t="str">
        <v>Royal Avenue</v>
      </c>
    </row>
    <row r="54" spans="1:4">
      <c r="A54" s="2" t="str">
        <f t="shared" si="3"/>
        <v>0014E18B</v>
      </c>
      <c r="B54" s="6" t="str">
        <v>470032</v>
      </c>
      <c r="C54" s="12" t="str">
        <f t="shared" si="2"/>
        <v>Up to 71 battles, up to level 50</v>
      </c>
      <c r="D54" s="2" t="str">
        <v>Totem Marowak</v>
      </c>
    </row>
    <row r="55" spans="1:4">
      <c r="A55" s="2" t="str">
        <f t="shared" si="3"/>
        <v>0014E18E</v>
      </c>
      <c r="B55" s="7" t="str">
        <v>4D0037</v>
      </c>
      <c r="C55" s="12" t="str">
        <f t="shared" si="2"/>
        <v>Up to 77 battles, up to level 55</v>
      </c>
      <c r="D55" s="2" t="str">
        <v>Totem Lurantis</v>
      </c>
    </row>
    <row r="56" spans="1:4">
      <c r="A56" s="2" t="str">
        <f t="shared" si="3"/>
        <v>0014E191</v>
      </c>
      <c r="B56" s="7" t="str">
        <v>64003F</v>
      </c>
      <c r="C56" s="12" t="str">
        <f t="shared" si="2"/>
        <v>Up to 100 battles, up to level 63</v>
      </c>
      <c r="D56" s="2" t="str">
        <v>Kahuna Olivia</v>
      </c>
    </row>
    <row r="57" spans="1:4">
      <c r="A57" s="2" t="str">
        <f t="shared" si="3"/>
        <v>0014E194</v>
      </c>
      <c r="B57" s="6" t="str">
        <v>7A0041</v>
      </c>
      <c r="C57" s="12" t="str">
        <f t="shared" si="2"/>
        <v>Up to 122 battles, up to level 65</v>
      </c>
      <c r="D57" s="2" t="str">
        <v>Malie City Hau Battle</v>
      </c>
    </row>
    <row r="58" spans="1:4">
      <c r="A58" s="2" t="str">
        <f t="shared" si="3"/>
        <v>0014E197</v>
      </c>
      <c r="B58" s="6" t="str">
        <v>810046</v>
      </c>
      <c r="C58" s="12" t="str">
        <f t="shared" si="2"/>
        <v>Up to 129 battles, up to level 70</v>
      </c>
      <c r="D58" s="2" t="str">
        <v>Mt. Hokulani Bus</v>
      </c>
    </row>
    <row r="59" spans="1:4">
      <c r="A59" s="2" t="str">
        <f t="shared" si="3"/>
        <v>0014E19A</v>
      </c>
      <c r="B59" s="6" t="str">
        <v>910048</v>
      </c>
      <c r="C59" s="12" t="str">
        <f t="shared" si="2"/>
        <v>Up to 145 battles, up to level 72</v>
      </c>
      <c r="D59" s="2" t="str">
        <v>Totem Togedemaru</v>
      </c>
    </row>
    <row r="60" spans="1:4">
      <c r="A60" s="2" t="str">
        <f t="shared" si="3"/>
        <v>0014E19D</v>
      </c>
      <c r="B60" s="7" t="str">
        <v>9A004B</v>
      </c>
      <c r="C60" s="12" t="str">
        <f t="shared" si="2"/>
        <v>Up to 154 battles, up to level 75</v>
      </c>
      <c r="D60" s="2" t="str">
        <v>Arrive Tapu Village</v>
      </c>
    </row>
    <row r="61" spans="1:4">
      <c r="A61" s="2" t="str">
        <f t="shared" si="3"/>
        <v>0014E1A0</v>
      </c>
      <c r="B61" s="7" t="str">
        <v>A20050</v>
      </c>
      <c r="C61" s="12" t="str">
        <f t="shared" si="2"/>
        <v>Up to 162 battles, up to level 80</v>
      </c>
      <c r="D61" s="2" t="str">
        <v>Totem Mimikyu</v>
      </c>
    </row>
    <row r="62" spans="1:4">
      <c r="A62" s="2" t="str">
        <f t="shared" si="3"/>
        <v>0014E1A3</v>
      </c>
      <c r="B62" s="7" t="str">
        <v>AA0055</v>
      </c>
      <c r="C62" s="12" t="str">
        <f t="shared" si="2"/>
        <v>Up to 170 battles, up to level 85</v>
      </c>
      <c r="D62" s="2" t="str">
        <v>Po Town</v>
      </c>
    </row>
    <row r="63" spans="1:4">
      <c r="A63" s="2" t="str">
        <f t="shared" si="3"/>
        <v>0014E1A6</v>
      </c>
      <c r="B63" s="7" t="str">
        <v>BA0057</v>
      </c>
      <c r="C63" s="12" t="str">
        <f t="shared" si="2"/>
        <v>Up to 186 battles, up to level 87</v>
      </c>
      <c r="D63" s="2" t="str">
        <v>Kahuna Nanu</v>
      </c>
    </row>
    <row r="64" spans="1:4">
      <c r="A64" s="2" t="str">
        <f t="shared" si="3"/>
        <v>0014E1A9</v>
      </c>
      <c r="B64" s="6" t="str">
        <v>CA005A</v>
      </c>
      <c r="C64" s="12" t="str">
        <f t="shared" si="2"/>
        <v>Up to 202 battles, up to level 90</v>
      </c>
      <c r="D64" s="2" t="str">
        <v>Aether Branch Chief Faba</v>
      </c>
    </row>
    <row r="65" spans="1:4">
      <c r="A65" s="2" t="str">
        <f t="shared" si="3"/>
        <v>0014E1AC</v>
      </c>
      <c r="B65" s="3" t="str">
        <v>CC0060</v>
      </c>
      <c r="C65" s="12" t="str">
        <f t="shared" si="2"/>
        <v>Up to 204 battles, up to level 96</v>
      </c>
      <c r="D65" s="2" t="str">
        <v>Final Ultra Recon Squad Battle</v>
      </c>
    </row>
    <row r="66" spans="1:4">
      <c r="A66" s="2" t="str">
        <f t="shared" si="3"/>
        <v>0014E1AF</v>
      </c>
      <c r="B66" s="3" t="str">
        <v>DE0064</v>
      </c>
      <c r="C66" s="12" t="str">
        <f t="shared" si="2"/>
        <v>Up to 222 battles, up to level 100</v>
      </c>
      <c r="D66" s="2" t="str">
        <v>Vast Poni Canyon</v>
      </c>
    </row>
    <row r="67" spans="1:4">
      <c r="B67" s="7"/>
      <c r="C67" s="12"/>
    </row>
    <row r="68" spans="1:4">
      <c r="A68" s="1" t="s">
        <v>398</v>
      </c>
      <c r="B68" s="6"/>
    </row>
    <row r="69" spans="1:4">
      <c r="A69" s="2" t="s">
        <v>438</v>
      </c>
      <c r="B69" s="17" t="str" cm="1">
        <f t="array" aca="1" ref="B69:B89" ca="1">_xlfn._xlws.FILTER('Table Builder'!I:I,'Table Builder'!I:I&lt;&gt;"")</f>
        <v>11010F</v>
      </c>
      <c r="C69" s="12" t="str">
        <f ca="1">_xlfn.CONCAT("Up to level ",HEX2DEC(RIGHT(B69,2)))</f>
        <v>Up to level 15</v>
      </c>
      <c r="D69" s="2" t="str" cm="1">
        <f t="array" aca="1" ref="D69:D89" ca="1">_xlfn._xlws.FILTER('Table Builder'!A:A,'Table Builder'!I:I&lt;&gt;"")</f>
        <v>Trainer School</v>
      </c>
    </row>
    <row r="70" spans="1:4">
      <c r="A70" s="2" t="str">
        <f>DEC2HEX(HEX2DEC(A69)+3,8)</f>
        <v>0014E1C3</v>
      </c>
      <c r="B70" s="3" t="str">
        <f ca="1"/>
        <v>110211</v>
      </c>
      <c r="C70" s="12" t="str">
        <f t="shared" ref="C70:C90" ca="1" si="4">_xlfn.CONCAT("Up to level ",HEX2DEC(RIGHT(B70,2)))</f>
        <v>Up to level 17</v>
      </c>
      <c r="D70" s="2" t="str">
        <f ca="1"/>
        <v>Captain Ilima</v>
      </c>
    </row>
    <row r="71" spans="1:4">
      <c r="A71" s="2" t="str">
        <f t="shared" ref="A71:A90" si="5">DEC2HEX(HEX2DEC(A70)+3,8)</f>
        <v>0014E1C6</v>
      </c>
      <c r="B71" s="3" t="str">
        <f ca="1"/>
        <v>118014</v>
      </c>
      <c r="C71" s="12" t="str">
        <f t="shared" ca="1" si="4"/>
        <v>Up to level 20</v>
      </c>
      <c r="D71" s="2" t="str">
        <f ca="1"/>
        <v>Totem Gumshoos</v>
      </c>
    </row>
    <row r="72" spans="1:4">
      <c r="A72" s="2" t="str">
        <f t="shared" si="5"/>
        <v>0014E1C9</v>
      </c>
      <c r="B72" s="3" t="str">
        <f ca="1"/>
        <v>11401B</v>
      </c>
      <c r="C72" s="12" t="str">
        <f t="shared" ca="1" si="4"/>
        <v>Up to level 27</v>
      </c>
      <c r="D72" s="2" t="str">
        <f ca="1"/>
        <v>Kahuna Hala</v>
      </c>
    </row>
    <row r="73" spans="1:4">
      <c r="A73" s="2" t="str">
        <f t="shared" si="5"/>
        <v>0014E1CC</v>
      </c>
      <c r="B73" s="13" t="str">
        <f ca="1"/>
        <v>12041D</v>
      </c>
      <c r="C73" s="12" t="str">
        <f t="shared" ca="1" si="4"/>
        <v>Up to level 29</v>
      </c>
      <c r="D73" s="12" t="str">
        <f ca="1"/>
        <v>Dexio/Sina Battle</v>
      </c>
    </row>
    <row r="74" spans="1:4">
      <c r="A74" s="2" t="str">
        <f t="shared" si="5"/>
        <v>0014E1CF</v>
      </c>
      <c r="B74" s="14" t="str">
        <f ca="1"/>
        <v>124020</v>
      </c>
      <c r="C74" s="12" t="str">
        <f t="shared" ca="1" si="4"/>
        <v>Up to level 32</v>
      </c>
      <c r="D74" s="2" t="str">
        <f ca="1"/>
        <v>Hau, Paniola Town</v>
      </c>
    </row>
    <row r="75" spans="1:4">
      <c r="A75" s="2" t="str">
        <f t="shared" si="5"/>
        <v>0014E1D2</v>
      </c>
      <c r="B75" s="14" t="str">
        <f ca="1"/>
        <v>130225</v>
      </c>
      <c r="C75" s="12" t="str">
        <f t="shared" ca="1" si="4"/>
        <v>Up to level 37</v>
      </c>
      <c r="D75" s="12" t="str">
        <f ca="1"/>
        <v>Gladion</v>
      </c>
    </row>
    <row r="76" spans="1:4">
      <c r="A76" s="2" t="str">
        <f t="shared" si="5"/>
        <v>0014E1D5</v>
      </c>
      <c r="B76" s="14" t="str">
        <f ca="1"/>
        <v>014028</v>
      </c>
      <c r="C76" s="12" t="str">
        <f t="shared" ca="1" si="4"/>
        <v>Up to level 40</v>
      </c>
      <c r="D76" s="12" t="str">
        <f ca="1"/>
        <v>Totem Araquanid</v>
      </c>
    </row>
    <row r="77" spans="1:4">
      <c r="A77" s="2" t="str">
        <f t="shared" si="5"/>
        <v>0014E1D8</v>
      </c>
      <c r="B77" s="14" t="str">
        <f ca="1"/>
        <v>12082D</v>
      </c>
      <c r="C77" s="12" t="str">
        <f t="shared" ca="1" si="4"/>
        <v>Up to level 45</v>
      </c>
      <c r="D77" s="12" t="str">
        <f ca="1"/>
        <v>Royal Avenue</v>
      </c>
    </row>
    <row r="78" spans="1:4">
      <c r="A78" s="2" t="str">
        <f t="shared" si="5"/>
        <v>0014E1DB</v>
      </c>
      <c r="B78" s="6" t="str">
        <f ca="1"/>
        <v>130832</v>
      </c>
      <c r="C78" s="12" t="str">
        <f t="shared" ca="1" si="4"/>
        <v>Up to level 50</v>
      </c>
      <c r="D78" s="2" t="str">
        <f ca="1"/>
        <v>Totem Marowak</v>
      </c>
    </row>
    <row r="79" spans="1:4">
      <c r="A79" s="2" t="str">
        <f t="shared" si="5"/>
        <v>0014E1DE</v>
      </c>
      <c r="B79" s="7" t="str">
        <f ca="1"/>
        <v>121037</v>
      </c>
      <c r="C79" s="12" t="str">
        <f t="shared" ca="1" si="4"/>
        <v>Up to level 55</v>
      </c>
      <c r="D79" s="2" t="str">
        <f ca="1"/>
        <v>Totem Lurantis</v>
      </c>
    </row>
    <row r="80" spans="1:4">
      <c r="A80" s="2" t="str">
        <f t="shared" si="5"/>
        <v>0014E1E1</v>
      </c>
      <c r="B80" s="7" t="str">
        <f ca="1"/>
        <v>12203C</v>
      </c>
      <c r="C80" s="12" t="str">
        <f t="shared" ca="1" si="4"/>
        <v>Up to level 60</v>
      </c>
      <c r="D80" s="2" t="str">
        <f ca="1"/>
        <v>Konikoni City</v>
      </c>
    </row>
    <row r="81" spans="1:4">
      <c r="A81" s="2" t="str">
        <f t="shared" si="5"/>
        <v>0014E1E4</v>
      </c>
      <c r="B81" s="6" t="str">
        <f ca="1"/>
        <v>13103F</v>
      </c>
      <c r="C81" s="12" t="str">
        <f t="shared" ca="1" si="4"/>
        <v>Up to level 63</v>
      </c>
      <c r="D81" s="2" t="str">
        <f ca="1"/>
        <v>Kahuna Olivia</v>
      </c>
    </row>
    <row r="82" spans="1:4">
      <c r="A82" s="2" t="str">
        <f t="shared" si="5"/>
        <v>0014E1E7</v>
      </c>
      <c r="B82" s="6" t="str">
        <f ca="1"/>
        <v>134041</v>
      </c>
      <c r="C82" s="12" t="str">
        <f t="shared" ca="1" si="4"/>
        <v>Up to level 65</v>
      </c>
      <c r="D82" s="2" t="str">
        <f ca="1"/>
        <v>Malie City Hau Battle</v>
      </c>
    </row>
    <row r="83" spans="1:4">
      <c r="A83" s="2" t="str">
        <f t="shared" si="5"/>
        <v>0014E1EA</v>
      </c>
      <c r="B83" s="6" t="str">
        <f ca="1"/>
        <v>140448</v>
      </c>
      <c r="C83" s="12" t="str">
        <f t="shared" ca="1" si="4"/>
        <v>Up to level 72</v>
      </c>
      <c r="D83" s="2" t="str">
        <f ca="1"/>
        <v>Totem Togedemaru</v>
      </c>
    </row>
    <row r="84" spans="1:4">
      <c r="A84" s="2" t="str">
        <f t="shared" si="5"/>
        <v>0014E1ED</v>
      </c>
      <c r="B84" s="7" t="str">
        <f ca="1"/>
        <v>01204B</v>
      </c>
      <c r="C84" s="12" t="str">
        <f t="shared" ca="1" si="4"/>
        <v>Up to level 75</v>
      </c>
      <c r="D84" s="2" t="str">
        <f ca="1"/>
        <v>Ula'Ula Beach</v>
      </c>
    </row>
    <row r="85" spans="1:4">
      <c r="A85" s="2" t="str">
        <f t="shared" si="5"/>
        <v>0014E1F0</v>
      </c>
      <c r="B85" s="7" t="str">
        <f ca="1"/>
        <v>140150</v>
      </c>
      <c r="C85" s="12" t="str">
        <f t="shared" ca="1" si="4"/>
        <v>Up to level 80</v>
      </c>
      <c r="D85" s="2" t="str">
        <f ca="1"/>
        <v>Totem Mimikyu</v>
      </c>
    </row>
    <row r="86" spans="1:4">
      <c r="A86" s="2" t="str">
        <f t="shared" si="5"/>
        <v>0014E1F3</v>
      </c>
      <c r="B86" s="7" t="str">
        <f ca="1"/>
        <v>2D4055</v>
      </c>
      <c r="C86" s="12" t="str">
        <f t="shared" ca="1" si="4"/>
        <v>Up to level 85</v>
      </c>
      <c r="D86" s="2" t="str">
        <f ca="1"/>
        <v>Po Town</v>
      </c>
    </row>
    <row r="87" spans="1:4">
      <c r="A87" s="2" t="str">
        <f t="shared" si="5"/>
        <v>0014E1F6</v>
      </c>
      <c r="B87" s="7" t="str">
        <f ca="1"/>
        <v>15085A</v>
      </c>
      <c r="C87" s="12" t="str">
        <f t="shared" ca="1" si="4"/>
        <v>Up to level 90</v>
      </c>
      <c r="D87" s="2" t="str">
        <f ca="1"/>
        <v>Aether Branch Chief Faba</v>
      </c>
    </row>
    <row r="88" spans="1:4">
      <c r="A88" s="2" t="str">
        <f t="shared" si="5"/>
        <v>0014E1F9</v>
      </c>
      <c r="B88" s="6" t="str">
        <f ca="1"/>
        <v>3C105F</v>
      </c>
      <c r="C88" s="12" t="str">
        <f t="shared" ca="1" si="4"/>
        <v>Up to level 95</v>
      </c>
      <c r="D88" s="2" t="str">
        <f ca="1"/>
        <v>Arrive Seafolk Village</v>
      </c>
    </row>
    <row r="89" spans="1:4">
      <c r="A89" s="2" t="str">
        <f t="shared" si="5"/>
        <v>0014E1FC</v>
      </c>
      <c r="B89" s="3" t="str">
        <f ca="1"/>
        <v>2E1064</v>
      </c>
      <c r="C89" s="12" t="str">
        <f t="shared" ca="1" si="4"/>
        <v>Up to level 100</v>
      </c>
      <c r="D89" s="2" t="str">
        <f ca="1"/>
        <v>Arrive Ponyi Canyon Altar</v>
      </c>
    </row>
    <row r="90" spans="1:4">
      <c r="A90" s="2" t="str">
        <f t="shared" si="5"/>
        <v>0014E1FF</v>
      </c>
      <c r="B90" s="3" t="s">
        <v>413</v>
      </c>
      <c r="C90" s="12" t="str">
        <f t="shared" si="4"/>
        <v>Up to level 100</v>
      </c>
      <c r="D90" s="2" t="s">
        <v>414</v>
      </c>
    </row>
  </sheetData>
  <phoneticPr fontId="4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6DB2C-3AA0-4AEE-8AEE-B3EC2BFC270B}">
  <dimension ref="A1:W108"/>
  <sheetViews>
    <sheetView workbookViewId="0">
      <pane ySplit="1" topLeftCell="A2" activePane="bottomLeft" state="frozen"/>
      <selection pane="bottomLeft" activeCell="F1" sqref="F1:G1"/>
    </sheetView>
  </sheetViews>
  <sheetFormatPr defaultRowHeight="15.9"/>
  <cols>
    <col min="1" max="1" width="33.35546875" style="2" bestFit="1" customWidth="1"/>
    <col min="2" max="2" width="10.42578125" style="2" bestFit="1" customWidth="1"/>
    <col min="3" max="3" width="9.140625" style="2"/>
    <col min="4" max="4" width="34.42578125" style="2" bestFit="1" customWidth="1"/>
    <col min="5" max="5" width="10.42578125" style="2" bestFit="1" customWidth="1"/>
    <col min="6" max="6" width="7.2109375" style="2" bestFit="1" customWidth="1"/>
    <col min="7" max="7" width="4" style="2" bestFit="1" customWidth="1"/>
    <col min="8" max="8" width="9.640625" style="2" bestFit="1" customWidth="1"/>
    <col min="9" max="9" width="7.2109375" style="2" bestFit="1" customWidth="1"/>
    <col min="10" max="11" width="9.140625" style="2"/>
    <col min="12" max="12" width="21.35546875" style="2" bestFit="1" customWidth="1"/>
    <col min="13" max="13" width="6.140625" style="2" bestFit="1" customWidth="1"/>
    <col min="14" max="14" width="14.78515625" style="2" bestFit="1" customWidth="1"/>
    <col min="15" max="15" width="17" style="2" bestFit="1" customWidth="1"/>
    <col min="16" max="23" width="10" style="38" customWidth="1"/>
    <col min="24" max="16384" width="9.140625" style="2"/>
  </cols>
  <sheetData>
    <row r="1" spans="1:15">
      <c r="A1" s="1" t="s">
        <v>21</v>
      </c>
      <c r="B1" s="1" t="s">
        <v>22</v>
      </c>
      <c r="D1" s="1" t="s">
        <v>360</v>
      </c>
      <c r="E1" s="1" t="s">
        <v>22</v>
      </c>
      <c r="F1" s="1" t="s">
        <v>182</v>
      </c>
      <c r="G1" s="1" t="s">
        <v>359</v>
      </c>
      <c r="I1" s="1"/>
      <c r="L1" s="1"/>
      <c r="M1" s="1"/>
      <c r="N1" s="1"/>
      <c r="O1" s="1"/>
    </row>
    <row r="2" spans="1:15">
      <c r="A2" s="2" t="s">
        <v>24</v>
      </c>
      <c r="B2" s="2">
        <v>15</v>
      </c>
      <c r="D2" s="2" t="s">
        <v>371</v>
      </c>
      <c r="E2" s="2">
        <v>15</v>
      </c>
      <c r="F2" s="2" t="str">
        <f ca="1">IF(D2&lt;&gt;"",DEC2HEX(_xlfn.XLOOKUP(D2,Data!M:M,Data!P:P),2),"")</f>
        <v>11</v>
      </c>
      <c r="G2" s="2" t="str">
        <f ca="1">IF(D2&lt;&gt;"",DEC2HEX(_xlfn.XLOOKUP(D2,Data!M:M,Data!O:O),2),"")</f>
        <v>01</v>
      </c>
      <c r="I2" s="2" t="str">
        <f ca="1">IF(D2&lt;&gt;"",_xlfn.CONCAT(F2,G2,DEC2HEX(E2,2)),"")</f>
        <v>11010F</v>
      </c>
    </row>
    <row r="3" spans="1:15">
      <c r="A3" s="2" t="s">
        <v>25</v>
      </c>
      <c r="B3" s="2">
        <v>17</v>
      </c>
      <c r="D3" s="2" t="s">
        <v>372</v>
      </c>
      <c r="E3" s="2">
        <v>17</v>
      </c>
      <c r="F3" s="2" t="str">
        <f ca="1">IF(D3&lt;&gt;"",DEC2HEX(_xlfn.XLOOKUP(D3,Data!M:M,Data!P:P),2),"")</f>
        <v>11</v>
      </c>
      <c r="G3" s="2" t="str">
        <f ca="1">IF(D3&lt;&gt;"",DEC2HEX(_xlfn.XLOOKUP(D3,Data!M:M,Data!O:O),2),"")</f>
        <v>02</v>
      </c>
      <c r="I3" s="2" t="str">
        <f t="shared" ref="I3:I25" ca="1" si="0">IF(D3&lt;&gt;"",_xlfn.CONCAT(F3,G3,DEC2HEX(E3,2)),"")</f>
        <v>110211</v>
      </c>
    </row>
    <row r="4" spans="1:15">
      <c r="A4" s="2" t="s">
        <v>27</v>
      </c>
      <c r="B4" s="2">
        <v>20</v>
      </c>
      <c r="D4" s="2" t="s">
        <v>373</v>
      </c>
      <c r="E4" s="2">
        <v>20</v>
      </c>
      <c r="F4" s="2" t="str">
        <f ca="1">IF(D4&lt;&gt;"",DEC2HEX(_xlfn.XLOOKUP(D4,Data!M:M,Data!P:P),2),"")</f>
        <v>11</v>
      </c>
      <c r="G4" s="2" t="str">
        <f ca="1">IF(D4&lt;&gt;"",DEC2HEX(_xlfn.XLOOKUP(D4,Data!M:M,Data!O:O),2),"")</f>
        <v>80</v>
      </c>
      <c r="I4" s="2" t="str">
        <f t="shared" ca="1" si="0"/>
        <v>118014</v>
      </c>
    </row>
    <row r="5" spans="1:15">
      <c r="A5" s="2" t="s">
        <v>28</v>
      </c>
      <c r="B5" s="2">
        <v>27</v>
      </c>
      <c r="D5" s="2" t="s">
        <v>374</v>
      </c>
      <c r="E5" s="2">
        <v>27</v>
      </c>
      <c r="F5" s="2" t="str">
        <f ca="1">IF(D5&lt;&gt;"",DEC2HEX(_xlfn.XLOOKUP(D5,Data!M:M,Data!P:P),2),"")</f>
        <v>11</v>
      </c>
      <c r="G5" s="2" t="str">
        <f ca="1">IF(D5&lt;&gt;"",DEC2HEX(_xlfn.XLOOKUP(D5,Data!M:M,Data!O:O),2),"")</f>
        <v>40</v>
      </c>
      <c r="I5" s="2" t="str">
        <f t="shared" ca="1" si="0"/>
        <v>11401B</v>
      </c>
    </row>
    <row r="6" spans="1:15">
      <c r="A6" s="2" t="s">
        <v>29</v>
      </c>
      <c r="B6" s="2">
        <v>29</v>
      </c>
      <c r="D6" s="2" t="s">
        <v>375</v>
      </c>
      <c r="E6" s="2">
        <v>29</v>
      </c>
      <c r="F6" s="2" t="str">
        <f ca="1">IF(D6&lt;&gt;"",DEC2HEX(_xlfn.XLOOKUP(D6,Data!M:M,Data!P:P),2),"")</f>
        <v>12</v>
      </c>
      <c r="G6" s="2" t="str">
        <f ca="1">IF(D6&lt;&gt;"",DEC2HEX(_xlfn.XLOOKUP(D6,Data!M:M,Data!O:O),2),"")</f>
        <v>04</v>
      </c>
      <c r="I6" s="2" t="str">
        <f t="shared" ca="1" si="0"/>
        <v>12041D</v>
      </c>
    </row>
    <row r="7" spans="1:15">
      <c r="A7" s="2" t="s">
        <v>31</v>
      </c>
      <c r="B7" s="2">
        <v>32</v>
      </c>
      <c r="D7" s="2" t="s">
        <v>376</v>
      </c>
      <c r="E7" s="2">
        <v>32</v>
      </c>
      <c r="F7" s="2" t="str">
        <f ca="1">IF(D7&lt;&gt;"",DEC2HEX(_xlfn.XLOOKUP(D7,Data!M:M,Data!P:P),2),"")</f>
        <v>12</v>
      </c>
      <c r="G7" s="2" t="str">
        <f ca="1">IF(D7&lt;&gt;"",DEC2HEX(_xlfn.XLOOKUP(D7,Data!M:M,Data!O:O),2),"")</f>
        <v>40</v>
      </c>
      <c r="I7" s="2" t="str">
        <f t="shared" ca="1" si="0"/>
        <v>124020</v>
      </c>
    </row>
    <row r="8" spans="1:15">
      <c r="A8" s="2" t="s">
        <v>33</v>
      </c>
      <c r="B8" s="2">
        <v>37</v>
      </c>
      <c r="D8" s="2" t="s">
        <v>378</v>
      </c>
      <c r="E8" s="2">
        <v>37</v>
      </c>
      <c r="F8" s="2" t="str">
        <f ca="1">IF(D8&lt;&gt;"",DEC2HEX(_xlfn.XLOOKUP(D8,Data!M:M,Data!P:P),2),"")</f>
        <v>13</v>
      </c>
      <c r="G8" s="2" t="str">
        <f ca="1">IF(D8&lt;&gt;"",DEC2HEX(_xlfn.XLOOKUP(D8,Data!M:M,Data!O:O),2),"")</f>
        <v>02</v>
      </c>
      <c r="I8" s="2" t="str">
        <f t="shared" ca="1" si="0"/>
        <v>130225</v>
      </c>
    </row>
    <row r="9" spans="1:15">
      <c r="A9" s="2" t="s">
        <v>34</v>
      </c>
      <c r="B9" s="2">
        <v>40</v>
      </c>
      <c r="D9" s="2" t="s">
        <v>364</v>
      </c>
      <c r="E9" s="2">
        <v>40</v>
      </c>
      <c r="F9" s="2" t="str">
        <f>IF(D9&lt;&gt;"",DEC2HEX(_xlfn.XLOOKUP(D9,Data!M:M,Data!P:P),2),"")</f>
        <v>01</v>
      </c>
      <c r="G9" s="2" t="str">
        <f>IF(D9&lt;&gt;"",DEC2HEX(_xlfn.XLOOKUP(D9,Data!M:M,Data!O:O),2),"")</f>
        <v>40</v>
      </c>
      <c r="I9" s="2" t="str">
        <f t="shared" si="0"/>
        <v>014028</v>
      </c>
      <c r="N9" s="3"/>
    </row>
    <row r="10" spans="1:15">
      <c r="A10" s="2" t="s">
        <v>258</v>
      </c>
      <c r="B10" s="2">
        <v>45</v>
      </c>
      <c r="D10" s="2" t="s">
        <v>379</v>
      </c>
      <c r="E10" s="2">
        <v>45</v>
      </c>
      <c r="F10" s="2" t="str">
        <f ca="1">IF(D10&lt;&gt;"",DEC2HEX(_xlfn.XLOOKUP(D10,Data!M:M,Data!P:P),2),"")</f>
        <v>12</v>
      </c>
      <c r="G10" s="2" t="str">
        <f ca="1">IF(D10&lt;&gt;"",DEC2HEX(_xlfn.XLOOKUP(D10,Data!M:M,Data!O:O),2),"")</f>
        <v>08</v>
      </c>
      <c r="I10" s="2" t="str">
        <f t="shared" ca="1" si="0"/>
        <v>12082D</v>
      </c>
      <c r="N10" s="3"/>
    </row>
    <row r="11" spans="1:15">
      <c r="A11" s="2" t="s">
        <v>35</v>
      </c>
      <c r="B11" s="2">
        <v>50</v>
      </c>
      <c r="D11" s="2" t="s">
        <v>381</v>
      </c>
      <c r="E11" s="2">
        <v>50</v>
      </c>
      <c r="F11" s="2" t="str">
        <f ca="1">IF(D11&lt;&gt;"",DEC2HEX(_xlfn.XLOOKUP(D11,Data!M:M,Data!P:P),2),"")</f>
        <v>13</v>
      </c>
      <c r="G11" s="2" t="str">
        <f ca="1">IF(D11&lt;&gt;"",DEC2HEX(_xlfn.XLOOKUP(D11,Data!M:M,Data!O:O),2),"")</f>
        <v>08</v>
      </c>
      <c r="I11" s="2" t="str">
        <f t="shared" ca="1" si="0"/>
        <v>130832</v>
      </c>
    </row>
    <row r="12" spans="1:15">
      <c r="A12" s="2" t="s">
        <v>36</v>
      </c>
      <c r="B12" s="2">
        <v>55</v>
      </c>
      <c r="D12" s="2" t="s">
        <v>382</v>
      </c>
      <c r="E12" s="2">
        <v>55</v>
      </c>
      <c r="F12" s="2" t="str">
        <f ca="1">IF(D12&lt;&gt;"",DEC2HEX(_xlfn.XLOOKUP(D12,Data!M:M,Data!P:P),2),"")</f>
        <v>12</v>
      </c>
      <c r="G12" s="2" t="str">
        <f ca="1">IF(D12&lt;&gt;"",DEC2HEX(_xlfn.XLOOKUP(D12,Data!M:M,Data!O:O),2),"")</f>
        <v>10</v>
      </c>
      <c r="I12" s="2" t="str">
        <f t="shared" ca="1" si="0"/>
        <v>121037</v>
      </c>
    </row>
    <row r="13" spans="1:15">
      <c r="A13" s="2" t="s">
        <v>327</v>
      </c>
      <c r="D13" s="2" t="s">
        <v>383</v>
      </c>
      <c r="E13" s="2">
        <v>60</v>
      </c>
      <c r="F13" s="2" t="str">
        <f ca="1">IF(D13&lt;&gt;"",DEC2HEX(_xlfn.XLOOKUP(D13,Data!M:M,Data!P:P),2),"")</f>
        <v>12</v>
      </c>
      <c r="G13" s="2" t="str">
        <f ca="1">IF(D13&lt;&gt;"",DEC2HEX(_xlfn.XLOOKUP(D13,Data!M:M,Data!O:O),2),"")</f>
        <v>20</v>
      </c>
      <c r="I13" s="2" t="str">
        <f t="shared" ca="1" si="0"/>
        <v>12203C</v>
      </c>
      <c r="N13" s="3"/>
    </row>
    <row r="14" spans="1:15">
      <c r="A14" s="2" t="s">
        <v>37</v>
      </c>
      <c r="B14" s="2">
        <v>63</v>
      </c>
      <c r="D14" s="2" t="s">
        <v>385</v>
      </c>
      <c r="E14" s="2">
        <v>63</v>
      </c>
      <c r="F14" s="2" t="str">
        <f ca="1">IF(D14&lt;&gt;"",DEC2HEX(_xlfn.XLOOKUP(D14,Data!M:M,Data!P:P),2),"")</f>
        <v>13</v>
      </c>
      <c r="G14" s="2" t="str">
        <f ca="1">IF(D14&lt;&gt;"",DEC2HEX(_xlfn.XLOOKUP(D14,Data!M:M,Data!O:O),2),"")</f>
        <v>10</v>
      </c>
      <c r="I14" s="2" t="str">
        <f t="shared" ca="1" si="0"/>
        <v>13103F</v>
      </c>
      <c r="N14" s="3"/>
    </row>
    <row r="15" spans="1:15">
      <c r="A15" s="2" t="s">
        <v>39</v>
      </c>
      <c r="B15" s="2">
        <v>65</v>
      </c>
      <c r="D15" s="2" t="s">
        <v>386</v>
      </c>
      <c r="E15" s="2">
        <v>65</v>
      </c>
      <c r="F15" s="2" t="str">
        <f ca="1">IF(D15&lt;&gt;"",DEC2HEX(_xlfn.XLOOKUP(D15,Data!M:M,Data!P:P),2),"")</f>
        <v>13</v>
      </c>
      <c r="G15" s="2" t="str">
        <f ca="1">IF(D15&lt;&gt;"",DEC2HEX(_xlfn.XLOOKUP(D15,Data!M:M,Data!O:O),2),"")</f>
        <v>40</v>
      </c>
      <c r="I15" s="2" t="str">
        <f t="shared" ca="1" si="0"/>
        <v>134041</v>
      </c>
      <c r="N15" s="3"/>
    </row>
    <row r="16" spans="1:15">
      <c r="A16" s="2" t="s">
        <v>42</v>
      </c>
      <c r="B16" s="2">
        <v>72</v>
      </c>
      <c r="D16" s="38" t="s">
        <v>388</v>
      </c>
      <c r="E16" s="2">
        <v>72</v>
      </c>
      <c r="F16" s="2" t="str">
        <f ca="1">IF(D16&lt;&gt;"",DEC2HEX(_xlfn.XLOOKUP(D16,Data!M:M,Data!P:P),2),"")</f>
        <v>14</v>
      </c>
      <c r="G16" s="2" t="str">
        <f ca="1">IF(D16&lt;&gt;"",DEC2HEX(_xlfn.XLOOKUP(D16,Data!M:M,Data!O:O),2),"")</f>
        <v>04</v>
      </c>
      <c r="I16" s="2" t="str">
        <f t="shared" ca="1" si="0"/>
        <v>140448</v>
      </c>
    </row>
    <row r="17" spans="1:9">
      <c r="A17" s="2" t="s">
        <v>390</v>
      </c>
      <c r="B17" s="2">
        <v>75</v>
      </c>
      <c r="D17" s="2" t="s">
        <v>365</v>
      </c>
      <c r="E17" s="2">
        <v>75</v>
      </c>
      <c r="F17" s="2" t="str">
        <f>IF(D17&lt;&gt;"",DEC2HEX(_xlfn.XLOOKUP(D17,Data!M:M,Data!P:P),2),"")</f>
        <v>01</v>
      </c>
      <c r="G17" s="2" t="str">
        <f>IF(D17&lt;&gt;"",DEC2HEX(_xlfn.XLOOKUP(D17,Data!M:M,Data!O:O),2),"")</f>
        <v>20</v>
      </c>
      <c r="I17" s="2" t="str">
        <f t="shared" ref="I17:I23" si="1">IF(D17&lt;&gt;"",_xlfn.CONCAT(F17,G17,DEC2HEX(E17,2)),"")</f>
        <v>01204B</v>
      </c>
    </row>
    <row r="18" spans="1:9">
      <c r="A18" s="2" t="s">
        <v>45</v>
      </c>
      <c r="B18" s="2">
        <v>80</v>
      </c>
      <c r="D18" s="2" t="s">
        <v>389</v>
      </c>
      <c r="E18" s="2">
        <v>80</v>
      </c>
      <c r="F18" s="2" t="str">
        <f ca="1">IF(D18&lt;&gt;"",DEC2HEX(_xlfn.XLOOKUP(D18,Data!M:M,Data!P:P),2),"")</f>
        <v>14</v>
      </c>
      <c r="G18" s="2" t="str">
        <f ca="1">IF(D18&lt;&gt;"",DEC2HEX(_xlfn.XLOOKUP(D18,Data!M:M,Data!O:O),2),"")</f>
        <v>01</v>
      </c>
      <c r="I18" s="2" t="str">
        <f t="shared" ref="I18" ca="1" si="2">IF(D18&lt;&gt;"",_xlfn.CONCAT(F18,G18,DEC2HEX(E18,2)),"")</f>
        <v>140150</v>
      </c>
    </row>
    <row r="19" spans="1:9">
      <c r="A19" s="2" t="s">
        <v>46</v>
      </c>
      <c r="B19" s="2">
        <v>85</v>
      </c>
      <c r="D19" s="2" t="s">
        <v>391</v>
      </c>
      <c r="E19" s="2">
        <v>85</v>
      </c>
      <c r="F19" s="2" t="str">
        <f ca="1">IF(D19&lt;&gt;"",DEC2HEX(_xlfn.XLOOKUP(D19,Data!M:M,Data!P:P),2),"")</f>
        <v>2D</v>
      </c>
      <c r="G19" s="2" t="str">
        <f ca="1">IF(D19&lt;&gt;"",DEC2HEX(_xlfn.XLOOKUP(D19,Data!M:M,Data!O:O),2),"")</f>
        <v>40</v>
      </c>
      <c r="I19" s="2" t="str">
        <f t="shared" ca="1" si="1"/>
        <v>2D4055</v>
      </c>
    </row>
    <row r="20" spans="1:9">
      <c r="A20" s="2" t="s">
        <v>49</v>
      </c>
      <c r="B20" s="2">
        <v>90</v>
      </c>
      <c r="D20" s="2" t="s">
        <v>395</v>
      </c>
      <c r="E20" s="2">
        <v>90</v>
      </c>
      <c r="F20" s="2" t="str">
        <f ca="1">IF(D20&lt;&gt;"",DEC2HEX(_xlfn.XLOOKUP(D20,Data!M:M,Data!P:P),2),"")</f>
        <v>15</v>
      </c>
      <c r="G20" s="2" t="str">
        <f ca="1">IF(D20&lt;&gt;"",DEC2HEX(_xlfn.XLOOKUP(D20,Data!M:M,Data!O:O),2),"")</f>
        <v>08</v>
      </c>
      <c r="I20" s="2" t="str">
        <f t="shared" ca="1" si="1"/>
        <v>15085A</v>
      </c>
    </row>
    <row r="21" spans="1:9">
      <c r="A21" s="2" t="s">
        <v>393</v>
      </c>
      <c r="B21" s="2">
        <v>95</v>
      </c>
      <c r="D21" s="2" t="s">
        <v>296</v>
      </c>
      <c r="E21" s="2">
        <v>95</v>
      </c>
      <c r="F21" s="2" t="str">
        <f ca="1">IF(D21&lt;&gt;"",DEC2HEX(_xlfn.XLOOKUP(D21,Data!M:M,Data!P:P),2),"")</f>
        <v>3C</v>
      </c>
      <c r="G21" s="2" t="str">
        <f ca="1">IF(D21&lt;&gt;"",DEC2HEX(_xlfn.XLOOKUP(D21,Data!M:M,Data!O:O),2),"")</f>
        <v>10</v>
      </c>
      <c r="I21" s="2" t="str">
        <f t="shared" ca="1" si="1"/>
        <v>3C105F</v>
      </c>
    </row>
    <row r="22" spans="1:9">
      <c r="A22" s="2" t="s">
        <v>394</v>
      </c>
      <c r="B22" s="2">
        <v>100</v>
      </c>
      <c r="D22" s="2" t="s">
        <v>392</v>
      </c>
      <c r="E22" s="2">
        <v>100</v>
      </c>
      <c r="F22" s="2" t="str">
        <f ca="1">IF(D22&lt;&gt;"",DEC2HEX(_xlfn.XLOOKUP(D22,Data!M:M,Data!P:P),2),"")</f>
        <v>2E</v>
      </c>
      <c r="G22" s="2" t="str">
        <f ca="1">IF(D22&lt;&gt;"",DEC2HEX(_xlfn.XLOOKUP(D22,Data!M:M,Data!O:O),2),"")</f>
        <v>10</v>
      </c>
      <c r="I22" s="2" t="str">
        <f t="shared" ca="1" si="1"/>
        <v>2E1064</v>
      </c>
    </row>
    <row r="23" spans="1:9">
      <c r="F23" s="2" t="str">
        <f>IF(D23&lt;&gt;"",DEC2HEX(_xlfn.XLOOKUP(D23,Data!M:M,Data!P:P),2),"")</f>
        <v/>
      </c>
      <c r="G23" s="2" t="str">
        <f>IF(D23&lt;&gt;"",DEC2HEX(_xlfn.XLOOKUP(D23,Data!M:M,Data!O:O),2),"")</f>
        <v/>
      </c>
      <c r="I23" s="2" t="str">
        <f t="shared" si="1"/>
        <v/>
      </c>
    </row>
    <row r="24" spans="1:9">
      <c r="F24" s="38"/>
      <c r="G24" s="38"/>
      <c r="H24" s="38"/>
      <c r="I24" s="2" t="str">
        <f t="shared" si="0"/>
        <v/>
      </c>
    </row>
    <row r="25" spans="1:9">
      <c r="F25" s="38"/>
      <c r="G25" s="38"/>
      <c r="H25" s="38"/>
      <c r="I25" s="2" t="str">
        <f t="shared" si="0"/>
        <v/>
      </c>
    </row>
    <row r="26" spans="1:9">
      <c r="F26" s="38"/>
      <c r="G26" s="38"/>
      <c r="H26" s="38"/>
      <c r="I26" s="38"/>
    </row>
    <row r="27" spans="1:9">
      <c r="F27" s="38"/>
      <c r="G27" s="38"/>
      <c r="H27" s="38"/>
      <c r="I27" s="38"/>
    </row>
    <row r="28" spans="1:9">
      <c r="F28" s="38"/>
      <c r="G28" s="38"/>
      <c r="H28" s="38"/>
      <c r="I28" s="38"/>
    </row>
    <row r="29" spans="1:9">
      <c r="F29" s="38"/>
      <c r="G29" s="38"/>
      <c r="H29" s="38"/>
      <c r="I29" s="38"/>
    </row>
    <row r="30" spans="1:9">
      <c r="F30" s="38"/>
      <c r="G30" s="38"/>
      <c r="H30" s="38"/>
      <c r="I30" s="38"/>
    </row>
    <row r="31" spans="1:9">
      <c r="F31" s="38"/>
      <c r="G31" s="38"/>
      <c r="H31" s="38"/>
      <c r="I31" s="38"/>
    </row>
    <row r="32" spans="1:9">
      <c r="F32" s="38"/>
      <c r="G32" s="38"/>
      <c r="H32" s="38"/>
      <c r="I32" s="38"/>
    </row>
    <row r="33" spans="6:9">
      <c r="F33" s="38"/>
      <c r="G33" s="38"/>
      <c r="H33" s="38"/>
      <c r="I33" s="38"/>
    </row>
    <row r="34" spans="6:9">
      <c r="F34" s="38"/>
      <c r="G34" s="38"/>
      <c r="H34" s="38"/>
      <c r="I34" s="38"/>
    </row>
    <row r="35" spans="6:9">
      <c r="F35" s="38"/>
      <c r="G35" s="38"/>
      <c r="H35" s="38"/>
      <c r="I35" s="38"/>
    </row>
    <row r="36" spans="6:9">
      <c r="F36" s="38"/>
      <c r="G36" s="38"/>
      <c r="H36" s="38"/>
      <c r="I36" s="38"/>
    </row>
    <row r="37" spans="6:9">
      <c r="F37" s="38"/>
      <c r="G37" s="38"/>
      <c r="H37" s="38"/>
      <c r="I37" s="38"/>
    </row>
    <row r="38" spans="6:9">
      <c r="F38" s="38"/>
      <c r="G38" s="38"/>
      <c r="H38" s="38"/>
      <c r="I38" s="38"/>
    </row>
    <row r="39" spans="6:9">
      <c r="F39" s="38"/>
      <c r="G39" s="38"/>
      <c r="H39" s="38"/>
      <c r="I39" s="38"/>
    </row>
    <row r="40" spans="6:9">
      <c r="F40" s="38"/>
      <c r="G40" s="38"/>
      <c r="H40" s="38"/>
      <c r="I40" s="38"/>
    </row>
    <row r="41" spans="6:9">
      <c r="F41" s="38"/>
      <c r="G41" s="38"/>
      <c r="H41" s="38"/>
      <c r="I41" s="38"/>
    </row>
    <row r="42" spans="6:9">
      <c r="F42" s="38"/>
      <c r="G42" s="38"/>
      <c r="H42" s="38"/>
      <c r="I42" s="38"/>
    </row>
    <row r="43" spans="6:9">
      <c r="F43" s="38"/>
      <c r="G43" s="38"/>
      <c r="H43" s="38"/>
      <c r="I43" s="38"/>
    </row>
    <row r="44" spans="6:9">
      <c r="F44" s="38"/>
      <c r="G44" s="38"/>
      <c r="H44" s="38"/>
      <c r="I44" s="38"/>
    </row>
    <row r="45" spans="6:9">
      <c r="F45" s="38"/>
      <c r="G45" s="38"/>
      <c r="H45" s="38"/>
      <c r="I45" s="38"/>
    </row>
    <row r="46" spans="6:9">
      <c r="F46" s="38"/>
      <c r="G46" s="38"/>
      <c r="H46" s="38"/>
      <c r="I46" s="38"/>
    </row>
    <row r="47" spans="6:9">
      <c r="F47" s="38"/>
      <c r="G47" s="38"/>
      <c r="H47" s="38"/>
      <c r="I47" s="38"/>
    </row>
    <row r="48" spans="6:9">
      <c r="F48" s="38"/>
      <c r="G48" s="38"/>
      <c r="H48" s="38"/>
      <c r="I48" s="38"/>
    </row>
    <row r="49" spans="6:13">
      <c r="F49" s="38"/>
      <c r="G49" s="38"/>
      <c r="H49" s="38"/>
      <c r="I49" s="38"/>
    </row>
    <row r="50" spans="6:13">
      <c r="F50" s="38"/>
      <c r="G50" s="38"/>
      <c r="H50" s="38"/>
      <c r="I50" s="38"/>
      <c r="M50" s="3"/>
    </row>
    <row r="51" spans="6:13">
      <c r="F51" s="38"/>
      <c r="G51" s="38"/>
      <c r="H51" s="38"/>
      <c r="I51" s="38"/>
      <c r="M51" s="3"/>
    </row>
    <row r="52" spans="6:13">
      <c r="F52" s="38"/>
      <c r="G52" s="38"/>
      <c r="H52" s="38"/>
      <c r="I52" s="38"/>
    </row>
    <row r="53" spans="6:13">
      <c r="F53" s="38"/>
      <c r="G53" s="38"/>
      <c r="H53" s="38"/>
      <c r="I53" s="38"/>
    </row>
    <row r="54" spans="6:13">
      <c r="F54" s="38"/>
      <c r="G54" s="38"/>
      <c r="H54" s="38"/>
      <c r="I54" s="38"/>
    </row>
    <row r="55" spans="6:13">
      <c r="F55" s="38"/>
      <c r="G55" s="38"/>
      <c r="H55" s="38"/>
      <c r="I55" s="38"/>
    </row>
    <row r="56" spans="6:13">
      <c r="F56" s="38"/>
      <c r="G56" s="38"/>
      <c r="H56" s="38"/>
      <c r="I56" s="38"/>
    </row>
    <row r="57" spans="6:13">
      <c r="F57" s="38"/>
      <c r="G57" s="38"/>
      <c r="H57" s="38"/>
      <c r="I57" s="38"/>
    </row>
    <row r="58" spans="6:13">
      <c r="F58" s="38"/>
      <c r="G58" s="38"/>
      <c r="H58" s="38"/>
      <c r="I58" s="38"/>
    </row>
    <row r="59" spans="6:13">
      <c r="F59" s="38"/>
      <c r="G59" s="38"/>
      <c r="H59" s="38"/>
      <c r="I59" s="38"/>
    </row>
    <row r="60" spans="6:13">
      <c r="F60" s="38"/>
      <c r="G60" s="38"/>
      <c r="H60" s="38"/>
      <c r="I60" s="38"/>
    </row>
    <row r="61" spans="6:13">
      <c r="F61" s="38"/>
      <c r="G61" s="38"/>
      <c r="H61" s="38"/>
      <c r="I61" s="38"/>
    </row>
    <row r="62" spans="6:13">
      <c r="F62" s="38"/>
      <c r="G62" s="38"/>
      <c r="H62" s="38"/>
      <c r="I62" s="38"/>
    </row>
    <row r="63" spans="6:13">
      <c r="F63" s="38"/>
      <c r="G63" s="38"/>
      <c r="H63" s="38"/>
      <c r="I63" s="38"/>
    </row>
    <row r="64" spans="6:13">
      <c r="F64" s="38"/>
      <c r="G64" s="38"/>
      <c r="H64" s="38"/>
      <c r="I64" s="38"/>
    </row>
    <row r="65" spans="6:13">
      <c r="F65" s="38"/>
      <c r="G65" s="38"/>
      <c r="H65" s="38"/>
      <c r="I65" s="38"/>
    </row>
    <row r="66" spans="6:13">
      <c r="F66" s="38"/>
      <c r="G66" s="38"/>
      <c r="H66" s="38"/>
      <c r="I66" s="38"/>
    </row>
    <row r="67" spans="6:13">
      <c r="F67" s="38"/>
      <c r="G67" s="38"/>
      <c r="H67" s="38"/>
      <c r="I67" s="38"/>
    </row>
    <row r="68" spans="6:13">
      <c r="F68" s="38"/>
      <c r="G68" s="38"/>
      <c r="H68" s="38"/>
      <c r="I68" s="38"/>
    </row>
    <row r="69" spans="6:13">
      <c r="F69" s="38"/>
      <c r="G69" s="38"/>
      <c r="H69" s="38"/>
      <c r="I69" s="38"/>
    </row>
    <row r="70" spans="6:13">
      <c r="F70" s="38"/>
      <c r="G70" s="38"/>
      <c r="H70" s="38"/>
      <c r="I70" s="38"/>
    </row>
    <row r="71" spans="6:13">
      <c r="F71" s="38"/>
      <c r="G71" s="38"/>
      <c r="H71" s="38"/>
      <c r="I71" s="38"/>
    </row>
    <row r="72" spans="6:13">
      <c r="F72" s="38"/>
      <c r="G72" s="38"/>
      <c r="H72" s="38"/>
      <c r="I72" s="38"/>
    </row>
    <row r="73" spans="6:13">
      <c r="F73" s="38"/>
      <c r="G73" s="38"/>
      <c r="H73" s="38"/>
      <c r="I73" s="38"/>
    </row>
    <row r="74" spans="6:13">
      <c r="F74" s="38"/>
      <c r="G74" s="38"/>
      <c r="H74" s="38"/>
      <c r="I74" s="38"/>
    </row>
    <row r="75" spans="6:13">
      <c r="F75" s="38"/>
      <c r="G75" s="38"/>
      <c r="H75" s="38"/>
      <c r="I75" s="38"/>
    </row>
    <row r="76" spans="6:13">
      <c r="F76" s="38"/>
      <c r="G76" s="38"/>
      <c r="H76" s="38"/>
      <c r="I76" s="38"/>
    </row>
    <row r="77" spans="6:13">
      <c r="F77" s="38"/>
      <c r="G77" s="38"/>
      <c r="H77" s="38"/>
      <c r="I77" s="38"/>
    </row>
    <row r="78" spans="6:13">
      <c r="F78" s="38"/>
      <c r="G78" s="38"/>
      <c r="H78" s="38"/>
      <c r="I78" s="38"/>
    </row>
    <row r="79" spans="6:13">
      <c r="F79" s="38"/>
      <c r="G79" s="38"/>
      <c r="H79" s="38"/>
      <c r="I79" s="38"/>
    </row>
    <row r="80" spans="6:13">
      <c r="F80" s="38"/>
      <c r="G80" s="38"/>
      <c r="H80" s="38"/>
      <c r="I80" s="38"/>
      <c r="M80" s="3"/>
    </row>
    <row r="81" spans="6:13">
      <c r="F81" s="38"/>
      <c r="G81" s="38"/>
      <c r="H81" s="38"/>
      <c r="I81" s="38"/>
      <c r="M81" s="3"/>
    </row>
    <row r="82" spans="6:13">
      <c r="F82" s="38"/>
      <c r="G82" s="38"/>
      <c r="H82" s="38"/>
      <c r="I82" s="38"/>
    </row>
    <row r="83" spans="6:13">
      <c r="F83" s="38"/>
      <c r="G83" s="38"/>
      <c r="H83" s="38"/>
      <c r="I83" s="38"/>
    </row>
    <row r="84" spans="6:13">
      <c r="F84" s="38"/>
      <c r="G84" s="38"/>
      <c r="H84" s="38"/>
      <c r="I84" s="38"/>
    </row>
    <row r="85" spans="6:13">
      <c r="F85" s="38"/>
      <c r="G85" s="38"/>
      <c r="H85" s="38"/>
      <c r="I85" s="38"/>
    </row>
    <row r="86" spans="6:13">
      <c r="F86" s="38"/>
      <c r="G86" s="38"/>
      <c r="H86" s="38"/>
      <c r="I86" s="38"/>
    </row>
    <row r="87" spans="6:13">
      <c r="F87" s="38"/>
      <c r="G87" s="38"/>
      <c r="H87" s="38"/>
      <c r="I87" s="38"/>
    </row>
    <row r="88" spans="6:13">
      <c r="F88" s="38"/>
      <c r="G88" s="38"/>
      <c r="H88" s="38"/>
      <c r="I88" s="38"/>
    </row>
    <row r="89" spans="6:13">
      <c r="F89" s="38"/>
      <c r="G89" s="38"/>
      <c r="H89" s="38"/>
      <c r="I89" s="38"/>
    </row>
    <row r="90" spans="6:13">
      <c r="F90" s="38"/>
      <c r="G90" s="38"/>
      <c r="H90" s="38"/>
      <c r="I90" s="38"/>
    </row>
    <row r="91" spans="6:13">
      <c r="G91" s="38"/>
      <c r="H91" s="38"/>
      <c r="I91" s="38"/>
    </row>
    <row r="92" spans="6:13">
      <c r="G92" s="38"/>
      <c r="H92" s="38"/>
      <c r="I92" s="38"/>
    </row>
    <row r="93" spans="6:13">
      <c r="G93" s="38"/>
      <c r="H93" s="38"/>
      <c r="I93" s="38"/>
    </row>
    <row r="94" spans="6:13">
      <c r="G94" s="38"/>
      <c r="H94" s="38"/>
      <c r="I94" s="38"/>
    </row>
    <row r="95" spans="6:13">
      <c r="G95" s="38"/>
      <c r="H95" s="38"/>
      <c r="I95" s="38"/>
    </row>
    <row r="96" spans="6:13">
      <c r="G96" s="38"/>
      <c r="H96" s="38"/>
      <c r="I96" s="38"/>
    </row>
    <row r="97" spans="6:9">
      <c r="G97" s="38"/>
      <c r="H97" s="38"/>
      <c r="I97" s="38"/>
    </row>
    <row r="98" spans="6:9">
      <c r="G98" s="38"/>
      <c r="H98" s="38"/>
      <c r="I98" s="38"/>
    </row>
    <row r="99" spans="6:9">
      <c r="F99" s="38"/>
      <c r="G99" s="38"/>
      <c r="H99" s="38"/>
      <c r="I99" s="38"/>
    </row>
    <row r="100" spans="6:9">
      <c r="F100" s="38"/>
      <c r="G100" s="38"/>
      <c r="H100" s="38"/>
      <c r="I100" s="38"/>
    </row>
    <row r="101" spans="6:9">
      <c r="F101" s="38"/>
      <c r="G101" s="38"/>
      <c r="H101" s="38"/>
      <c r="I101" s="38"/>
    </row>
    <row r="102" spans="6:9">
      <c r="F102" s="38"/>
      <c r="G102" s="38"/>
      <c r="H102" s="38"/>
      <c r="I102" s="38"/>
    </row>
    <row r="103" spans="6:9">
      <c r="F103" s="38"/>
      <c r="G103" s="38"/>
      <c r="H103" s="38"/>
      <c r="I103" s="38"/>
    </row>
    <row r="104" spans="6:9">
      <c r="F104" s="38"/>
      <c r="G104" s="38"/>
      <c r="H104" s="38"/>
      <c r="I104" s="38"/>
    </row>
    <row r="105" spans="6:9">
      <c r="F105" s="38"/>
      <c r="G105" s="38"/>
      <c r="H105" s="38"/>
      <c r="I105" s="38"/>
    </row>
    <row r="106" spans="6:9">
      <c r="F106" s="38"/>
      <c r="G106" s="38"/>
      <c r="H106" s="38"/>
      <c r="I106" s="38"/>
    </row>
    <row r="107" spans="6:9">
      <c r="F107" s="38"/>
      <c r="G107" s="38"/>
      <c r="H107" s="38"/>
      <c r="I107" s="38"/>
    </row>
    <row r="108" spans="6:9">
      <c r="F108" s="38"/>
      <c r="G108" s="38"/>
      <c r="H108" s="38"/>
      <c r="I108" s="38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A855D03-7292-48B3-931F-761C75426509}">
          <x14:formula1>
            <xm:f>Data!$M$2:$M$99</xm:f>
          </x14:formula1>
          <xm:sqref>D2:D1048576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80B4A-5634-4BC1-B8DA-933803246D8B}">
  <dimension ref="A1:AD109"/>
  <sheetViews>
    <sheetView tabSelected="1" topLeftCell="G1" zoomScale="85" zoomScaleNormal="85" workbookViewId="0">
      <pane ySplit="1" topLeftCell="A2" activePane="bottomLeft" state="frozen"/>
      <selection activeCell="B1" sqref="B1"/>
      <selection pane="bottomLeft" activeCell="O11" sqref="O11"/>
    </sheetView>
  </sheetViews>
  <sheetFormatPr defaultRowHeight="15.9"/>
  <cols>
    <col min="1" max="1" width="33.35546875" style="2" bestFit="1" customWidth="1"/>
    <col min="2" max="2" width="10.42578125" style="2" bestFit="1" customWidth="1"/>
    <col min="3" max="3" width="17" style="34" bestFit="1" customWidth="1"/>
    <col min="4" max="4" width="14" style="2" customWidth="1"/>
    <col min="5" max="5" width="5.0703125" style="2" bestFit="1" customWidth="1"/>
    <col min="6" max="6" width="7.2109375" style="2" bestFit="1" customWidth="1"/>
    <col min="7" max="7" width="9.140625" style="2"/>
    <col min="8" max="8" width="12.5703125" style="2" bestFit="1" customWidth="1"/>
    <col min="9" max="9" width="70.42578125" style="2" bestFit="1" customWidth="1"/>
    <col min="10" max="10" width="6.5" style="2" customWidth="1"/>
    <col min="11" max="11" width="3.140625" style="2" customWidth="1"/>
    <col min="12" max="12" width="14.0703125" style="2" hidden="1" customWidth="1"/>
    <col min="13" max="13" width="18.5703125" style="2" bestFit="1" customWidth="1"/>
    <col min="14" max="14" width="9.640625" style="2" bestFit="1" customWidth="1"/>
    <col min="15" max="15" width="4.2109375" style="2" bestFit="1" customWidth="1"/>
    <col min="16" max="17" width="9.140625" style="2"/>
    <col min="18" max="18" width="21.35546875" style="2" bestFit="1" customWidth="1"/>
    <col min="19" max="19" width="6.140625" style="2" bestFit="1" customWidth="1"/>
    <col min="20" max="20" width="14.78515625" style="2" bestFit="1" customWidth="1"/>
    <col min="21" max="21" width="17" style="2" bestFit="1" customWidth="1"/>
    <col min="22" max="29" width="10" style="38" customWidth="1"/>
    <col min="30" max="16384" width="9.140625" style="2"/>
  </cols>
  <sheetData>
    <row r="1" spans="1:30">
      <c r="A1" s="1" t="s">
        <v>21</v>
      </c>
      <c r="B1" s="1" t="s">
        <v>22</v>
      </c>
      <c r="C1" s="36" t="s">
        <v>23</v>
      </c>
      <c r="E1" s="2" t="s">
        <v>157</v>
      </c>
      <c r="H1" s="1" t="s">
        <v>358</v>
      </c>
      <c r="I1" s="1" t="s">
        <v>56</v>
      </c>
      <c r="J1" s="1"/>
      <c r="K1" s="1"/>
      <c r="L1" s="1"/>
      <c r="M1" s="2" t="s">
        <v>360</v>
      </c>
      <c r="N1" s="2" t="s">
        <v>182</v>
      </c>
      <c r="O1" s="2" t="s">
        <v>359</v>
      </c>
      <c r="P1" s="2" t="s">
        <v>370</v>
      </c>
      <c r="R1" s="1" t="s">
        <v>274</v>
      </c>
      <c r="S1" s="1" t="s">
        <v>277</v>
      </c>
      <c r="T1" s="1" t="s">
        <v>275</v>
      </c>
      <c r="U1" s="1" t="s">
        <v>276</v>
      </c>
      <c r="V1" s="38">
        <v>1</v>
      </c>
      <c r="W1" s="38">
        <v>2</v>
      </c>
      <c r="X1" s="38">
        <v>4</v>
      </c>
      <c r="Y1" s="38">
        <v>8</v>
      </c>
      <c r="Z1" s="38">
        <v>16</v>
      </c>
      <c r="AA1" s="38">
        <v>32</v>
      </c>
      <c r="AB1" s="38">
        <v>64</v>
      </c>
      <c r="AC1" s="38">
        <v>128</v>
      </c>
    </row>
    <row r="2" spans="1:30">
      <c r="A2" s="2" t="s">
        <v>24</v>
      </c>
      <c r="B2" s="2">
        <v>15</v>
      </c>
      <c r="C2" s="34" t="s">
        <v>123</v>
      </c>
      <c r="E2" s="2">
        <f>HEX2DEC(RIGHT(C2,2)&amp;LEFT(C2,2))</f>
        <v>9</v>
      </c>
      <c r="F2" s="2" t="str">
        <f>C2&amp;DEC2HEX(B2,2)</f>
        <v>09000F</v>
      </c>
      <c r="H2" s="35" t="s">
        <v>120</v>
      </c>
      <c r="I2" s="2" t="s">
        <v>57</v>
      </c>
      <c r="M2" s="2" t="s">
        <v>361</v>
      </c>
      <c r="N2" s="2" t="s">
        <v>282</v>
      </c>
      <c r="O2" s="2">
        <v>1</v>
      </c>
      <c r="P2" s="2">
        <f>_xlfn.XLOOKUP(N2,U:U,AD:AD)</f>
        <v>1</v>
      </c>
      <c r="R2" s="2" t="s">
        <v>273</v>
      </c>
      <c r="S2" s="2">
        <v>2</v>
      </c>
      <c r="T2" s="2" t="s">
        <v>272</v>
      </c>
      <c r="U2" s="2" t="s">
        <v>160</v>
      </c>
      <c r="AD2" s="2">
        <f>HEX2DEC(U2)-HEX2DEC("330138D0")</f>
        <v>-2344</v>
      </c>
    </row>
    <row r="3" spans="1:30">
      <c r="A3" s="2" t="s">
        <v>25</v>
      </c>
      <c r="B3" s="2">
        <v>17</v>
      </c>
      <c r="C3" s="34" t="s">
        <v>124</v>
      </c>
      <c r="E3" s="2">
        <f t="shared" ref="E3:E9" si="0">HEX2DEC(RIGHT(C3,2)&amp;LEFT(C3,2))</f>
        <v>12</v>
      </c>
      <c r="F3" s="2" t="str">
        <f t="shared" ref="F3:F9" si="1">C3&amp;DEC2HEX(B3,2)</f>
        <v>0C0011</v>
      </c>
      <c r="H3" s="35" t="s">
        <v>121</v>
      </c>
      <c r="I3" s="2" t="s">
        <v>58</v>
      </c>
      <c r="M3" s="2" t="s">
        <v>285</v>
      </c>
      <c r="N3" s="2" t="s">
        <v>282</v>
      </c>
      <c r="O3" s="38">
        <v>2</v>
      </c>
      <c r="P3" s="2">
        <f t="shared" ref="P3:P66" si="2">_xlfn.XLOOKUP(N3,U:U,AD:AD)</f>
        <v>1</v>
      </c>
      <c r="R3" s="2" t="s">
        <v>278</v>
      </c>
      <c r="S3" s="2">
        <v>1</v>
      </c>
      <c r="T3" s="2" t="s">
        <v>280</v>
      </c>
      <c r="U3" s="2" t="str">
        <f t="shared" ref="U3:U9" si="3">DEC2HEX(855707908+HEX2DEC(T3),8)</f>
        <v>330138D1</v>
      </c>
      <c r="V3" s="38" t="s">
        <v>287</v>
      </c>
      <c r="W3" s="38" t="s">
        <v>285</v>
      </c>
      <c r="X3" s="38" t="s">
        <v>286</v>
      </c>
      <c r="Y3" s="38" t="s">
        <v>288</v>
      </c>
      <c r="Z3" s="38" t="s">
        <v>289</v>
      </c>
      <c r="AA3" s="38" t="s">
        <v>290</v>
      </c>
      <c r="AB3" s="38" t="s">
        <v>291</v>
      </c>
      <c r="AC3" s="38" t="s">
        <v>292</v>
      </c>
      <c r="AD3" s="2">
        <f>HEX2DEC(U3)-HEX2DEC("330138D0")</f>
        <v>1</v>
      </c>
    </row>
    <row r="4" spans="1:30">
      <c r="A4" s="2" t="s">
        <v>27</v>
      </c>
      <c r="B4" s="2">
        <v>20</v>
      </c>
      <c r="C4" s="34" t="s">
        <v>127</v>
      </c>
      <c r="E4" s="2">
        <f t="shared" si="0"/>
        <v>21</v>
      </c>
      <c r="F4" s="2" t="str">
        <f t="shared" si="1"/>
        <v>150014</v>
      </c>
      <c r="H4" s="35" t="s">
        <v>122</v>
      </c>
      <c r="I4" s="2" t="s">
        <v>59</v>
      </c>
      <c r="M4" s="2" t="s">
        <v>366</v>
      </c>
      <c r="N4" s="2" t="s">
        <v>282</v>
      </c>
      <c r="O4" s="38">
        <v>4</v>
      </c>
      <c r="P4" s="2">
        <f t="shared" si="2"/>
        <v>1</v>
      </c>
      <c r="R4" s="2" t="s">
        <v>279</v>
      </c>
      <c r="S4" s="2">
        <v>1</v>
      </c>
      <c r="T4" s="2" t="s">
        <v>281</v>
      </c>
      <c r="U4" s="2" t="str">
        <f t="shared" si="3"/>
        <v>330138D2</v>
      </c>
      <c r="V4" s="38" t="s">
        <v>293</v>
      </c>
      <c r="W4" s="38" t="s">
        <v>287</v>
      </c>
      <c r="AD4" s="2">
        <f t="shared" ref="AD4:AD15" si="4">HEX2DEC(U4)-HEX2DEC("330138D0")</f>
        <v>2</v>
      </c>
    </row>
    <row r="5" spans="1:30">
      <c r="A5" s="2" t="s">
        <v>28</v>
      </c>
      <c r="B5" s="2">
        <v>27</v>
      </c>
      <c r="C5" s="34" t="s">
        <v>129</v>
      </c>
      <c r="E5" s="2">
        <f t="shared" si="0"/>
        <v>25</v>
      </c>
      <c r="F5" s="2" t="str">
        <f t="shared" si="1"/>
        <v>19001B</v>
      </c>
      <c r="H5" s="35" t="s">
        <v>123</v>
      </c>
      <c r="I5" s="2" t="s">
        <v>60</v>
      </c>
      <c r="M5" s="2" t="s">
        <v>367</v>
      </c>
      <c r="N5" s="2" t="s">
        <v>282</v>
      </c>
      <c r="O5" s="38">
        <v>8</v>
      </c>
      <c r="P5" s="2">
        <f t="shared" si="2"/>
        <v>1</v>
      </c>
      <c r="R5" s="2" t="s">
        <v>339</v>
      </c>
      <c r="S5" s="2">
        <v>1</v>
      </c>
      <c r="T5" s="2" t="s">
        <v>307</v>
      </c>
      <c r="U5" s="2" t="str">
        <f t="shared" si="3"/>
        <v>330138E0</v>
      </c>
      <c r="AA5" s="38" t="s">
        <v>94</v>
      </c>
      <c r="AB5" s="38" t="s">
        <v>348</v>
      </c>
      <c r="AC5" s="38" t="s">
        <v>316</v>
      </c>
      <c r="AD5" s="2">
        <f t="shared" si="4"/>
        <v>16</v>
      </c>
    </row>
    <row r="6" spans="1:30">
      <c r="A6" s="2" t="s">
        <v>29</v>
      </c>
      <c r="B6" s="2">
        <v>29</v>
      </c>
      <c r="C6" s="34" t="s">
        <v>131</v>
      </c>
      <c r="E6" s="2">
        <f t="shared" si="0"/>
        <v>29</v>
      </c>
      <c r="F6" s="2" t="str">
        <f t="shared" si="1"/>
        <v>1D001D</v>
      </c>
      <c r="H6" s="35" t="s">
        <v>124</v>
      </c>
      <c r="I6" s="2" t="s">
        <v>61</v>
      </c>
      <c r="M6" s="2" t="s">
        <v>368</v>
      </c>
      <c r="N6" s="2" t="s">
        <v>282</v>
      </c>
      <c r="O6" s="38">
        <v>16</v>
      </c>
      <c r="P6" s="2">
        <f t="shared" si="2"/>
        <v>1</v>
      </c>
      <c r="R6" s="2" t="s">
        <v>340</v>
      </c>
      <c r="S6" s="2">
        <v>1</v>
      </c>
      <c r="T6" s="2" t="s">
        <v>299</v>
      </c>
      <c r="U6" s="2" t="str">
        <f t="shared" si="3"/>
        <v>330138E1</v>
      </c>
      <c r="V6" s="38" t="s">
        <v>305</v>
      </c>
      <c r="W6" s="38" t="s">
        <v>306</v>
      </c>
      <c r="X6" s="38" t="s">
        <v>309</v>
      </c>
      <c r="Y6" s="38" t="s">
        <v>303</v>
      </c>
      <c r="Z6" s="38" t="s">
        <v>302</v>
      </c>
      <c r="AA6" s="38" t="s">
        <v>304</v>
      </c>
      <c r="AB6" s="38" t="s">
        <v>311</v>
      </c>
      <c r="AC6" s="38" t="s">
        <v>310</v>
      </c>
      <c r="AD6" s="2">
        <f t="shared" si="4"/>
        <v>17</v>
      </c>
    </row>
    <row r="7" spans="1:30">
      <c r="A7" s="2" t="s">
        <v>31</v>
      </c>
      <c r="B7" s="2">
        <v>32</v>
      </c>
      <c r="C7" s="34" t="s">
        <v>132</v>
      </c>
      <c r="E7" s="2">
        <f t="shared" si="0"/>
        <v>31</v>
      </c>
      <c r="F7" s="2" t="str">
        <f t="shared" si="1"/>
        <v>1F0020</v>
      </c>
      <c r="H7" s="35" t="s">
        <v>125</v>
      </c>
      <c r="I7" s="2" t="s">
        <v>63</v>
      </c>
      <c r="M7" s="2" t="s">
        <v>365</v>
      </c>
      <c r="N7" s="2" t="s">
        <v>282</v>
      </c>
      <c r="O7" s="38">
        <v>32</v>
      </c>
      <c r="P7" s="2">
        <f t="shared" si="2"/>
        <v>1</v>
      </c>
      <c r="R7" s="2" t="s">
        <v>341</v>
      </c>
      <c r="S7" s="2">
        <v>1</v>
      </c>
      <c r="T7" s="2" t="s">
        <v>317</v>
      </c>
      <c r="U7" s="2" t="str">
        <f t="shared" si="3"/>
        <v>330138E2</v>
      </c>
      <c r="V7" s="38" t="s">
        <v>312</v>
      </c>
      <c r="W7" s="38" t="s">
        <v>308</v>
      </c>
      <c r="X7" s="38" t="s">
        <v>313</v>
      </c>
      <c r="Y7" s="38" t="s">
        <v>258</v>
      </c>
      <c r="Z7" s="38" t="s">
        <v>324</v>
      </c>
      <c r="AA7" s="38" t="s">
        <v>327</v>
      </c>
      <c r="AB7" s="38" t="s">
        <v>315</v>
      </c>
      <c r="AC7" s="38" t="s">
        <v>320</v>
      </c>
      <c r="AD7" s="2">
        <f t="shared" si="4"/>
        <v>18</v>
      </c>
    </row>
    <row r="8" spans="1:30">
      <c r="A8" s="2" t="s">
        <v>33</v>
      </c>
      <c r="B8" s="2">
        <v>37</v>
      </c>
      <c r="C8" s="34" t="s">
        <v>133</v>
      </c>
      <c r="E8" s="2">
        <f t="shared" si="0"/>
        <v>36</v>
      </c>
      <c r="F8" s="2" t="str">
        <f t="shared" si="1"/>
        <v>240025</v>
      </c>
      <c r="H8" s="35" t="s">
        <v>126</v>
      </c>
      <c r="I8" s="2" t="s">
        <v>64</v>
      </c>
      <c r="M8" s="2" t="s">
        <v>364</v>
      </c>
      <c r="N8" s="2" t="s">
        <v>282</v>
      </c>
      <c r="O8" s="38">
        <v>64</v>
      </c>
      <c r="P8" s="2">
        <f t="shared" si="2"/>
        <v>1</v>
      </c>
      <c r="R8" s="2" t="s">
        <v>342</v>
      </c>
      <c r="S8" s="2">
        <v>1</v>
      </c>
      <c r="T8" s="2" t="s">
        <v>318</v>
      </c>
      <c r="U8" s="2" t="str">
        <f t="shared" si="3"/>
        <v>330138E3</v>
      </c>
      <c r="V8" s="38" t="s">
        <v>330</v>
      </c>
      <c r="W8" s="38" t="s">
        <v>377</v>
      </c>
      <c r="X8" s="38" t="s">
        <v>325</v>
      </c>
      <c r="Y8" s="38" t="s">
        <v>380</v>
      </c>
      <c r="Z8" s="38" t="s">
        <v>329</v>
      </c>
      <c r="AA8" s="38" t="s">
        <v>384</v>
      </c>
      <c r="AB8" s="38" t="s">
        <v>331</v>
      </c>
      <c r="AD8" s="2">
        <f t="shared" si="4"/>
        <v>19</v>
      </c>
    </row>
    <row r="9" spans="1:30">
      <c r="A9" s="2" t="s">
        <v>34</v>
      </c>
      <c r="B9" s="2">
        <v>40</v>
      </c>
      <c r="C9" s="34" t="s">
        <v>135</v>
      </c>
      <c r="E9" s="2">
        <f t="shared" si="0"/>
        <v>49</v>
      </c>
      <c r="F9" s="2" t="str">
        <f t="shared" si="1"/>
        <v>310028</v>
      </c>
      <c r="H9" s="35" t="s">
        <v>127</v>
      </c>
      <c r="I9" s="2" t="s">
        <v>65</v>
      </c>
      <c r="M9" s="2" t="s">
        <v>363</v>
      </c>
      <c r="N9" s="2" t="s">
        <v>282</v>
      </c>
      <c r="O9" s="38">
        <v>128</v>
      </c>
      <c r="P9" s="2">
        <f t="shared" si="2"/>
        <v>1</v>
      </c>
      <c r="R9" s="2" t="s">
        <v>343</v>
      </c>
      <c r="S9" s="2">
        <v>1</v>
      </c>
      <c r="T9" s="3" t="s">
        <v>332</v>
      </c>
      <c r="U9" s="2" t="str">
        <f t="shared" si="3"/>
        <v>330138E4</v>
      </c>
      <c r="V9" s="38" t="s">
        <v>334</v>
      </c>
      <c r="W9" s="38" t="s">
        <v>335</v>
      </c>
      <c r="X9" s="38" t="s">
        <v>387</v>
      </c>
      <c r="Y9" s="38" t="s">
        <v>333</v>
      </c>
      <c r="AA9" s="38" t="s">
        <v>356</v>
      </c>
      <c r="AB9" s="38" t="s">
        <v>351</v>
      </c>
      <c r="AC9" s="38" t="s">
        <v>53</v>
      </c>
      <c r="AD9" s="2">
        <f t="shared" si="4"/>
        <v>20</v>
      </c>
    </row>
    <row r="10" spans="1:30">
      <c r="A10" s="2" t="s">
        <v>258</v>
      </c>
      <c r="B10" s="2">
        <v>45</v>
      </c>
      <c r="C10" s="37" t="s">
        <v>260</v>
      </c>
      <c r="E10" s="2">
        <f t="shared" ref="E10:E23" si="5">HEX2DEC(RIGHT(C10,2)&amp;LEFT(C10,2))</f>
        <v>60</v>
      </c>
      <c r="F10" s="2" t="str">
        <f t="shared" ref="F10:F23" si="6">C10&amp;DEC2HEX(B10,2)</f>
        <v>3C002D</v>
      </c>
      <c r="H10" s="35" t="s">
        <v>128</v>
      </c>
      <c r="I10" s="2" t="s">
        <v>66</v>
      </c>
      <c r="M10" s="2" t="s">
        <v>362</v>
      </c>
      <c r="N10" s="2" t="s">
        <v>283</v>
      </c>
      <c r="O10" s="38">
        <v>1</v>
      </c>
      <c r="P10" s="2">
        <f t="shared" si="2"/>
        <v>2</v>
      </c>
      <c r="R10" s="2" t="s">
        <v>344</v>
      </c>
      <c r="S10" s="2">
        <v>1</v>
      </c>
      <c r="T10" s="3" t="s">
        <v>349</v>
      </c>
      <c r="U10" s="2" t="str">
        <f t="shared" ref="U10:U15" si="7">DEC2HEX(855707908+HEX2DEC(T10),8)</f>
        <v>330138E5</v>
      </c>
      <c r="V10" s="38" t="s">
        <v>354</v>
      </c>
      <c r="W10" s="38" t="s">
        <v>352</v>
      </c>
      <c r="X10" s="38" t="s">
        <v>355</v>
      </c>
      <c r="Y10" s="38" t="s">
        <v>350</v>
      </c>
      <c r="AD10" s="2">
        <f t="shared" si="4"/>
        <v>21</v>
      </c>
    </row>
    <row r="11" spans="1:30">
      <c r="A11" s="2" t="s">
        <v>35</v>
      </c>
      <c r="B11" s="2">
        <v>50</v>
      </c>
      <c r="C11" s="34">
        <v>4700</v>
      </c>
      <c r="E11" s="2">
        <f t="shared" si="5"/>
        <v>71</v>
      </c>
      <c r="F11" s="2" t="str">
        <f t="shared" si="6"/>
        <v>470032</v>
      </c>
      <c r="H11" s="35" t="s">
        <v>129</v>
      </c>
      <c r="I11" s="2" t="s">
        <v>67</v>
      </c>
      <c r="M11" s="2" t="s">
        <v>361</v>
      </c>
      <c r="N11" s="2" t="s">
        <v>283</v>
      </c>
      <c r="O11" s="38">
        <v>2</v>
      </c>
      <c r="P11" s="2">
        <f>_xlfn.XLOOKUP(N11,U:U,AD:AD)</f>
        <v>2</v>
      </c>
      <c r="R11" s="2" t="s">
        <v>345</v>
      </c>
      <c r="S11" s="2">
        <v>1</v>
      </c>
      <c r="T11" s="2" t="s">
        <v>338</v>
      </c>
      <c r="U11" s="2" t="str">
        <f t="shared" si="7"/>
        <v>330138FD</v>
      </c>
      <c r="AB11" s="38" t="s">
        <v>46</v>
      </c>
      <c r="AD11" s="2">
        <f t="shared" si="4"/>
        <v>45</v>
      </c>
    </row>
    <row r="12" spans="1:30">
      <c r="A12" s="2" t="s">
        <v>36</v>
      </c>
      <c r="B12" s="2">
        <v>55</v>
      </c>
      <c r="C12" s="34" t="s">
        <v>261</v>
      </c>
      <c r="E12" s="2">
        <f t="shared" si="5"/>
        <v>77</v>
      </c>
      <c r="F12" s="2" t="str">
        <f t="shared" si="6"/>
        <v>4D0037</v>
      </c>
      <c r="H12" s="35" t="s">
        <v>130</v>
      </c>
      <c r="I12" s="2" t="s">
        <v>69</v>
      </c>
      <c r="L12" s="38" t="e" cm="1">
        <f t="array" aca="1" ref="L12" ca="1">_xlfn.LET(_xlpm.x,INDIRECT(ADDRESS(INT((ROW(#REF!)-12)/8)+5,MOD(ROW(#REF!)-12,8)+22)),IF(_xlpm.x=0,"",_xlpm.x))</f>
        <v>#REF!</v>
      </c>
      <c r="N12" s="2" t="s">
        <v>369</v>
      </c>
      <c r="O12" s="38">
        <v>1</v>
      </c>
      <c r="P12" s="2">
        <f t="shared" si="2"/>
        <v>16</v>
      </c>
      <c r="R12" s="2" t="s">
        <v>346</v>
      </c>
      <c r="S12" s="2">
        <v>1</v>
      </c>
      <c r="T12" s="2" t="s">
        <v>336</v>
      </c>
      <c r="U12" s="2" t="str">
        <f t="shared" si="7"/>
        <v>330138FE</v>
      </c>
      <c r="W12" s="38" t="s">
        <v>337</v>
      </c>
      <c r="Z12" s="38" t="s">
        <v>353</v>
      </c>
      <c r="AD12" s="2">
        <f t="shared" si="4"/>
        <v>46</v>
      </c>
    </row>
    <row r="13" spans="1:30">
      <c r="A13" s="2" t="s">
        <v>37</v>
      </c>
      <c r="B13" s="2">
        <v>63</v>
      </c>
      <c r="C13" s="34" t="s">
        <v>262</v>
      </c>
      <c r="E13" s="2">
        <f t="shared" si="5"/>
        <v>100</v>
      </c>
      <c r="F13" s="2" t="str">
        <f t="shared" si="6"/>
        <v>64003F</v>
      </c>
      <c r="H13" s="35" t="s">
        <v>131</v>
      </c>
      <c r="I13" s="2" t="s">
        <v>69</v>
      </c>
      <c r="L13" s="38" t="str" cm="1">
        <f t="array" aca="1" ref="L13" ca="1">_xlfn.LET(_xlpm.x,INDIRECT(ADDRESS(INT((ROW(M13)-12)/8)+5,MOD(ROW(M13)-12,8)+22)),IF(_xlpm.x=0,"",_xlpm.x))</f>
        <v/>
      </c>
      <c r="M13" s="38" t="str">
        <f t="shared" ref="M12:M75" ca="1" si="8">IF(L13="","","Fly - "&amp;L13)</f>
        <v/>
      </c>
      <c r="N13" s="2" t="s">
        <v>369</v>
      </c>
      <c r="O13" s="38">
        <v>2</v>
      </c>
      <c r="P13" s="2">
        <f t="shared" si="2"/>
        <v>16</v>
      </c>
      <c r="R13" s="2" t="s">
        <v>347</v>
      </c>
      <c r="S13" s="2">
        <v>1</v>
      </c>
      <c r="T13" s="3" t="s">
        <v>300</v>
      </c>
      <c r="U13" s="2" t="str">
        <f t="shared" si="7"/>
        <v>33013905</v>
      </c>
      <c r="W13" s="38" t="s">
        <v>322</v>
      </c>
      <c r="X13" s="38" t="s">
        <v>284</v>
      </c>
      <c r="Y13" s="38" t="s">
        <v>323</v>
      </c>
      <c r="AA13" s="38" t="s">
        <v>328</v>
      </c>
      <c r="AB13" s="38" t="s">
        <v>326</v>
      </c>
      <c r="AC13" s="38" t="s">
        <v>319</v>
      </c>
      <c r="AD13" s="2">
        <f t="shared" si="4"/>
        <v>53</v>
      </c>
    </row>
    <row r="14" spans="1:30">
      <c r="A14" s="2" t="s">
        <v>39</v>
      </c>
      <c r="B14" s="2">
        <v>65</v>
      </c>
      <c r="C14" s="34" t="s">
        <v>146</v>
      </c>
      <c r="E14" s="2">
        <f t="shared" si="5"/>
        <v>122</v>
      </c>
      <c r="F14" s="2" t="str">
        <f t="shared" si="6"/>
        <v>7A0041</v>
      </c>
      <c r="H14" s="35" t="s">
        <v>132</v>
      </c>
      <c r="I14" s="2" t="s">
        <v>70</v>
      </c>
      <c r="L14" s="38" t="str" cm="1">
        <f t="array" aca="1" ref="L14" ca="1">_xlfn.LET(_xlpm.x,INDIRECT(ADDRESS(INT((ROW(M14)-12)/8)+5,MOD(ROW(M14)-12,8)+22)),IF(_xlpm.x=0,"",_xlpm.x))</f>
        <v/>
      </c>
      <c r="M14" s="38" t="str">
        <f t="shared" ca="1" si="8"/>
        <v/>
      </c>
      <c r="N14" s="2" t="s">
        <v>369</v>
      </c>
      <c r="O14" s="38">
        <v>4</v>
      </c>
      <c r="P14" s="2">
        <f t="shared" si="2"/>
        <v>16</v>
      </c>
      <c r="R14" s="2" t="s">
        <v>357</v>
      </c>
      <c r="S14" s="2">
        <v>1</v>
      </c>
      <c r="T14" s="3" t="s">
        <v>321</v>
      </c>
      <c r="U14" s="2" t="str">
        <f t="shared" si="7"/>
        <v>33013906</v>
      </c>
      <c r="V14" s="38" t="s">
        <v>314</v>
      </c>
      <c r="AD14" s="2">
        <f t="shared" si="4"/>
        <v>54</v>
      </c>
    </row>
    <row r="15" spans="1:30">
      <c r="A15" s="2" t="s">
        <v>40</v>
      </c>
      <c r="B15" s="2">
        <v>70</v>
      </c>
      <c r="C15" s="34" t="s">
        <v>263</v>
      </c>
      <c r="E15" s="2">
        <f t="shared" si="5"/>
        <v>129</v>
      </c>
      <c r="F15" s="2" t="str">
        <f t="shared" si="6"/>
        <v>810046</v>
      </c>
      <c r="H15" s="35" t="s">
        <v>133</v>
      </c>
      <c r="I15" s="2" t="s">
        <v>71</v>
      </c>
      <c r="L15" s="38" t="str" cm="1">
        <f t="array" aca="1" ref="L15" ca="1">_xlfn.LET(_xlpm.x,INDIRECT(ADDRESS(INT((ROW(M15)-12)/8)+5,MOD(ROW(M15)-12,8)+22)),IF(_xlpm.x=0,"",_xlpm.x))</f>
        <v/>
      </c>
      <c r="M15" s="38" t="str">
        <f t="shared" ca="1" si="8"/>
        <v/>
      </c>
      <c r="N15" s="2" t="s">
        <v>369</v>
      </c>
      <c r="O15" s="38">
        <v>8</v>
      </c>
      <c r="P15" s="2">
        <f t="shared" si="2"/>
        <v>16</v>
      </c>
      <c r="R15" s="2" t="s">
        <v>295</v>
      </c>
      <c r="S15" s="2">
        <v>1</v>
      </c>
      <c r="T15" s="3" t="s">
        <v>301</v>
      </c>
      <c r="U15" s="2" t="str">
        <f t="shared" si="7"/>
        <v>3301390C</v>
      </c>
      <c r="W15" s="38" t="s">
        <v>297</v>
      </c>
      <c r="X15" s="38" t="s">
        <v>298</v>
      </c>
      <c r="Y15" s="38" t="s">
        <v>294</v>
      </c>
      <c r="Z15" s="38" t="s">
        <v>296</v>
      </c>
      <c r="AD15" s="2">
        <f t="shared" si="4"/>
        <v>60</v>
      </c>
    </row>
    <row r="16" spans="1:30">
      <c r="A16" s="2" t="s">
        <v>42</v>
      </c>
      <c r="B16" s="2">
        <v>72</v>
      </c>
      <c r="C16" s="34" t="s">
        <v>264</v>
      </c>
      <c r="E16" s="2">
        <f t="shared" si="5"/>
        <v>145</v>
      </c>
      <c r="F16" s="2" t="str">
        <f t="shared" si="6"/>
        <v>910048</v>
      </c>
      <c r="H16" s="35" t="s">
        <v>134</v>
      </c>
      <c r="I16" s="2" t="s">
        <v>73</v>
      </c>
      <c r="L16" s="38" t="str" cm="1">
        <f t="array" aca="1" ref="L16" ca="1">_xlfn.LET(_xlpm.x,INDIRECT(ADDRESS(INT((ROW(M16)-12)/8)+5,MOD(ROW(M16)-12,8)+22)),IF(_xlpm.x=0,"",_xlpm.x))</f>
        <v/>
      </c>
      <c r="M16" s="38" t="str">
        <f t="shared" ca="1" si="8"/>
        <v/>
      </c>
      <c r="N16" s="2" t="s">
        <v>369</v>
      </c>
      <c r="O16" s="38">
        <v>16</v>
      </c>
      <c r="P16" s="2">
        <f t="shared" si="2"/>
        <v>16</v>
      </c>
    </row>
    <row r="17" spans="1:16">
      <c r="A17" s="2" t="s">
        <v>44</v>
      </c>
      <c r="B17" s="2">
        <v>75</v>
      </c>
      <c r="C17" s="34" t="s">
        <v>265</v>
      </c>
      <c r="E17" s="2">
        <f t="shared" si="5"/>
        <v>154</v>
      </c>
      <c r="F17" s="2" t="str">
        <f t="shared" si="6"/>
        <v>9A004B</v>
      </c>
      <c r="H17" s="35" t="s">
        <v>135</v>
      </c>
      <c r="I17" s="2" t="s">
        <v>74</v>
      </c>
      <c r="L17" s="38" t="str" cm="1">
        <f t="array" aca="1" ref="L17" ca="1">_xlfn.LET(_xlpm.x,INDIRECT(ADDRESS(INT((ROW(M17)-12)/8)+5,MOD(ROW(M17)-12,8)+22)),IF(_xlpm.x=0,"",_xlpm.x))</f>
        <v>Pokemon League</v>
      </c>
      <c r="M17" s="38" t="str">
        <f t="shared" ca="1" si="8"/>
        <v>Fly - Pokemon League</v>
      </c>
      <c r="N17" s="2" t="s">
        <v>369</v>
      </c>
      <c r="O17" s="38">
        <v>32</v>
      </c>
      <c r="P17" s="2">
        <f t="shared" si="2"/>
        <v>16</v>
      </c>
    </row>
    <row r="18" spans="1:16">
      <c r="A18" s="2" t="s">
        <v>45</v>
      </c>
      <c r="B18" s="2">
        <v>80</v>
      </c>
      <c r="C18" s="34" t="s">
        <v>266</v>
      </c>
      <c r="E18" s="2">
        <f t="shared" si="5"/>
        <v>162</v>
      </c>
      <c r="F18" s="2" t="str">
        <f t="shared" si="6"/>
        <v>A20050</v>
      </c>
      <c r="H18" s="35" t="s">
        <v>136</v>
      </c>
      <c r="I18" s="2" t="s">
        <v>75</v>
      </c>
      <c r="L18" s="38" t="str" cm="1">
        <f t="array" aca="1" ref="L18" ca="1">_xlfn.LET(_xlpm.x,INDIRECT(ADDRESS(INT((ROW(M18)-12)/8)+5,MOD(ROW(M18)-12,8)+22)),IF(_xlpm.x=0,"",_xlpm.x))</f>
        <v>Ruins of Abundance</v>
      </c>
      <c r="M18" s="38" t="str">
        <f t="shared" ca="1" si="8"/>
        <v>Fly - Ruins of Abundance</v>
      </c>
      <c r="N18" s="2" t="s">
        <v>369</v>
      </c>
      <c r="O18" s="38">
        <v>64</v>
      </c>
      <c r="P18" s="2">
        <f t="shared" si="2"/>
        <v>16</v>
      </c>
    </row>
    <row r="19" spans="1:16">
      <c r="A19" s="2" t="s">
        <v>46</v>
      </c>
      <c r="B19" s="2">
        <v>85</v>
      </c>
      <c r="C19" s="34" t="s">
        <v>267</v>
      </c>
      <c r="E19" s="2">
        <f t="shared" si="5"/>
        <v>170</v>
      </c>
      <c r="F19" s="2" t="str">
        <f t="shared" si="6"/>
        <v>AA0055</v>
      </c>
      <c r="H19" s="35" t="s">
        <v>137</v>
      </c>
      <c r="I19" s="2" t="s">
        <v>77</v>
      </c>
      <c r="L19" s="38" t="str" cm="1">
        <f t="array" aca="1" ref="L19" ca="1">_xlfn.LET(_xlpm.x,INDIRECT(ADDRESS(INT((ROW(M19)-12)/8)+5,MOD(ROW(M19)-12,8)+22)),IF(_xlpm.x=0,"",_xlpm.x))</f>
        <v>Paniola Ranch</v>
      </c>
      <c r="M19" s="38" t="str">
        <f t="shared" ca="1" si="8"/>
        <v>Fly - Paniola Ranch</v>
      </c>
      <c r="N19" s="2" t="s">
        <v>369</v>
      </c>
      <c r="O19" s="38">
        <v>128</v>
      </c>
      <c r="P19" s="2">
        <f t="shared" si="2"/>
        <v>16</v>
      </c>
    </row>
    <row r="20" spans="1:16">
      <c r="A20" s="2" t="s">
        <v>48</v>
      </c>
      <c r="B20" s="2">
        <v>87</v>
      </c>
      <c r="C20" s="34" t="s">
        <v>268</v>
      </c>
      <c r="E20" s="2">
        <f t="shared" si="5"/>
        <v>186</v>
      </c>
      <c r="F20" s="2" t="str">
        <f t="shared" si="6"/>
        <v>BA0057</v>
      </c>
      <c r="H20" s="35" t="s">
        <v>138</v>
      </c>
      <c r="I20" s="2" t="s">
        <v>78</v>
      </c>
      <c r="L20" s="38" t="str" cm="1">
        <f t="array" aca="1" ref="L20" ca="1">_xlfn.LET(_xlpm.x,INDIRECT(ADDRESS(INT((ROW(M20)-12)/8)+5,MOD(ROW(M20)-12,8)+22)),IF(_xlpm.x=0,"",_xlpm.x))</f>
        <v>Route 1</v>
      </c>
      <c r="M20" s="38" t="str">
        <f t="shared" ca="1" si="8"/>
        <v>Fly - Route 1</v>
      </c>
      <c r="N20" s="38" t="str" cm="1">
        <f t="array" aca="1" ref="N20" ca="1">INDIRECT(ADDRESS(INT((ROW(N20)-12)/8)+5,21))</f>
        <v>330138E1</v>
      </c>
      <c r="O20" s="38">
        <v>1</v>
      </c>
      <c r="P20" s="2">
        <f t="shared" ca="1" si="2"/>
        <v>17</v>
      </c>
    </row>
    <row r="21" spans="1:16">
      <c r="A21" s="2" t="s">
        <v>49</v>
      </c>
      <c r="B21" s="2">
        <v>90</v>
      </c>
      <c r="C21" s="34" t="s">
        <v>269</v>
      </c>
      <c r="E21" s="2">
        <f t="shared" si="5"/>
        <v>202</v>
      </c>
      <c r="F21" s="2" t="str">
        <f t="shared" si="6"/>
        <v>CA005A</v>
      </c>
      <c r="H21" s="35" t="s">
        <v>139</v>
      </c>
      <c r="I21" s="2" t="s">
        <v>79</v>
      </c>
      <c r="L21" s="38" t="str" cm="1">
        <f t="array" aca="1" ref="L21" ca="1">_xlfn.LET(_xlpm.x,INDIRECT(ADDRESS(INT((ROW(M21)-12)/8)+5,MOD(ROW(M21)-12,8)+22)),IF(_xlpm.x=0,"",_xlpm.x))</f>
        <v>Hau'oli City</v>
      </c>
      <c r="M21" s="38" t="str">
        <f t="shared" ca="1" si="8"/>
        <v>Fly - Hau'oli City</v>
      </c>
      <c r="N21" s="38" t="str" cm="1">
        <f t="array" aca="1" ref="N21" ca="1">INDIRECT(ADDRESS(INT((ROW(N21)-12)/8)+5,21))</f>
        <v>330138E1</v>
      </c>
      <c r="O21" s="38">
        <v>2</v>
      </c>
      <c r="P21" s="2">
        <f t="shared" ca="1" si="2"/>
        <v>17</v>
      </c>
    </row>
    <row r="22" spans="1:16">
      <c r="A22" s="2" t="s">
        <v>51</v>
      </c>
      <c r="B22" s="2">
        <v>96</v>
      </c>
      <c r="C22" s="34" t="s">
        <v>259</v>
      </c>
      <c r="E22" s="2">
        <f t="shared" si="5"/>
        <v>204</v>
      </c>
      <c r="F22" s="2" t="str">
        <f t="shared" si="6"/>
        <v>CC0060</v>
      </c>
      <c r="H22" s="35" t="s">
        <v>140</v>
      </c>
      <c r="I22" s="2" t="s">
        <v>80</v>
      </c>
      <c r="L22" s="38" t="str" cm="1">
        <f t="array" aca="1" ref="L22" ca="1">_xlfn.LET(_xlpm.x,INDIRECT(ADDRESS(INT((ROW(M22)-12)/8)+5,MOD(ROW(M22)-12,8)+22)),IF(_xlpm.x=0,"",_xlpm.x))</f>
        <v>Route 2</v>
      </c>
      <c r="M22" s="38" t="str">
        <f t="shared" ca="1" si="8"/>
        <v>Fly - Route 2</v>
      </c>
      <c r="N22" s="38" t="str" cm="1">
        <f t="array" aca="1" ref="N22" ca="1">INDIRECT(ADDRESS(INT((ROW(N22)-12)/8)+5,21))</f>
        <v>330138E1</v>
      </c>
      <c r="O22" s="38">
        <v>4</v>
      </c>
      <c r="P22" s="2">
        <f t="shared" ca="1" si="2"/>
        <v>17</v>
      </c>
    </row>
    <row r="23" spans="1:16">
      <c r="A23" s="2" t="s">
        <v>53</v>
      </c>
      <c r="B23" s="2">
        <v>100</v>
      </c>
      <c r="C23" s="34" t="s">
        <v>270</v>
      </c>
      <c r="E23" s="2">
        <f t="shared" si="5"/>
        <v>222</v>
      </c>
      <c r="F23" s="2" t="str">
        <f t="shared" si="6"/>
        <v>DE0064</v>
      </c>
      <c r="H23" s="35" t="s">
        <v>141</v>
      </c>
      <c r="I23" s="2" t="s">
        <v>80</v>
      </c>
      <c r="L23" s="38" t="str" cm="1">
        <f t="array" aca="1" ref="L23" ca="1">_xlfn.LET(_xlpm.x,INDIRECT(ADDRESS(INT((ROW(M23)-12)/8)+5,MOD(ROW(M23)-12,8)+22)),IF(_xlpm.x=0,"",_xlpm.x))</f>
        <v>Iki Town</v>
      </c>
      <c r="M23" s="38" t="str">
        <f t="shared" ca="1" si="8"/>
        <v>Fly - Iki Town</v>
      </c>
      <c r="N23" s="38" t="str" cm="1">
        <f t="array" aca="1" ref="N23" ca="1">INDIRECT(ADDRESS(INT((ROW(N23)-12)/8)+5,21))</f>
        <v>330138E1</v>
      </c>
      <c r="O23" s="38">
        <v>8</v>
      </c>
      <c r="P23" s="2">
        <f t="shared" ca="1" si="2"/>
        <v>17</v>
      </c>
    </row>
    <row r="24" spans="1:16">
      <c r="H24" s="35" t="s">
        <v>142</v>
      </c>
      <c r="I24" s="2" t="s">
        <v>80</v>
      </c>
      <c r="L24" s="38" t="str" cm="1">
        <f t="array" aca="1" ref="L24" ca="1">_xlfn.LET(_xlpm.x,INDIRECT(ADDRESS(INT((ROW(M24)-12)/8)+5,MOD(ROW(M24)-12,8)+22)),IF(_xlpm.x=0,"",_xlpm.x))</f>
        <v>Your House</v>
      </c>
      <c r="M24" s="38" t="str">
        <f t="shared" ca="1" si="8"/>
        <v>Fly - Your House</v>
      </c>
      <c r="N24" s="38" t="str" cm="1">
        <f t="array" aca="1" ref="N24" ca="1">INDIRECT(ADDRESS(INT((ROW(N24)-12)/8)+5,21))</f>
        <v>330138E1</v>
      </c>
      <c r="O24" s="38">
        <v>16</v>
      </c>
      <c r="P24" s="2">
        <f t="shared" ca="1" si="2"/>
        <v>17</v>
      </c>
    </row>
    <row r="25" spans="1:16">
      <c r="H25" s="35" t="s">
        <v>143</v>
      </c>
      <c r="I25" s="2" t="s">
        <v>80</v>
      </c>
      <c r="L25" s="38" t="str" cm="1">
        <f t="array" aca="1" ref="L25" ca="1">_xlfn.LET(_xlpm.x,INDIRECT(ADDRESS(INT((ROW(M25)-12)/8)+5,MOD(ROW(M25)-12,8)+22)),IF(_xlpm.x=0,"",_xlpm.x))</f>
        <v>Ten Carat Hill</v>
      </c>
      <c r="M25" s="38" t="str">
        <f t="shared" ca="1" si="8"/>
        <v>Fly - Ten Carat Hill</v>
      </c>
      <c r="N25" s="38" t="str" cm="1">
        <f t="array" aca="1" ref="N25" ca="1">INDIRECT(ADDRESS(INT((ROW(N25)-12)/8)+5,21))</f>
        <v>330138E1</v>
      </c>
      <c r="O25" s="38">
        <v>32</v>
      </c>
      <c r="P25" s="2">
        <f t="shared" ca="1" si="2"/>
        <v>17</v>
      </c>
    </row>
    <row r="26" spans="1:16">
      <c r="H26" s="35" t="s">
        <v>144</v>
      </c>
      <c r="I26" s="2" t="s">
        <v>81</v>
      </c>
      <c r="L26" s="38" t="str" cm="1">
        <f t="array" aca="1" ref="L26" ca="1">_xlfn.LET(_xlpm.x,INDIRECT(ADDRESS(INT((ROW(M26)-12)/8)+5,MOD(ROW(M26)-12,8)+22)),IF(_xlpm.x=0,"",_xlpm.x))</f>
        <v>Melemele Meadow</v>
      </c>
      <c r="M26" s="38" t="str">
        <f t="shared" ca="1" si="8"/>
        <v>Fly - Melemele Meadow</v>
      </c>
      <c r="N26" s="38" t="str" cm="1">
        <f t="array" aca="1" ref="N26" ca="1">INDIRECT(ADDRESS(INT((ROW(N26)-12)/8)+5,21))</f>
        <v>330138E1</v>
      </c>
      <c r="O26" s="38">
        <v>64</v>
      </c>
      <c r="P26" s="2">
        <f t="shared" ca="1" si="2"/>
        <v>17</v>
      </c>
    </row>
    <row r="27" spans="1:16">
      <c r="H27" s="35" t="s">
        <v>145</v>
      </c>
      <c r="I27" s="2" t="s">
        <v>82</v>
      </c>
      <c r="L27" s="38" t="str" cm="1">
        <f t="array" aca="1" ref="L27" ca="1">_xlfn.LET(_xlpm.x,INDIRECT(ADDRESS(INT((ROW(M27)-12)/8)+5,MOD(ROW(M27)-12,8)+22)),IF(_xlpm.x=0,"",_xlpm.x))</f>
        <v>Verdant Cave</v>
      </c>
      <c r="M27" s="38" t="str">
        <f t="shared" ca="1" si="8"/>
        <v>Fly - Verdant Cave</v>
      </c>
      <c r="N27" s="38" t="str" cm="1">
        <f t="array" aca="1" ref="N27" ca="1">INDIRECT(ADDRESS(INT((ROW(N27)-12)/8)+5,21))</f>
        <v>330138E1</v>
      </c>
      <c r="O27" s="38">
        <v>128</v>
      </c>
      <c r="P27" s="2">
        <f t="shared" ca="1" si="2"/>
        <v>17</v>
      </c>
    </row>
    <row r="28" spans="1:16">
      <c r="H28" s="35" t="s">
        <v>146</v>
      </c>
      <c r="I28" s="2" t="s">
        <v>83</v>
      </c>
      <c r="L28" s="38" t="str" cm="1">
        <f t="array" aca="1" ref="L28" ca="1">_xlfn.LET(_xlpm.x,INDIRECT(ADDRESS(INT((ROW(M28)-12)/8)+5,MOD(ROW(M28)-12,8)+22)),IF(_xlpm.x=0,"",_xlpm.x))</f>
        <v>Ruins of Conflict</v>
      </c>
      <c r="M28" s="38" t="str">
        <f t="shared" ca="1" si="8"/>
        <v>Fly - Ruins of Conflict</v>
      </c>
      <c r="N28" s="38" t="str" cm="1">
        <f t="array" aca="1" ref="N28" ca="1">INDIRECT(ADDRESS(INT((ROW(N28)-12)/8)+5,21))</f>
        <v>330138E2</v>
      </c>
      <c r="O28" s="38">
        <f>O20</f>
        <v>1</v>
      </c>
      <c r="P28" s="2">
        <f t="shared" ca="1" si="2"/>
        <v>18</v>
      </c>
    </row>
    <row r="29" spans="1:16">
      <c r="H29" s="35" t="s">
        <v>147</v>
      </c>
      <c r="I29" s="2" t="s">
        <v>85</v>
      </c>
      <c r="L29" s="38" t="str" cm="1">
        <f t="array" aca="1" ref="L29" ca="1">_xlfn.LET(_xlpm.x,INDIRECT(ADDRESS(INT((ROW(M29)-12)/8)+5,MOD(ROW(M29)-12,8)+22)),IF(_xlpm.x=0,"",_xlpm.x))</f>
        <v>Hau'oli Cemetery</v>
      </c>
      <c r="M29" s="38" t="str">
        <f t="shared" ca="1" si="8"/>
        <v>Fly - Hau'oli Cemetery</v>
      </c>
      <c r="N29" s="38" t="str" cm="1">
        <f t="array" aca="1" ref="N29" ca="1">INDIRECT(ADDRESS(INT((ROW(N29)-12)/8)+5,21))</f>
        <v>330138E2</v>
      </c>
      <c r="O29" s="38">
        <f t="shared" ref="O29:O92" si="9">O21</f>
        <v>2</v>
      </c>
      <c r="P29" s="2">
        <f t="shared" ca="1" si="2"/>
        <v>18</v>
      </c>
    </row>
    <row r="30" spans="1:16">
      <c r="H30" s="35" t="s">
        <v>148</v>
      </c>
      <c r="I30" s="2" t="s">
        <v>86</v>
      </c>
      <c r="L30" s="38" t="str" cm="1">
        <f t="array" aca="1" ref="L30" ca="1">_xlfn.LET(_xlpm.x,INDIRECT(ADDRESS(INT((ROW(M30)-12)/8)+5,MOD(ROW(M30)-12,8)+22)),IF(_xlpm.x=0,"",_xlpm.x))</f>
        <v>Heahea City</v>
      </c>
      <c r="M30" s="38" t="str">
        <f t="shared" ca="1" si="8"/>
        <v>Fly - Heahea City</v>
      </c>
      <c r="N30" s="38" t="str" cm="1">
        <f t="array" aca="1" ref="N30" ca="1">INDIRECT(ADDRESS(INT((ROW(N30)-12)/8)+5,21))</f>
        <v>330138E2</v>
      </c>
      <c r="O30" s="38">
        <f t="shared" si="9"/>
        <v>4</v>
      </c>
      <c r="P30" s="2">
        <f t="shared" ca="1" si="2"/>
        <v>18</v>
      </c>
    </row>
    <row r="31" spans="1:16">
      <c r="H31" s="35" t="s">
        <v>149</v>
      </c>
      <c r="I31" s="2" t="s">
        <v>87</v>
      </c>
      <c r="L31" s="38" t="str" cm="1">
        <f t="array" aca="1" ref="L31" ca="1">_xlfn.LET(_xlpm.x,INDIRECT(ADDRESS(INT((ROW(M31)-12)/8)+5,MOD(ROW(M31)-12,8)+22)),IF(_xlpm.x=0,"",_xlpm.x))</f>
        <v>Royal Avenue</v>
      </c>
      <c r="M31" s="38" t="str">
        <f t="shared" ca="1" si="8"/>
        <v>Fly - Royal Avenue</v>
      </c>
      <c r="N31" s="38" t="str" cm="1">
        <f t="array" aca="1" ref="N31" ca="1">INDIRECT(ADDRESS(INT((ROW(N31)-12)/8)+5,21))</f>
        <v>330138E2</v>
      </c>
      <c r="O31" s="38">
        <f t="shared" si="9"/>
        <v>8</v>
      </c>
      <c r="P31" s="2">
        <f t="shared" ca="1" si="2"/>
        <v>18</v>
      </c>
    </row>
    <row r="32" spans="1:16">
      <c r="H32" s="35" t="s">
        <v>150</v>
      </c>
      <c r="I32" s="2" t="s">
        <v>88</v>
      </c>
      <c r="L32" s="38" t="str" cm="1">
        <f t="array" aca="1" ref="L32" ca="1">_xlfn.LET(_xlpm.x,INDIRECT(ADDRESS(INT((ROW(M32)-12)/8)+5,MOD(ROW(M32)-12,8)+22)),IF(_xlpm.x=0,"",_xlpm.x))</f>
        <v>Route 8</v>
      </c>
      <c r="M32" s="38" t="str">
        <f t="shared" ca="1" si="8"/>
        <v>Fly - Route 8</v>
      </c>
      <c r="N32" s="38" t="str" cm="1">
        <f t="array" aca="1" ref="N32" ca="1">INDIRECT(ADDRESS(INT((ROW(N32)-12)/8)+5,21))</f>
        <v>330138E2</v>
      </c>
      <c r="O32" s="38">
        <f t="shared" si="9"/>
        <v>16</v>
      </c>
      <c r="P32" s="2">
        <f t="shared" ca="1" si="2"/>
        <v>18</v>
      </c>
    </row>
    <row r="33" spans="8:16">
      <c r="H33" s="35" t="s">
        <v>151</v>
      </c>
      <c r="I33" s="2" t="s">
        <v>89</v>
      </c>
      <c r="L33" s="38" t="str" cm="1">
        <f t="array" aca="1" ref="L33" ca="1">_xlfn.LET(_xlpm.x,INDIRECT(ADDRESS(INT((ROW(M33)-12)/8)+5,MOD(ROW(M33)-12,8)+22)),IF(_xlpm.x=0,"",_xlpm.x))</f>
        <v>Konikoni City</v>
      </c>
      <c r="M33" s="38" t="str">
        <f t="shared" ca="1" si="8"/>
        <v>Fly - Konikoni City</v>
      </c>
      <c r="N33" s="38" t="str" cm="1">
        <f t="array" aca="1" ref="N33" ca="1">INDIRECT(ADDRESS(INT((ROW(N33)-12)/8)+5,21))</f>
        <v>330138E2</v>
      </c>
      <c r="O33" s="38">
        <f t="shared" si="9"/>
        <v>32</v>
      </c>
      <c r="P33" s="2">
        <f t="shared" ca="1" si="2"/>
        <v>18</v>
      </c>
    </row>
    <row r="34" spans="8:16">
      <c r="H34" s="35" t="s">
        <v>152</v>
      </c>
      <c r="I34" s="2" t="s">
        <v>90</v>
      </c>
      <c r="L34" s="38" t="str" cm="1">
        <f t="array" aca="1" ref="L34" ca="1">_xlfn.LET(_xlpm.x,INDIRECT(ADDRESS(INT((ROW(M34)-12)/8)+5,MOD(ROW(M34)-12,8)+22)),IF(_xlpm.x=0,"",_xlpm.x))</f>
        <v>Paniola Town</v>
      </c>
      <c r="M34" s="38" t="str">
        <f t="shared" ca="1" si="8"/>
        <v>Fly - Paniola Town</v>
      </c>
      <c r="N34" s="38" t="str" cm="1">
        <f t="array" aca="1" ref="N34" ca="1">INDIRECT(ADDRESS(INT((ROW(N34)-12)/8)+5,21))</f>
        <v>330138E2</v>
      </c>
      <c r="O34" s="38">
        <f t="shared" si="9"/>
        <v>64</v>
      </c>
      <c r="P34" s="2">
        <f t="shared" ca="1" si="2"/>
        <v>18</v>
      </c>
    </row>
    <row r="35" spans="8:16">
      <c r="H35" s="35" t="s">
        <v>153</v>
      </c>
      <c r="I35" s="2" t="s">
        <v>91</v>
      </c>
      <c r="L35" s="38" t="str" cm="1">
        <f t="array" aca="1" ref="L35" ca="1">_xlfn.LET(_xlpm.x,INDIRECT(ADDRESS(INT((ROW(M35)-12)/8)+5,MOD(ROW(M35)-12,8)+22)),IF(_xlpm.x=0,"",_xlpm.x))</f>
        <v>Battle Royale Dome</v>
      </c>
      <c r="M35" s="38" t="str">
        <f t="shared" ca="1" si="8"/>
        <v>Fly - Battle Royale Dome</v>
      </c>
      <c r="N35" s="38" t="str" cm="1">
        <f t="array" aca="1" ref="N35" ca="1">INDIRECT(ADDRESS(INT((ROW(N35)-12)/8)+5,21))</f>
        <v>330138E2</v>
      </c>
      <c r="O35" s="38">
        <f t="shared" si="9"/>
        <v>128</v>
      </c>
      <c r="P35" s="2">
        <f t="shared" ca="1" si="2"/>
        <v>18</v>
      </c>
    </row>
    <row r="36" spans="8:16">
      <c r="H36" s="35" t="s">
        <v>154</v>
      </c>
      <c r="I36" s="2" t="s">
        <v>53</v>
      </c>
      <c r="L36" s="38" t="str" cm="1">
        <f t="array" aca="1" ref="L36" ca="1">_xlfn.LET(_xlpm.x,INDIRECT(ADDRESS(INT((ROW(M36)-12)/8)+5,MOD(ROW(M36)-12,8)+22)),IF(_xlpm.x=0,"",_xlpm.x))</f>
        <v>Hano Grand Resort</v>
      </c>
      <c r="M36" s="38" t="str">
        <f t="shared" ca="1" si="8"/>
        <v>Fly - Hano Grand Resort</v>
      </c>
      <c r="N36" s="38" t="str" cm="1">
        <f t="array" aca="1" ref="N36" ca="1">INDIRECT(ADDRESS(INT((ROW(N36)-12)/8)+5,21))</f>
        <v>330138E3</v>
      </c>
      <c r="O36" s="38">
        <f t="shared" si="9"/>
        <v>1</v>
      </c>
      <c r="P36" s="2">
        <f t="shared" ca="1" si="2"/>
        <v>19</v>
      </c>
    </row>
    <row r="37" spans="8:16">
      <c r="H37" s="35" t="s">
        <v>155</v>
      </c>
      <c r="I37" s="2" t="s">
        <v>93</v>
      </c>
      <c r="L37" s="38" t="str" cm="1">
        <f t="array" aca="1" ref="L37" ca="1">_xlfn.LET(_xlpm.x,INDIRECT(ADDRESS(INT((ROW(M37)-12)/8)+5,MOD(ROW(M37)-12,8)+22)),IF(_xlpm.x=0,"",_xlpm.x))</f>
        <v>Route 5/Brooklet Hill</v>
      </c>
      <c r="M37" s="38" t="str">
        <f t="shared" ca="1" si="8"/>
        <v>Fly - Route 5/Brooklet Hill</v>
      </c>
      <c r="N37" s="38" t="str" cm="1">
        <f t="array" aca="1" ref="N37" ca="1">INDIRECT(ADDRESS(INT((ROW(N37)-12)/8)+5,21))</f>
        <v>330138E3</v>
      </c>
      <c r="O37" s="38">
        <f t="shared" si="9"/>
        <v>2</v>
      </c>
      <c r="P37" s="2">
        <f t="shared" ca="1" si="2"/>
        <v>19</v>
      </c>
    </row>
    <row r="38" spans="8:16">
      <c r="H38" s="35" t="s">
        <v>156</v>
      </c>
      <c r="I38" s="2" t="s">
        <v>94</v>
      </c>
      <c r="L38" s="38" t="str" cm="1">
        <f t="array" aca="1" ref="L38" ca="1">_xlfn.LET(_xlpm.x,INDIRECT(ADDRESS(INT((ROW(M38)-12)/8)+5,MOD(ROW(M38)-12,8)+22)),IF(_xlpm.x=0,"",_xlpm.x))</f>
        <v>Lush Jungle</v>
      </c>
      <c r="M38" s="38" t="str">
        <f t="shared" ca="1" si="8"/>
        <v>Fly - Lush Jungle</v>
      </c>
      <c r="N38" s="38" t="str" cm="1">
        <f t="array" aca="1" ref="N38" ca="1">INDIRECT(ADDRESS(INT((ROW(N38)-12)/8)+5,21))</f>
        <v>330138E3</v>
      </c>
      <c r="O38" s="38">
        <f t="shared" si="9"/>
        <v>4</v>
      </c>
      <c r="P38" s="2">
        <f t="shared" ca="1" si="2"/>
        <v>19</v>
      </c>
    </row>
    <row r="39" spans="8:16">
      <c r="H39" s="35"/>
      <c r="L39" s="38" t="str" cm="1">
        <f t="array" aca="1" ref="L39" ca="1">_xlfn.LET(_xlpm.x,INDIRECT(ADDRESS(INT((ROW(M39)-12)/8)+5,MOD(ROW(M39)-12,8)+22)),IF(_xlpm.x=0,"",_xlpm.x))</f>
        <v>Route 7/Wela Volcano Park</v>
      </c>
      <c r="M39" s="38" t="str">
        <f t="shared" ca="1" si="8"/>
        <v>Fly - Route 7/Wela Volcano Park</v>
      </c>
      <c r="N39" s="38" t="str" cm="1">
        <f t="array" aca="1" ref="N39" ca="1">INDIRECT(ADDRESS(INT((ROW(N39)-12)/8)+5,21))</f>
        <v>330138E3</v>
      </c>
      <c r="O39" s="38">
        <f t="shared" si="9"/>
        <v>8</v>
      </c>
      <c r="P39" s="2">
        <f t="shared" ca="1" si="2"/>
        <v>19</v>
      </c>
    </row>
    <row r="40" spans="8:16">
      <c r="H40" s="35"/>
      <c r="L40" s="38" t="str" cm="1">
        <f t="array" aca="1" ref="L40" ca="1">_xlfn.LET(_xlpm.x,INDIRECT(ADDRESS(INT((ROW(M40)-12)/8)+5,MOD(ROW(M40)-12,8)+22)),IF(_xlpm.x=0,"",_xlpm.x))</f>
        <v>Ruins of Life</v>
      </c>
      <c r="M40" s="38" t="str">
        <f t="shared" ca="1" si="8"/>
        <v>Fly - Ruins of Life</v>
      </c>
      <c r="N40" s="38" t="str" cm="1">
        <f t="array" aca="1" ref="N40" ca="1">INDIRECT(ADDRESS(INT((ROW(N40)-12)/8)+5,21))</f>
        <v>330138E3</v>
      </c>
      <c r="O40" s="38">
        <f t="shared" si="9"/>
        <v>16</v>
      </c>
      <c r="P40" s="2">
        <f t="shared" ca="1" si="2"/>
        <v>19</v>
      </c>
    </row>
    <row r="41" spans="8:16">
      <c r="H41" s="35"/>
      <c r="L41" s="38" t="str" cm="1">
        <f t="array" aca="1" ref="L41" ca="1">_xlfn.LET(_xlpm.x,INDIRECT(ADDRESS(INT((ROW(M41)-12)/8)+5,MOD(ROW(M41)-12,8)+22)),IF(_xlpm.x=0,"",_xlpm.x))</f>
        <v>Route 9/Memorial Hill</v>
      </c>
      <c r="M41" s="38" t="str">
        <f t="shared" ca="1" si="8"/>
        <v>Fly - Route 9/Memorial Hill</v>
      </c>
      <c r="N41" s="38" t="str" cm="1">
        <f t="array" aca="1" ref="N41" ca="1">INDIRECT(ADDRESS(INT((ROW(N41)-12)/8)+5,21))</f>
        <v>330138E3</v>
      </c>
      <c r="O41" s="38">
        <f t="shared" si="9"/>
        <v>32</v>
      </c>
      <c r="P41" s="2">
        <f t="shared" ca="1" si="2"/>
        <v>19</v>
      </c>
    </row>
    <row r="42" spans="8:16">
      <c r="H42" s="35"/>
      <c r="L42" s="38" t="str" cm="1">
        <f t="array" aca="1" ref="L42" ca="1">_xlfn.LET(_xlpm.x,INDIRECT(ADDRESS(INT((ROW(M42)-12)/8)+5,MOD(ROW(M42)-12,8)+22)),IF(_xlpm.x=0,"",_xlpm.x))</f>
        <v>Malie City</v>
      </c>
      <c r="M42" s="38" t="str">
        <f t="shared" ca="1" si="8"/>
        <v>Fly - Malie City</v>
      </c>
      <c r="N42" s="38" t="str" cm="1">
        <f t="array" aca="1" ref="N42" ca="1">INDIRECT(ADDRESS(INT((ROW(N42)-12)/8)+5,21))</f>
        <v>330138E3</v>
      </c>
      <c r="O42" s="38">
        <f t="shared" si="9"/>
        <v>64</v>
      </c>
      <c r="P42" s="2">
        <f t="shared" ca="1" si="2"/>
        <v>19</v>
      </c>
    </row>
    <row r="43" spans="8:16">
      <c r="H43" s="35"/>
      <c r="L43" s="38" t="str" cm="1">
        <f t="array" aca="1" ref="L43" ca="1">_xlfn.LET(_xlpm.x,INDIRECT(ADDRESS(INT((ROW(M43)-12)/8)+5,MOD(ROW(M43)-12,8)+22)),IF(_xlpm.x=0,"",_xlpm.x))</f>
        <v/>
      </c>
      <c r="M43" s="38" t="str">
        <f t="shared" ca="1" si="8"/>
        <v/>
      </c>
      <c r="N43" s="38" t="str" cm="1">
        <f t="array" aca="1" ref="N43" ca="1">INDIRECT(ADDRESS(INT((ROW(N43)-12)/8)+5,21))</f>
        <v>330138E3</v>
      </c>
      <c r="O43" s="38">
        <f t="shared" si="9"/>
        <v>128</v>
      </c>
      <c r="P43" s="2">
        <f t="shared" ca="1" si="2"/>
        <v>19</v>
      </c>
    </row>
    <row r="44" spans="8:16">
      <c r="H44" s="35"/>
      <c r="L44" s="38" t="str" cm="1">
        <f t="array" aca="1" ref="L44" ca="1">_xlfn.LET(_xlpm.x,INDIRECT(ADDRESS(INT((ROW(M44)-12)/8)+5,MOD(ROW(M44)-12,8)+22)),IF(_xlpm.x=0,"",_xlpm.x))</f>
        <v>Tapu Village</v>
      </c>
      <c r="M44" s="38" t="str">
        <f t="shared" ca="1" si="8"/>
        <v>Fly - Tapu Village</v>
      </c>
      <c r="N44" s="38" t="str" cm="1">
        <f t="array" aca="1" ref="N44" ca="1">INDIRECT(ADDRESS(INT((ROW(N44)-12)/8)+5,21))</f>
        <v>330138E4</v>
      </c>
      <c r="O44" s="38">
        <f t="shared" si="9"/>
        <v>1</v>
      </c>
      <c r="P44" s="2">
        <f t="shared" ca="1" si="2"/>
        <v>20</v>
      </c>
    </row>
    <row r="45" spans="8:16">
      <c r="L45" s="38" t="str" cm="1">
        <f t="array" aca="1" ref="L45" ca="1">_xlfn.LET(_xlpm.x,INDIRECT(ADDRESS(INT((ROW(M45)-12)/8)+5,MOD(ROW(M45)-12,8)+22)),IF(_xlpm.x=0,"",_xlpm.x))</f>
        <v>Route 16</v>
      </c>
      <c r="M45" s="38" t="str">
        <f t="shared" ca="1" si="8"/>
        <v>Fly - Route 16</v>
      </c>
      <c r="N45" s="38" t="str" cm="1">
        <f t="array" aca="1" ref="N45" ca="1">INDIRECT(ADDRESS(INT((ROW(N45)-12)/8)+5,21))</f>
        <v>330138E4</v>
      </c>
      <c r="O45" s="38">
        <f t="shared" si="9"/>
        <v>2</v>
      </c>
      <c r="P45" s="2">
        <f t="shared" ca="1" si="2"/>
        <v>20</v>
      </c>
    </row>
    <row r="46" spans="8:16">
      <c r="L46" s="38" t="str" cm="1">
        <f t="array" aca="1" ref="L46" ca="1">_xlfn.LET(_xlpm.x,INDIRECT(ADDRESS(INT((ROW(M46)-12)/8)+5,MOD(ROW(M46)-12,8)+22)),IF(_xlpm.x=0,"",_xlpm.x))</f>
        <v>Mount Hokulani</v>
      </c>
      <c r="M46" s="38" t="str">
        <f t="shared" ca="1" si="8"/>
        <v>Fly - Mount Hokulani</v>
      </c>
      <c r="N46" s="38" t="str" cm="1">
        <f t="array" aca="1" ref="N46" ca="1">INDIRECT(ADDRESS(INT((ROW(N46)-12)/8)+5,21))</f>
        <v>330138E4</v>
      </c>
      <c r="O46" s="38">
        <f t="shared" si="9"/>
        <v>4</v>
      </c>
      <c r="P46" s="2">
        <f t="shared" ca="1" si="2"/>
        <v>20</v>
      </c>
    </row>
    <row r="47" spans="8:16">
      <c r="L47" s="38" t="str" cm="1">
        <f t="array" aca="1" ref="L47" ca="1">_xlfn.LET(_xlpm.x,INDIRECT(ADDRESS(INT((ROW(M47)-12)/8)+5,MOD(ROW(M47)-12,8)+22)),IF(_xlpm.x=0,"",_xlpm.x))</f>
        <v>Blush Mountain</v>
      </c>
      <c r="M47" s="38" t="str">
        <f t="shared" ca="1" si="8"/>
        <v>Fly - Blush Mountain</v>
      </c>
      <c r="N47" s="38" t="str" cm="1">
        <f t="array" aca="1" ref="N47" ca="1">INDIRECT(ADDRESS(INT((ROW(N47)-12)/8)+5,21))</f>
        <v>330138E4</v>
      </c>
      <c r="O47" s="38">
        <f t="shared" si="9"/>
        <v>8</v>
      </c>
      <c r="P47" s="2">
        <f t="shared" ca="1" si="2"/>
        <v>20</v>
      </c>
    </row>
    <row r="48" spans="8:16">
      <c r="L48" s="38" t="str" cm="1">
        <f t="array" aca="1" ref="L48" ca="1">_xlfn.LET(_xlpm.x,INDIRECT(ADDRESS(INT((ROW(M48)-12)/8)+5,MOD(ROW(M48)-12,8)+22)),IF(_xlpm.x=0,"",_xlpm.x))</f>
        <v/>
      </c>
      <c r="M48" s="38" t="str">
        <f t="shared" ca="1" si="8"/>
        <v/>
      </c>
      <c r="N48" s="38" t="str" cm="1">
        <f t="array" aca="1" ref="N48" ca="1">INDIRECT(ADDRESS(INT((ROW(N48)-12)/8)+5,21))</f>
        <v>330138E4</v>
      </c>
      <c r="O48" s="38">
        <f t="shared" si="9"/>
        <v>16</v>
      </c>
      <c r="P48" s="2">
        <f t="shared" ca="1" si="2"/>
        <v>20</v>
      </c>
    </row>
    <row r="49" spans="12:19">
      <c r="L49" s="38" t="str" cm="1">
        <f t="array" aca="1" ref="L49" ca="1">_xlfn.LET(_xlpm.x,INDIRECT(ADDRESS(INT((ROW(M49)-12)/8)+5,MOD(ROW(M49)-12,8)+22)),IF(_xlpm.x=0,"",_xlpm.x))</f>
        <v>Seafolk Village</v>
      </c>
      <c r="M49" s="38" t="str">
        <f t="shared" ca="1" si="8"/>
        <v>Fly - Seafolk Village</v>
      </c>
      <c r="N49" s="38" t="str" cm="1">
        <f t="array" aca="1" ref="N49" ca="1">INDIRECT(ADDRESS(INT((ROW(N49)-12)/8)+5,21))</f>
        <v>330138E4</v>
      </c>
      <c r="O49" s="38">
        <f t="shared" si="9"/>
        <v>32</v>
      </c>
      <c r="P49" s="2">
        <f t="shared" ca="1" si="2"/>
        <v>20</v>
      </c>
    </row>
    <row r="50" spans="12:19">
      <c r="L50" s="38" t="str" cm="1">
        <f t="array" aca="1" ref="L50" ca="1">_xlfn.LET(_xlpm.x,INDIRECT(ADDRESS(INT((ROW(M50)-12)/8)+5,MOD(ROW(M50)-12,8)+22)),IF(_xlpm.x=0,"",_xlpm.x))</f>
        <v>Battle Tree</v>
      </c>
      <c r="M50" s="38" t="str">
        <f t="shared" ca="1" si="8"/>
        <v>Fly - Battle Tree</v>
      </c>
      <c r="N50" s="38" t="str" cm="1">
        <f t="array" aca="1" ref="N50" ca="1">INDIRECT(ADDRESS(INT((ROW(N50)-12)/8)+5,21))</f>
        <v>330138E4</v>
      </c>
      <c r="O50" s="38">
        <f t="shared" si="9"/>
        <v>64</v>
      </c>
      <c r="P50" s="2">
        <f t="shared" ca="1" si="2"/>
        <v>20</v>
      </c>
    </row>
    <row r="51" spans="12:19">
      <c r="L51" s="38" t="str" cm="1">
        <f t="array" aca="1" ref="L51" ca="1">_xlfn.LET(_xlpm.x,INDIRECT(ADDRESS(INT((ROW(M51)-12)/8)+5,MOD(ROW(M51)-12,8)+22)),IF(_xlpm.x=0,"",_xlpm.x))</f>
        <v>Vast Poni Canyon</v>
      </c>
      <c r="M51" s="38" t="str">
        <f t="shared" ca="1" si="8"/>
        <v>Fly - Vast Poni Canyon</v>
      </c>
      <c r="N51" s="38" t="str" cm="1">
        <f t="array" aca="1" ref="N51" ca="1">INDIRECT(ADDRESS(INT((ROW(N51)-12)/8)+5,21))</f>
        <v>330138E4</v>
      </c>
      <c r="O51" s="38">
        <f t="shared" si="9"/>
        <v>128</v>
      </c>
      <c r="P51" s="2">
        <f t="shared" ca="1" si="2"/>
        <v>20</v>
      </c>
      <c r="S51" s="3"/>
    </row>
    <row r="52" spans="12:19">
      <c r="L52" s="38" t="str" cm="1">
        <f t="array" aca="1" ref="L52" ca="1">_xlfn.LET(_xlpm.x,INDIRECT(ADDRESS(INT((ROW(M52)-12)/8)+5,MOD(ROW(M52)-12,8)+22)),IF(_xlpm.x=0,"",_xlpm.x))</f>
        <v>Ruins of Hope</v>
      </c>
      <c r="M52" s="38" t="str">
        <f t="shared" ca="1" si="8"/>
        <v>Fly - Ruins of Hope</v>
      </c>
      <c r="N52" s="38" t="str" cm="1">
        <f t="array" aca="1" ref="N52" ca="1">INDIRECT(ADDRESS(INT((ROW(N52)-12)/8)+5,21))</f>
        <v>330138E5</v>
      </c>
      <c r="O52" s="38">
        <f t="shared" si="9"/>
        <v>1</v>
      </c>
      <c r="P52" s="2">
        <f t="shared" ca="1" si="2"/>
        <v>21</v>
      </c>
      <c r="S52" s="3"/>
    </row>
    <row r="53" spans="12:19">
      <c r="L53" s="38" t="str" cm="1">
        <f t="array" aca="1" ref="L53" ca="1">_xlfn.LET(_xlpm.x,INDIRECT(ADDRESS(INT((ROW(M53)-12)/8)+5,MOD(ROW(M53)-12,8)+22)),IF(_xlpm.x=0,"",_xlpm.x))</f>
        <v>Poni Meadow</v>
      </c>
      <c r="M53" s="38" t="str">
        <f t="shared" ca="1" si="8"/>
        <v>Fly - Poni Meadow</v>
      </c>
      <c r="N53" s="38" t="str" cm="1">
        <f t="array" aca="1" ref="N53" ca="1">INDIRECT(ADDRESS(INT((ROW(N53)-12)/8)+5,21))</f>
        <v>330138E5</v>
      </c>
      <c r="O53" s="38">
        <f t="shared" si="9"/>
        <v>2</v>
      </c>
      <c r="P53" s="2">
        <f t="shared" ca="1" si="2"/>
        <v>21</v>
      </c>
    </row>
    <row r="54" spans="12:19">
      <c r="L54" s="38" t="str" cm="1">
        <f t="array" aca="1" ref="L54" ca="1">_xlfn.LET(_xlpm.x,INDIRECT(ADDRESS(INT((ROW(M54)-12)/8)+5,MOD(ROW(M54)-12,8)+22)),IF(_xlpm.x=0,"",_xlpm.x))</f>
        <v>Exeggutor Island</v>
      </c>
      <c r="M54" s="38" t="str">
        <f t="shared" ca="1" si="8"/>
        <v>Fly - Exeggutor Island</v>
      </c>
      <c r="N54" s="38" t="str" cm="1">
        <f t="array" aca="1" ref="N54" ca="1">INDIRECT(ADDRESS(INT((ROW(N54)-12)/8)+5,21))</f>
        <v>330138E5</v>
      </c>
      <c r="O54" s="38">
        <f t="shared" si="9"/>
        <v>4</v>
      </c>
      <c r="P54" s="2">
        <f t="shared" ca="1" si="2"/>
        <v>21</v>
      </c>
    </row>
    <row r="55" spans="12:19">
      <c r="L55" s="38" t="str" cm="1">
        <f t="array" aca="1" ref="L55" ca="1">_xlfn.LET(_xlpm.x,INDIRECT(ADDRESS(INT((ROW(M55)-12)/8)+5,MOD(ROW(M55)-12,8)+22)),IF(_xlpm.x=0,"",_xlpm.x))</f>
        <v>Aether Paradise</v>
      </c>
      <c r="M55" s="38" t="str">
        <f t="shared" ca="1" si="8"/>
        <v>Fly - Aether Paradise</v>
      </c>
      <c r="N55" s="38" t="str" cm="1">
        <f t="array" aca="1" ref="N55" ca="1">INDIRECT(ADDRESS(INT((ROW(N55)-12)/8)+5,21))</f>
        <v>330138E5</v>
      </c>
      <c r="O55" s="38">
        <f t="shared" si="9"/>
        <v>8</v>
      </c>
      <c r="P55" s="2">
        <f t="shared" ca="1" si="2"/>
        <v>21</v>
      </c>
    </row>
    <row r="56" spans="12:19">
      <c r="L56" s="38" t="str" cm="1">
        <f t="array" aca="1" ref="L56" ca="1">_xlfn.LET(_xlpm.x,INDIRECT(ADDRESS(INT((ROW(M56)-12)/8)+5,MOD(ROW(M56)-12,8)+22)),IF(_xlpm.x=0,"",_xlpm.x))</f>
        <v/>
      </c>
      <c r="M56" s="38" t="str">
        <f t="shared" ca="1" si="8"/>
        <v/>
      </c>
      <c r="N56" s="38" t="str" cm="1">
        <f t="array" aca="1" ref="N56" ca="1">INDIRECT(ADDRESS(INT((ROW(N56)-12)/8)+5,21))</f>
        <v>330138E5</v>
      </c>
      <c r="O56" s="38">
        <f t="shared" si="9"/>
        <v>16</v>
      </c>
      <c r="P56" s="2">
        <f t="shared" ca="1" si="2"/>
        <v>21</v>
      </c>
    </row>
    <row r="57" spans="12:19">
      <c r="L57" s="38" t="str" cm="1">
        <f t="array" aca="1" ref="L57" ca="1">_xlfn.LET(_xlpm.x,INDIRECT(ADDRESS(INT((ROW(M57)-12)/8)+5,MOD(ROW(M57)-12,8)+22)),IF(_xlpm.x=0,"",_xlpm.x))</f>
        <v/>
      </c>
      <c r="M57" s="38" t="str">
        <f t="shared" ca="1" si="8"/>
        <v/>
      </c>
      <c r="N57" s="38" t="str" cm="1">
        <f t="array" aca="1" ref="N57" ca="1">INDIRECT(ADDRESS(INT((ROW(N57)-12)/8)+5,21))</f>
        <v>330138E5</v>
      </c>
      <c r="O57" s="38">
        <f t="shared" si="9"/>
        <v>32</v>
      </c>
      <c r="P57" s="2">
        <f t="shared" ca="1" si="2"/>
        <v>21</v>
      </c>
    </row>
    <row r="58" spans="12:19">
      <c r="L58" s="38" t="str" cm="1">
        <f t="array" aca="1" ref="L58" ca="1">_xlfn.LET(_xlpm.x,INDIRECT(ADDRESS(INT((ROW(M58)-12)/8)+5,MOD(ROW(M58)-12,8)+22)),IF(_xlpm.x=0,"",_xlpm.x))</f>
        <v/>
      </c>
      <c r="M58" s="38" t="str">
        <f t="shared" ca="1" si="8"/>
        <v/>
      </c>
      <c r="N58" s="38" t="str" cm="1">
        <f t="array" aca="1" ref="N58" ca="1">INDIRECT(ADDRESS(INT((ROW(N58)-12)/8)+5,21))</f>
        <v>330138E5</v>
      </c>
      <c r="O58" s="38">
        <f t="shared" si="9"/>
        <v>64</v>
      </c>
      <c r="P58" s="2">
        <f t="shared" ca="1" si="2"/>
        <v>21</v>
      </c>
    </row>
    <row r="59" spans="12:19">
      <c r="L59" s="38" t="str" cm="1">
        <f t="array" aca="1" ref="L59" ca="1">_xlfn.LET(_xlpm.x,INDIRECT(ADDRESS(INT((ROW(M59)-12)/8)+5,MOD(ROW(M59)-12,8)+22)),IF(_xlpm.x=0,"",_xlpm.x))</f>
        <v/>
      </c>
      <c r="M59" s="38" t="str">
        <f t="shared" ca="1" si="8"/>
        <v/>
      </c>
      <c r="N59" s="38" t="str" cm="1">
        <f t="array" aca="1" ref="N59" ca="1">INDIRECT(ADDRESS(INT((ROW(N59)-12)/8)+5,21))</f>
        <v>330138E5</v>
      </c>
      <c r="O59" s="38">
        <f t="shared" si="9"/>
        <v>128</v>
      </c>
      <c r="P59" s="2">
        <f t="shared" ca="1" si="2"/>
        <v>21</v>
      </c>
    </row>
    <row r="60" spans="12:19">
      <c r="L60" s="38" t="str" cm="1">
        <f t="array" aca="1" ref="L60" ca="1">_xlfn.LET(_xlpm.x,INDIRECT(ADDRESS(INT((ROW(M60)-12)/8)+5,MOD(ROW(M60)-12,8)+22)),IF(_xlpm.x=0,"",_xlpm.x))</f>
        <v/>
      </c>
      <c r="M60" s="38" t="str">
        <f t="shared" ca="1" si="8"/>
        <v/>
      </c>
      <c r="N60" s="38" t="str" cm="1">
        <f t="array" aca="1" ref="N60" ca="1">INDIRECT(ADDRESS(INT((ROW(N60)-12)/8)+5,21))</f>
        <v>330138FD</v>
      </c>
      <c r="O60" s="38">
        <f t="shared" si="9"/>
        <v>1</v>
      </c>
      <c r="P60" s="2">
        <f t="shared" ca="1" si="2"/>
        <v>45</v>
      </c>
    </row>
    <row r="61" spans="12:19">
      <c r="L61" s="38" t="str" cm="1">
        <f t="array" aca="1" ref="L61" ca="1">_xlfn.LET(_xlpm.x,INDIRECT(ADDRESS(INT((ROW(M61)-12)/8)+5,MOD(ROW(M61)-12,8)+22)),IF(_xlpm.x=0,"",_xlpm.x))</f>
        <v/>
      </c>
      <c r="M61" s="38" t="str">
        <f t="shared" ca="1" si="8"/>
        <v/>
      </c>
      <c r="N61" s="38" t="str" cm="1">
        <f t="array" aca="1" ref="N61" ca="1">INDIRECT(ADDRESS(INT((ROW(N61)-12)/8)+5,21))</f>
        <v>330138FD</v>
      </c>
      <c r="O61" s="38">
        <f t="shared" si="9"/>
        <v>2</v>
      </c>
      <c r="P61" s="2">
        <f t="shared" ca="1" si="2"/>
        <v>45</v>
      </c>
    </row>
    <row r="62" spans="12:19">
      <c r="L62" s="38" t="str" cm="1">
        <f t="array" aca="1" ref="L62" ca="1">_xlfn.LET(_xlpm.x,INDIRECT(ADDRESS(INT((ROW(M62)-12)/8)+5,MOD(ROW(M62)-12,8)+22)),IF(_xlpm.x=0,"",_xlpm.x))</f>
        <v/>
      </c>
      <c r="M62" s="38" t="str">
        <f t="shared" ca="1" si="8"/>
        <v/>
      </c>
      <c r="N62" s="38" t="str" cm="1">
        <f t="array" aca="1" ref="N62" ca="1">INDIRECT(ADDRESS(INT((ROW(N62)-12)/8)+5,21))</f>
        <v>330138FD</v>
      </c>
      <c r="O62" s="38">
        <f t="shared" si="9"/>
        <v>4</v>
      </c>
      <c r="P62" s="2">
        <f t="shared" ca="1" si="2"/>
        <v>45</v>
      </c>
    </row>
    <row r="63" spans="12:19">
      <c r="L63" s="38" t="str" cm="1">
        <f t="array" aca="1" ref="L63" ca="1">_xlfn.LET(_xlpm.x,INDIRECT(ADDRESS(INT((ROW(M63)-12)/8)+5,MOD(ROW(M63)-12,8)+22)),IF(_xlpm.x=0,"",_xlpm.x))</f>
        <v/>
      </c>
      <c r="M63" s="38" t="str">
        <f t="shared" ca="1" si="8"/>
        <v/>
      </c>
      <c r="N63" s="38" t="str" cm="1">
        <f t="array" aca="1" ref="N63" ca="1">INDIRECT(ADDRESS(INT((ROW(N63)-12)/8)+5,21))</f>
        <v>330138FD</v>
      </c>
      <c r="O63" s="38">
        <f t="shared" si="9"/>
        <v>8</v>
      </c>
      <c r="P63" s="2">
        <f t="shared" ca="1" si="2"/>
        <v>45</v>
      </c>
    </row>
    <row r="64" spans="12:19">
      <c r="L64" s="38" t="str" cm="1">
        <f t="array" aca="1" ref="L64" ca="1">_xlfn.LET(_xlpm.x,INDIRECT(ADDRESS(INT((ROW(M64)-12)/8)+5,MOD(ROW(M64)-12,8)+22)),IF(_xlpm.x=0,"",_xlpm.x))</f>
        <v/>
      </c>
      <c r="M64" s="38" t="str">
        <f t="shared" ca="1" si="8"/>
        <v/>
      </c>
      <c r="N64" s="38" t="str" cm="1">
        <f t="array" aca="1" ref="N64" ca="1">INDIRECT(ADDRESS(INT((ROW(N64)-12)/8)+5,21))</f>
        <v>330138FD</v>
      </c>
      <c r="O64" s="38">
        <f t="shared" si="9"/>
        <v>16</v>
      </c>
      <c r="P64" s="2">
        <f t="shared" ca="1" si="2"/>
        <v>45</v>
      </c>
    </row>
    <row r="65" spans="12:16">
      <c r="L65" s="38" t="str" cm="1">
        <f t="array" aca="1" ref="L65" ca="1">_xlfn.LET(_xlpm.x,INDIRECT(ADDRESS(INT((ROW(M65)-12)/8)+5,MOD(ROW(M65)-12,8)+22)),IF(_xlpm.x=0,"",_xlpm.x))</f>
        <v/>
      </c>
      <c r="M65" s="38" t="str">
        <f t="shared" ca="1" si="8"/>
        <v/>
      </c>
      <c r="N65" s="38" t="str" cm="1">
        <f t="array" aca="1" ref="N65" ca="1">INDIRECT(ADDRESS(INT((ROW(N65)-12)/8)+5,21))</f>
        <v>330138FD</v>
      </c>
      <c r="O65" s="38">
        <f t="shared" si="9"/>
        <v>32</v>
      </c>
      <c r="P65" s="2">
        <f t="shared" ca="1" si="2"/>
        <v>45</v>
      </c>
    </row>
    <row r="66" spans="12:16">
      <c r="L66" s="38" t="str" cm="1">
        <f t="array" aca="1" ref="L66" ca="1">_xlfn.LET(_xlpm.x,INDIRECT(ADDRESS(INT((ROW(M66)-12)/8)+5,MOD(ROW(M66)-12,8)+22)),IF(_xlpm.x=0,"",_xlpm.x))</f>
        <v>Po Town</v>
      </c>
      <c r="M66" s="38" t="str">
        <f t="shared" ca="1" si="8"/>
        <v>Fly - Po Town</v>
      </c>
      <c r="N66" s="38" t="str" cm="1">
        <f t="array" aca="1" ref="N66" ca="1">INDIRECT(ADDRESS(INT((ROW(N66)-12)/8)+5,21))</f>
        <v>330138FD</v>
      </c>
      <c r="O66" s="38">
        <f t="shared" si="9"/>
        <v>64</v>
      </c>
      <c r="P66" s="2">
        <f t="shared" ca="1" si="2"/>
        <v>45</v>
      </c>
    </row>
    <row r="67" spans="12:16">
      <c r="L67" s="38" t="str" cm="1">
        <f t="array" aca="1" ref="L67" ca="1">_xlfn.LET(_xlpm.x,INDIRECT(ADDRESS(INT((ROW(M67)-12)/8)+5,MOD(ROW(M67)-12,8)+22)),IF(_xlpm.x=0,"",_xlpm.x))</f>
        <v/>
      </c>
      <c r="M67" s="38" t="str">
        <f t="shared" ca="1" si="8"/>
        <v/>
      </c>
      <c r="N67" s="38" t="str" cm="1">
        <f t="array" aca="1" ref="N67" ca="1">INDIRECT(ADDRESS(INT((ROW(N67)-12)/8)+5,21))</f>
        <v>330138FD</v>
      </c>
      <c r="O67" s="38">
        <f t="shared" si="9"/>
        <v>128</v>
      </c>
      <c r="P67" s="2">
        <f t="shared" ref="P67:P99" ca="1" si="10">_xlfn.XLOOKUP(N67,U:U,AD:AD)</f>
        <v>45</v>
      </c>
    </row>
    <row r="68" spans="12:16">
      <c r="L68" s="38" t="str" cm="1">
        <f t="array" aca="1" ref="L68" ca="1">_xlfn.LET(_xlpm.x,INDIRECT(ADDRESS(INT((ROW(M68)-12)/8)+5,MOD(ROW(M68)-12,8)+22)),IF(_xlpm.x=0,"",_xlpm.x))</f>
        <v/>
      </c>
      <c r="M68" s="38" t="str">
        <f t="shared" ca="1" si="8"/>
        <v/>
      </c>
      <c r="N68" s="38" t="str" cm="1">
        <f t="array" aca="1" ref="N68" ca="1">INDIRECT(ADDRESS(INT((ROW(N68)-12)/8)+5,21))</f>
        <v>330138FE</v>
      </c>
      <c r="O68" s="38">
        <f t="shared" si="9"/>
        <v>1</v>
      </c>
      <c r="P68" s="2">
        <f t="shared" ca="1" si="10"/>
        <v>46</v>
      </c>
    </row>
    <row r="69" spans="12:16">
      <c r="L69" s="38" t="str" cm="1">
        <f t="array" aca="1" ref="L69" ca="1">_xlfn.LET(_xlpm.x,INDIRECT(ADDRESS(INT((ROW(M69)-12)/8)+5,MOD(ROW(M69)-12,8)+22)),IF(_xlpm.x=0,"",_xlpm.x))</f>
        <v>Lake of the Moone</v>
      </c>
      <c r="M69" s="38" t="str">
        <f t="shared" ca="1" si="8"/>
        <v>Fly - Lake of the Moone</v>
      </c>
      <c r="N69" s="38" t="str" cm="1">
        <f t="array" aca="1" ref="N69" ca="1">INDIRECT(ADDRESS(INT((ROW(N69)-12)/8)+5,21))</f>
        <v>330138FE</v>
      </c>
      <c r="O69" s="38">
        <f t="shared" si="9"/>
        <v>2</v>
      </c>
      <c r="P69" s="2">
        <f t="shared" ca="1" si="10"/>
        <v>46</v>
      </c>
    </row>
    <row r="70" spans="12:16">
      <c r="L70" s="38" t="str" cm="1">
        <f t="array" aca="1" ref="L70" ca="1">_xlfn.LET(_xlpm.x,INDIRECT(ADDRESS(INT((ROW(M70)-12)/8)+5,MOD(ROW(M70)-12,8)+22)),IF(_xlpm.x=0,"",_xlpm.x))</f>
        <v/>
      </c>
      <c r="M70" s="38" t="str">
        <f t="shared" ca="1" si="8"/>
        <v/>
      </c>
      <c r="N70" s="38" t="str" cm="1">
        <f t="array" aca="1" ref="N70" ca="1">INDIRECT(ADDRESS(INT((ROW(N70)-12)/8)+5,21))</f>
        <v>330138FE</v>
      </c>
      <c r="O70" s="38">
        <f t="shared" si="9"/>
        <v>4</v>
      </c>
      <c r="P70" s="2">
        <f t="shared" ca="1" si="10"/>
        <v>46</v>
      </c>
    </row>
    <row r="71" spans="12:16">
      <c r="L71" s="38" t="str" cm="1">
        <f t="array" aca="1" ref="L71" ca="1">_xlfn.LET(_xlpm.x,INDIRECT(ADDRESS(INT((ROW(M71)-12)/8)+5,MOD(ROW(M71)-12,8)+22)),IF(_xlpm.x=0,"",_xlpm.x))</f>
        <v/>
      </c>
      <c r="M71" s="38" t="str">
        <f t="shared" ca="1" si="8"/>
        <v/>
      </c>
      <c r="N71" s="38" t="str" cm="1">
        <f t="array" aca="1" ref="N71" ca="1">INDIRECT(ADDRESS(INT((ROW(N71)-12)/8)+5,21))</f>
        <v>330138FE</v>
      </c>
      <c r="O71" s="38">
        <f t="shared" si="9"/>
        <v>8</v>
      </c>
      <c r="P71" s="2">
        <f t="shared" ca="1" si="10"/>
        <v>46</v>
      </c>
    </row>
    <row r="72" spans="12:16">
      <c r="L72" s="38" t="str" cm="1">
        <f t="array" aca="1" ref="L72" ca="1">_xlfn.LET(_xlpm.x,INDIRECT(ADDRESS(INT((ROW(M72)-12)/8)+5,MOD(ROW(M72)-12,8)+22)),IF(_xlpm.x=0,"",_xlpm.x))</f>
        <v>Altar of the Sunne</v>
      </c>
      <c r="M72" s="38" t="str">
        <f t="shared" ca="1" si="8"/>
        <v>Fly - Altar of the Sunne</v>
      </c>
      <c r="N72" s="38" t="str" cm="1">
        <f t="array" aca="1" ref="N72" ca="1">INDIRECT(ADDRESS(INT((ROW(N72)-12)/8)+5,21))</f>
        <v>330138FE</v>
      </c>
      <c r="O72" s="38">
        <f t="shared" si="9"/>
        <v>16</v>
      </c>
      <c r="P72" s="2">
        <f t="shared" ca="1" si="10"/>
        <v>46</v>
      </c>
    </row>
    <row r="73" spans="12:16">
      <c r="L73" s="38" t="str" cm="1">
        <f t="array" aca="1" ref="L73" ca="1">_xlfn.LET(_xlpm.x,INDIRECT(ADDRESS(INT((ROW(M73)-12)/8)+5,MOD(ROW(M73)-12,8)+22)),IF(_xlpm.x=0,"",_xlpm.x))</f>
        <v/>
      </c>
      <c r="M73" s="38" t="str">
        <f t="shared" ca="1" si="8"/>
        <v/>
      </c>
      <c r="N73" s="38" t="str" cm="1">
        <f t="array" aca="1" ref="N73" ca="1">INDIRECT(ADDRESS(INT((ROW(N73)-12)/8)+5,21))</f>
        <v>330138FE</v>
      </c>
      <c r="O73" s="38">
        <f t="shared" si="9"/>
        <v>32</v>
      </c>
      <c r="P73" s="2">
        <f t="shared" ca="1" si="10"/>
        <v>46</v>
      </c>
    </row>
    <row r="74" spans="12:16">
      <c r="L74" s="38" t="str" cm="1">
        <f t="array" aca="1" ref="L74" ca="1">_xlfn.LET(_xlpm.x,INDIRECT(ADDRESS(INT((ROW(M74)-12)/8)+5,MOD(ROW(M74)-12,8)+22)),IF(_xlpm.x=0,"",_xlpm.x))</f>
        <v/>
      </c>
      <c r="M74" s="38" t="str">
        <f t="shared" ca="1" si="8"/>
        <v/>
      </c>
      <c r="N74" s="38" t="str" cm="1">
        <f t="array" aca="1" ref="N74" ca="1">INDIRECT(ADDRESS(INT((ROW(N74)-12)/8)+5,21))</f>
        <v>330138FE</v>
      </c>
      <c r="O74" s="38">
        <f t="shared" si="9"/>
        <v>64</v>
      </c>
      <c r="P74" s="2">
        <f t="shared" ca="1" si="10"/>
        <v>46</v>
      </c>
    </row>
    <row r="75" spans="12:16">
      <c r="L75" s="38" t="str" cm="1">
        <f t="array" aca="1" ref="L75" ca="1">_xlfn.LET(_xlpm.x,INDIRECT(ADDRESS(INT((ROW(M75)-12)/8)+5,MOD(ROW(M75)-12,8)+22)),IF(_xlpm.x=0,"",_xlpm.x))</f>
        <v/>
      </c>
      <c r="M75" s="38" t="str">
        <f t="shared" ca="1" si="8"/>
        <v/>
      </c>
      <c r="N75" s="38" t="str" cm="1">
        <f t="array" aca="1" ref="N75" ca="1">INDIRECT(ADDRESS(INT((ROW(N75)-12)/8)+5,21))</f>
        <v>330138FE</v>
      </c>
      <c r="O75" s="38">
        <f t="shared" si="9"/>
        <v>128</v>
      </c>
      <c r="P75" s="2">
        <f t="shared" ca="1" si="10"/>
        <v>46</v>
      </c>
    </row>
    <row r="76" spans="12:16">
      <c r="L76" s="38" t="str" cm="1">
        <f t="array" aca="1" ref="L76" ca="1">_xlfn.LET(_xlpm.x,INDIRECT(ADDRESS(INT((ROW(M76)-12)/8)+5,MOD(ROW(M76)-12,8)+22)),IF(_xlpm.x=0,"",_xlpm.x))</f>
        <v/>
      </c>
      <c r="M76" s="38" t="str">
        <f t="shared" ref="M76:M90" ca="1" si="11">IF(L76="","","Fly - "&amp;L76)</f>
        <v/>
      </c>
      <c r="N76" s="38" t="str" cm="1">
        <f t="array" aca="1" ref="N76" ca="1">INDIRECT(ADDRESS(INT((ROW(N76)-12)/8)+5,21))</f>
        <v>33013905</v>
      </c>
      <c r="O76" s="38">
        <f t="shared" si="9"/>
        <v>1</v>
      </c>
      <c r="P76" s="2">
        <f t="shared" ca="1" si="10"/>
        <v>53</v>
      </c>
    </row>
    <row r="77" spans="12:16">
      <c r="L77" s="38" t="str" cm="1">
        <f t="array" aca="1" ref="L77" ca="1">_xlfn.LET(_xlpm.x,INDIRECT(ADDRESS(INT((ROW(M77)-12)/8)+5,MOD(ROW(M77)-12,8)+22)),IF(_xlpm.x=0,"",_xlpm.x))</f>
        <v>Heahea Beach</v>
      </c>
      <c r="M77" s="38" t="str">
        <f t="shared" ca="1" si="11"/>
        <v>Fly - Heahea Beach</v>
      </c>
      <c r="N77" s="38" t="str" cm="1">
        <f t="array" aca="1" ref="N77" ca="1">INDIRECT(ADDRESS(INT((ROW(N77)-12)/8)+5,21))</f>
        <v>33013905</v>
      </c>
      <c r="O77" s="38">
        <f t="shared" si="9"/>
        <v>2</v>
      </c>
      <c r="P77" s="2">
        <f t="shared" ca="1" si="10"/>
        <v>53</v>
      </c>
    </row>
    <row r="78" spans="12:16">
      <c r="L78" s="38" t="str" cm="1">
        <f t="array" aca="1" ref="L78" ca="1">_xlfn.LET(_xlpm.x,INDIRECT(ADDRESS(INT((ROW(M78)-12)/8)+5,MOD(ROW(M78)-12,8)+22)),IF(_xlpm.x=0,"",_xlpm.x))</f>
        <v>Circle Controls</v>
      </c>
      <c r="M78" s="38" t="str">
        <f t="shared" ca="1" si="11"/>
        <v>Fly - Circle Controls</v>
      </c>
      <c r="N78" s="38" t="str" cm="1">
        <f t="array" aca="1" ref="N78" ca="1">INDIRECT(ADDRESS(INT((ROW(N78)-12)/8)+5,21))</f>
        <v>33013905</v>
      </c>
      <c r="O78" s="38">
        <f t="shared" si="9"/>
        <v>4</v>
      </c>
      <c r="P78" s="2">
        <f t="shared" ca="1" si="10"/>
        <v>53</v>
      </c>
    </row>
    <row r="79" spans="12:16">
      <c r="L79" s="38" t="str" cm="1">
        <f t="array" aca="1" ref="L79" ca="1">_xlfn.LET(_xlpm.x,INDIRECT(ADDRESS(INT((ROW(M79)-12)/8)+5,MOD(ROW(M79)-12,8)+22)),IF(_xlpm.x=0,"",_xlpm.x))</f>
        <v>Big Wave Beach</v>
      </c>
      <c r="M79" s="38" t="str">
        <f t="shared" ca="1" si="11"/>
        <v>Fly - Big Wave Beach</v>
      </c>
      <c r="N79" s="38" t="str" cm="1">
        <f t="array" aca="1" ref="N79" ca="1">INDIRECT(ADDRESS(INT((ROW(N79)-12)/8)+5,21))</f>
        <v>33013905</v>
      </c>
      <c r="O79" s="38">
        <f t="shared" si="9"/>
        <v>8</v>
      </c>
      <c r="P79" s="2">
        <f t="shared" ca="1" si="10"/>
        <v>53</v>
      </c>
    </row>
    <row r="80" spans="12:16">
      <c r="L80" s="38" t="str" cm="1">
        <f t="array" aca="1" ref="L80" ca="1">_xlfn.LET(_xlpm.x,INDIRECT(ADDRESS(INT((ROW(M80)-12)/8)+5,MOD(ROW(M80)-12,8)+22)),IF(_xlpm.x=0,"",_xlpm.x))</f>
        <v/>
      </c>
      <c r="M80" s="38" t="str">
        <f t="shared" ca="1" si="11"/>
        <v/>
      </c>
      <c r="N80" s="38" t="str" cm="1">
        <f t="array" aca="1" ref="N80" ca="1">INDIRECT(ADDRESS(INT((ROW(N80)-12)/8)+5,21))</f>
        <v>33013905</v>
      </c>
      <c r="O80" s="38">
        <f t="shared" si="9"/>
        <v>16</v>
      </c>
      <c r="P80" s="2">
        <f t="shared" ca="1" si="10"/>
        <v>53</v>
      </c>
    </row>
    <row r="81" spans="12:19">
      <c r="L81" s="38" t="str" cm="1">
        <f t="array" aca="1" ref="L81" ca="1">_xlfn.LET(_xlpm.x,INDIRECT(ADDRESS(INT((ROW(M81)-12)/8)+5,MOD(ROW(M81)-12,8)+22)),IF(_xlpm.x=0,"",_xlpm.x))</f>
        <v>Hau'oli Photo Club</v>
      </c>
      <c r="M81" s="38" t="str">
        <f t="shared" ca="1" si="11"/>
        <v>Fly - Hau'oli Photo Club</v>
      </c>
      <c r="N81" s="38" t="str" cm="1">
        <f t="array" aca="1" ref="N81" ca="1">INDIRECT(ADDRESS(INT((ROW(N81)-12)/8)+5,21))</f>
        <v>33013905</v>
      </c>
      <c r="O81" s="38">
        <f t="shared" si="9"/>
        <v>32</v>
      </c>
      <c r="P81" s="2">
        <f t="shared" ca="1" si="10"/>
        <v>53</v>
      </c>
      <c r="S81" s="3"/>
    </row>
    <row r="82" spans="12:19">
      <c r="L82" s="38" t="str" cm="1">
        <f t="array" aca="1" ref="L82" ca="1">_xlfn.LET(_xlpm.x,INDIRECT(ADDRESS(INT((ROW(M82)-12)/8)+5,MOD(ROW(M82)-12,8)+22)),IF(_xlpm.x=0,"",_xlpm.x))</f>
        <v>Konikoni Photo Club</v>
      </c>
      <c r="M82" s="38" t="str">
        <f t="shared" ca="1" si="11"/>
        <v>Fly - Konikoni Photo Club</v>
      </c>
      <c r="N82" s="38" t="str" cm="1">
        <f t="array" aca="1" ref="N82" ca="1">INDIRECT(ADDRESS(INT((ROW(N82)-12)/8)+5,21))</f>
        <v>33013905</v>
      </c>
      <c r="O82" s="38">
        <f t="shared" si="9"/>
        <v>64</v>
      </c>
      <c r="P82" s="2">
        <f t="shared" ca="1" si="10"/>
        <v>53</v>
      </c>
      <c r="S82" s="3"/>
    </row>
    <row r="83" spans="12:19">
      <c r="L83" s="38" t="str" cm="1">
        <f t="array" aca="1" ref="L83" ca="1">_xlfn.LET(_xlpm.x,INDIRECT(ADDRESS(INT((ROW(M83)-12)/8)+5,MOD(ROW(M83)-12,8)+22)),IF(_xlpm.x=0,"",_xlpm.x))</f>
        <v>Ula'ula Beach</v>
      </c>
      <c r="M83" s="38" t="str">
        <f t="shared" ca="1" si="11"/>
        <v>Fly - Ula'ula Beach</v>
      </c>
      <c r="N83" s="38" t="str" cm="1">
        <f t="array" aca="1" ref="N83" ca="1">INDIRECT(ADDRESS(INT((ROW(N83)-12)/8)+5,21))</f>
        <v>33013905</v>
      </c>
      <c r="O83" s="38">
        <f t="shared" si="9"/>
        <v>128</v>
      </c>
      <c r="P83" s="2">
        <f t="shared" ca="1" si="10"/>
        <v>53</v>
      </c>
    </row>
    <row r="84" spans="12:19">
      <c r="L84" s="38" t="str" cm="1">
        <f t="array" aca="1" ref="L84" ca="1">_xlfn.LET(_xlpm.x,INDIRECT(ADDRESS(INT((ROW(M84)-12)/8)+5,MOD(ROW(M84)-12,8)+22)),IF(_xlpm.x=0,"",_xlpm.x))</f>
        <v>Poni Beach</v>
      </c>
      <c r="M84" s="38" t="str">
        <f t="shared" ca="1" si="11"/>
        <v>Fly - Poni Beach</v>
      </c>
      <c r="N84" s="38" t="str" cm="1">
        <f t="array" aca="1" ref="N84" ca="1">INDIRECT(ADDRESS(INT((ROW(N84)-12)/8)+5,21))</f>
        <v>33013906</v>
      </c>
      <c r="O84" s="38">
        <f t="shared" si="9"/>
        <v>1</v>
      </c>
      <c r="P84" s="2">
        <f t="shared" ca="1" si="10"/>
        <v>54</v>
      </c>
    </row>
    <row r="85" spans="12:19">
      <c r="L85" s="38" t="str" cm="1">
        <f t="array" aca="1" ref="L85" ca="1">_xlfn.LET(_xlpm.x,INDIRECT(ADDRESS(INT((ROW(M85)-12)/8)+5,MOD(ROW(M85)-12,8)+22)),IF(_xlpm.x=0,"",_xlpm.x))</f>
        <v/>
      </c>
      <c r="M85" s="38" t="str">
        <f t="shared" ca="1" si="11"/>
        <v/>
      </c>
      <c r="N85" s="38" t="str" cm="1">
        <f t="array" aca="1" ref="N85" ca="1">INDIRECT(ADDRESS(INT((ROW(N85)-12)/8)+5,21))</f>
        <v>33013906</v>
      </c>
      <c r="O85" s="38">
        <f t="shared" si="9"/>
        <v>2</v>
      </c>
      <c r="P85" s="2">
        <f t="shared" ca="1" si="10"/>
        <v>54</v>
      </c>
    </row>
    <row r="86" spans="12:19">
      <c r="L86" s="38" t="str" cm="1">
        <f t="array" aca="1" ref="L86" ca="1">_xlfn.LET(_xlpm.x,INDIRECT(ADDRESS(INT((ROW(M86)-12)/8)+5,MOD(ROW(M86)-12,8)+22)),IF(_xlpm.x=0,"",_xlpm.x))</f>
        <v/>
      </c>
      <c r="M86" s="38" t="str">
        <f t="shared" ca="1" si="11"/>
        <v/>
      </c>
      <c r="N86" s="38" t="str" cm="1">
        <f t="array" aca="1" ref="N86" ca="1">INDIRECT(ADDRESS(INT((ROW(N86)-12)/8)+5,21))</f>
        <v>33013906</v>
      </c>
      <c r="O86" s="38">
        <f t="shared" si="9"/>
        <v>4</v>
      </c>
      <c r="P86" s="2">
        <f t="shared" ca="1" si="10"/>
        <v>54</v>
      </c>
    </row>
    <row r="87" spans="12:19">
      <c r="L87" s="38" t="str" cm="1">
        <f t="array" aca="1" ref="L87" ca="1">_xlfn.LET(_xlpm.x,INDIRECT(ADDRESS(INT((ROW(M87)-12)/8)+5,MOD(ROW(M87)-12,8)+22)),IF(_xlpm.x=0,"",_xlpm.x))</f>
        <v/>
      </c>
      <c r="M87" s="38" t="str">
        <f t="shared" ca="1" si="11"/>
        <v/>
      </c>
      <c r="N87" s="38" t="str" cm="1">
        <f t="array" aca="1" ref="N87" ca="1">INDIRECT(ADDRESS(INT((ROW(N87)-12)/8)+5,21))</f>
        <v>33013906</v>
      </c>
      <c r="O87" s="38">
        <f t="shared" si="9"/>
        <v>8</v>
      </c>
      <c r="P87" s="2">
        <f t="shared" ca="1" si="10"/>
        <v>54</v>
      </c>
    </row>
    <row r="88" spans="12:19">
      <c r="L88" s="38" t="str" cm="1">
        <f t="array" aca="1" ref="L88" ca="1">_xlfn.LET(_xlpm.x,INDIRECT(ADDRESS(INT((ROW(M88)-12)/8)+5,MOD(ROW(M88)-12,8)+22)),IF(_xlpm.x=0,"",_xlpm.x))</f>
        <v/>
      </c>
      <c r="M88" s="38" t="str">
        <f t="shared" ca="1" si="11"/>
        <v/>
      </c>
      <c r="N88" s="38" t="str" cm="1">
        <f t="array" aca="1" ref="N88" ca="1">INDIRECT(ADDRESS(INT((ROW(N88)-12)/8)+5,21))</f>
        <v>33013906</v>
      </c>
      <c r="O88" s="38">
        <f t="shared" si="9"/>
        <v>16</v>
      </c>
      <c r="P88" s="2">
        <f t="shared" ca="1" si="10"/>
        <v>54</v>
      </c>
    </row>
    <row r="89" spans="12:19">
      <c r="L89" s="38" t="str" cm="1">
        <f t="array" aca="1" ref="L89" ca="1">_xlfn.LET(_xlpm.x,INDIRECT(ADDRESS(INT((ROW(M89)-12)/8)+5,MOD(ROW(M89)-12,8)+22)),IF(_xlpm.x=0,"",_xlpm.x))</f>
        <v/>
      </c>
      <c r="M89" s="38" t="str">
        <f t="shared" ca="1" si="11"/>
        <v/>
      </c>
      <c r="N89" s="38" t="str" cm="1">
        <f t="array" aca="1" ref="N89" ca="1">INDIRECT(ADDRESS(INT((ROW(N89)-12)/8)+5,21))</f>
        <v>33013906</v>
      </c>
      <c r="O89" s="38">
        <f t="shared" si="9"/>
        <v>32</v>
      </c>
      <c r="P89" s="2">
        <f t="shared" ca="1" si="10"/>
        <v>54</v>
      </c>
    </row>
    <row r="90" spans="12:19">
      <c r="L90" s="38" t="str" cm="1">
        <f t="array" aca="1" ref="L90" ca="1">_xlfn.LET(_xlpm.x,INDIRECT(ADDRESS(INT((ROW(M90)-12)/8)+5,MOD(ROW(M90)-12,8)+22)),IF(_xlpm.x=0,"",_xlpm.x))</f>
        <v/>
      </c>
      <c r="M90" s="38" t="str">
        <f t="shared" ca="1" si="11"/>
        <v/>
      </c>
      <c r="N90" s="38" t="str" cm="1">
        <f t="array" aca="1" ref="N90" ca="1">INDIRECT(ADDRESS(INT((ROW(N90)-12)/8)+5,21))</f>
        <v>33013906</v>
      </c>
      <c r="O90" s="38">
        <f t="shared" si="9"/>
        <v>64</v>
      </c>
      <c r="P90" s="2">
        <f t="shared" ca="1" si="10"/>
        <v>54</v>
      </c>
    </row>
    <row r="91" spans="12:19">
      <c r="L91" s="38"/>
      <c r="M91" s="38" t="str">
        <f>IF(L91="","","Fly - "&amp;L91)</f>
        <v/>
      </c>
      <c r="N91" s="38" t="str" cm="1">
        <f t="array" aca="1" ref="N91" ca="1">INDIRECT(ADDRESS(INT((ROW(N91)-12)/8)+5,21))</f>
        <v>33013906</v>
      </c>
      <c r="O91" s="38">
        <f t="shared" si="9"/>
        <v>128</v>
      </c>
      <c r="P91" s="2">
        <f t="shared" ca="1" si="10"/>
        <v>54</v>
      </c>
    </row>
    <row r="92" spans="12:19">
      <c r="M92" s="38" t="str" cm="1">
        <f t="array" aca="1" ref="M92" ca="1">_xlfn.LET(_xlpm.x,INDIRECT(ADDRESS(INT((ROW(M92)-12)/8)+5,MOD(ROW(M92)-12,8)+22)),IF(_xlpm.x=0,"",_xlpm.x))</f>
        <v/>
      </c>
      <c r="N92" s="38" t="str" cm="1">
        <f t="array" aca="1" ref="N92" ca="1">INDIRECT(ADDRESS(INT((ROW(N92)-12)/8)+5,21))</f>
        <v>3301390C</v>
      </c>
      <c r="O92" s="38">
        <f t="shared" si="9"/>
        <v>1</v>
      </c>
      <c r="P92" s="2">
        <f t="shared" ca="1" si="10"/>
        <v>60</v>
      </c>
    </row>
    <row r="93" spans="12:19">
      <c r="M93" s="38" t="str" cm="1">
        <f t="array" aca="1" ref="M93" ca="1">_xlfn.LET(_xlpm.x,INDIRECT(ADDRESS(INT((ROW(M93)-12)/8)+5,MOD(ROW(M93)-12,8)+22)),IF(_xlpm.x=0,"",_xlpm.x))</f>
        <v>Lanturn 360</v>
      </c>
      <c r="N93" s="38" t="str" cm="1">
        <f t="array" aca="1" ref="N93" ca="1">INDIRECT(ADDRESS(INT((ROW(N93)-12)/8)+5,21))</f>
        <v>3301390C</v>
      </c>
      <c r="O93" s="38">
        <f t="shared" ref="O93:O99" si="12">O85</f>
        <v>2</v>
      </c>
      <c r="P93" s="2">
        <f t="shared" ca="1" si="10"/>
        <v>60</v>
      </c>
    </row>
    <row r="94" spans="12:19">
      <c r="M94" s="38" t="str" cm="1">
        <f t="array" aca="1" ref="M94" ca="1">_xlfn.LET(_xlpm.x,INDIRECT(ADDRESS(INT((ROW(M94)-12)/8)+5,MOD(ROW(M94)-12,8)+22)),IF(_xlpm.x=0,"",_xlpm.x))</f>
        <v>Primarina Twist</v>
      </c>
      <c r="N94" s="38" t="str" cm="1">
        <f t="array" aca="1" ref="N94" ca="1">INDIRECT(ADDRESS(INT((ROW(N94)-12)/8)+5,21))</f>
        <v>3301390C</v>
      </c>
      <c r="O94" s="38">
        <f t="shared" si="12"/>
        <v>4</v>
      </c>
      <c r="P94" s="2">
        <f t="shared" ca="1" si="10"/>
        <v>60</v>
      </c>
    </row>
    <row r="95" spans="12:19">
      <c r="M95" s="38" t="str" cm="1">
        <f t="array" aca="1" ref="M95" ca="1">_xlfn.LET(_xlpm.x,INDIRECT(ADDRESS(INT((ROW(M95)-12)/8)+5,MOD(ROW(M95)-12,8)+22)),IF(_xlpm.x=0,"",_xlpm.x))</f>
        <v>Starmie 720</v>
      </c>
      <c r="N95" s="38" t="str" cm="1">
        <f t="array" aca="1" ref="N95" ca="1">INDIRECT(ADDRESS(INT((ROW(N95)-12)/8)+5,21))</f>
        <v>3301390C</v>
      </c>
      <c r="O95" s="38">
        <f t="shared" si="12"/>
        <v>8</v>
      </c>
      <c r="P95" s="2">
        <f t="shared" ca="1" si="10"/>
        <v>60</v>
      </c>
    </row>
    <row r="96" spans="12:19">
      <c r="M96" s="38" t="str" cm="1">
        <f t="array" aca="1" ref="M96" ca="1">_xlfn.LET(_xlpm.x,INDIRECT(ADDRESS(INT((ROW(M96)-12)/8)+5,MOD(ROW(M96)-12,8)+22)),IF(_xlpm.x=0,"",_xlpm.x))</f>
        <v>Over the Gyarados</v>
      </c>
      <c r="N96" s="38" t="str" cm="1">
        <f t="array" aca="1" ref="N96" ca="1">INDIRECT(ADDRESS(INT((ROW(N96)-12)/8)+5,21))</f>
        <v>3301390C</v>
      </c>
      <c r="O96" s="38">
        <f t="shared" si="12"/>
        <v>16</v>
      </c>
      <c r="P96" s="2">
        <f t="shared" ca="1" si="10"/>
        <v>60</v>
      </c>
    </row>
    <row r="97" spans="12:16">
      <c r="M97" s="38" t="str" cm="1">
        <f t="array" aca="1" ref="M97" ca="1">_xlfn.LET(_xlpm.x,INDIRECT(ADDRESS(INT((ROW(M97)-12)/8)+5,MOD(ROW(M97)-12,8)+22)),IF(_xlpm.x=0,"",_xlpm.x))</f>
        <v/>
      </c>
      <c r="N97" s="38" t="str" cm="1">
        <f t="array" aca="1" ref="N97" ca="1">INDIRECT(ADDRESS(INT((ROW(N97)-12)/8)+5,21))</f>
        <v>3301390C</v>
      </c>
      <c r="O97" s="38">
        <f t="shared" si="12"/>
        <v>32</v>
      </c>
      <c r="P97" s="2">
        <f t="shared" ca="1" si="10"/>
        <v>60</v>
      </c>
    </row>
    <row r="98" spans="12:16">
      <c r="M98" s="38" t="str" cm="1">
        <f t="array" aca="1" ref="M98" ca="1">_xlfn.LET(_xlpm.x,INDIRECT(ADDRESS(INT((ROW(M98)-12)/8)+5,MOD(ROW(M98)-12,8)+22)),IF(_xlpm.x=0,"",_xlpm.x))</f>
        <v/>
      </c>
      <c r="N98" s="38" t="str" cm="1">
        <f t="array" aca="1" ref="N98" ca="1">INDIRECT(ADDRESS(INT((ROW(N98)-12)/8)+5,21))</f>
        <v>3301390C</v>
      </c>
      <c r="O98" s="38">
        <f t="shared" si="12"/>
        <v>64</v>
      </c>
      <c r="P98" s="2">
        <f t="shared" ca="1" si="10"/>
        <v>60</v>
      </c>
    </row>
    <row r="99" spans="12:16">
      <c r="M99" s="38" t="str" cm="1">
        <f t="array" aca="1" ref="M99" ca="1">_xlfn.LET(_xlpm.x,INDIRECT(ADDRESS(INT((ROW(M99)-12)/8)+5,MOD(ROW(M99)-12,8)+22)),IF(_xlpm.x=0,"",_xlpm.x))</f>
        <v/>
      </c>
      <c r="N99" s="38" t="str" cm="1">
        <f t="array" aca="1" ref="N99" ca="1">INDIRECT(ADDRESS(INT((ROW(N99)-12)/8)+5,21))</f>
        <v>3301390C</v>
      </c>
      <c r="O99" s="38">
        <f t="shared" si="12"/>
        <v>128</v>
      </c>
      <c r="P99" s="2">
        <f t="shared" ca="1" si="10"/>
        <v>60</v>
      </c>
    </row>
    <row r="100" spans="12:16">
      <c r="L100" s="38"/>
      <c r="M100" s="38"/>
      <c r="N100" s="38"/>
      <c r="O100" s="38"/>
    </row>
    <row r="101" spans="12:16">
      <c r="L101" s="38"/>
      <c r="M101" s="38"/>
      <c r="N101" s="38"/>
      <c r="O101" s="38"/>
    </row>
    <row r="102" spans="12:16">
      <c r="L102" s="38"/>
      <c r="M102" s="38"/>
      <c r="N102" s="38"/>
      <c r="O102" s="38"/>
    </row>
    <row r="103" spans="12:16">
      <c r="L103" s="38"/>
      <c r="M103" s="38"/>
      <c r="N103" s="38"/>
      <c r="O103" s="38"/>
    </row>
    <row r="104" spans="12:16">
      <c r="L104" s="38"/>
      <c r="M104" s="38"/>
      <c r="N104" s="38"/>
      <c r="O104" s="38"/>
    </row>
    <row r="105" spans="12:16">
      <c r="L105" s="38"/>
      <c r="M105" s="38"/>
      <c r="N105" s="38"/>
      <c r="O105" s="38"/>
    </row>
    <row r="106" spans="12:16">
      <c r="L106" s="38"/>
      <c r="M106" s="38"/>
      <c r="N106" s="38"/>
      <c r="O106" s="38"/>
    </row>
    <row r="107" spans="12:16">
      <c r="L107" s="38"/>
      <c r="M107" s="38"/>
      <c r="N107" s="38"/>
      <c r="O107" s="38"/>
    </row>
    <row r="108" spans="12:16">
      <c r="L108" s="38"/>
      <c r="M108" s="38"/>
      <c r="N108" s="38"/>
      <c r="O108" s="38"/>
    </row>
    <row r="109" spans="12:16">
      <c r="L109" s="38"/>
      <c r="M109" s="38"/>
      <c r="N109" s="38"/>
      <c r="O109" s="38"/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67B82-690D-4F1B-96E6-A9DA4F5FD3DE}">
  <dimension ref="A1:E73"/>
  <sheetViews>
    <sheetView zoomScaleNormal="100" workbookViewId="0">
      <pane ySplit="1" topLeftCell="A2" activePane="bottomLeft" state="frozen"/>
      <selection pane="bottomLeft" activeCell="A8" sqref="A8"/>
    </sheetView>
  </sheetViews>
  <sheetFormatPr defaultColWidth="9.2109375" defaultRowHeight="15.9"/>
  <cols>
    <col min="1" max="1" width="9.2109375" style="2"/>
    <col min="2" max="2" width="12.2109375" style="2" customWidth="1"/>
    <col min="3" max="3" width="10.640625" style="2" bestFit="1" customWidth="1"/>
    <col min="4" max="4" width="36.7109375" style="2" bestFit="1" customWidth="1"/>
    <col min="5" max="5" width="75.85546875" style="2" bestFit="1" customWidth="1"/>
    <col min="6" max="6" width="9.7109375" style="2" bestFit="1" customWidth="1"/>
    <col min="7" max="16384" width="9.2109375" style="2"/>
  </cols>
  <sheetData>
    <row r="1" spans="1:5">
      <c r="A1" s="1" t="s">
        <v>191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B2" s="1" t="s">
        <v>8</v>
      </c>
      <c r="C2" s="1"/>
      <c r="D2" s="1"/>
      <c r="E2" s="1"/>
    </row>
    <row r="3" spans="1:5">
      <c r="B3" s="2" t="s">
        <v>9</v>
      </c>
      <c r="D3" s="2" t="s">
        <v>10</v>
      </c>
      <c r="E3" s="2" t="s">
        <v>11</v>
      </c>
    </row>
    <row r="4" spans="1:5">
      <c r="B4" s="2" t="str">
        <f t="shared" ref="B4:B5" si="0">DEC2HEX(HEX2DEC(B3)+4,8)</f>
        <v>00015AD8</v>
      </c>
      <c r="C4" s="1"/>
      <c r="D4" s="2" t="s">
        <v>6</v>
      </c>
      <c r="E4" s="2" t="s">
        <v>12</v>
      </c>
    </row>
    <row r="5" spans="1:5">
      <c r="B5" s="2" t="str">
        <f t="shared" si="0"/>
        <v>00015ADC</v>
      </c>
      <c r="D5" s="2" t="s">
        <v>13</v>
      </c>
      <c r="E5" s="2" t="s">
        <v>14</v>
      </c>
    </row>
    <row r="6" spans="1:5">
      <c r="E6" s="2" t="s">
        <v>15</v>
      </c>
    </row>
    <row r="7" spans="1:5">
      <c r="A7" s="1"/>
      <c r="B7" s="1"/>
      <c r="D7" s="1" t="s">
        <v>190</v>
      </c>
    </row>
    <row r="8" spans="1:5">
      <c r="A8" s="2" t="str">
        <f>DEC2HEX(HEX2DEC(B8)-HEX2DEC(100000),8)</f>
        <v>00225ACC</v>
      </c>
      <c r="B8" s="3" t="s">
        <v>193</v>
      </c>
      <c r="C8" s="3" t="s">
        <v>202</v>
      </c>
      <c r="D8" s="2" t="s">
        <v>194</v>
      </c>
      <c r="E8" s="2" t="s">
        <v>195</v>
      </c>
    </row>
    <row r="9" spans="1:5">
      <c r="A9" s="2" t="str">
        <f t="shared" ref="A9:B9" si="1">DEC2HEX(HEX2DEC(A8)+4,8)</f>
        <v>00225AD0</v>
      </c>
      <c r="B9" s="2" t="str">
        <f t="shared" si="1"/>
        <v>00325AD0</v>
      </c>
      <c r="C9" s="2" t="s">
        <v>203</v>
      </c>
      <c r="D9" s="2" t="s">
        <v>196</v>
      </c>
      <c r="E9" s="2" t="s">
        <v>197</v>
      </c>
    </row>
    <row r="10" spans="1:5">
      <c r="A10" s="2" t="str">
        <f t="shared" ref="A10:B10" si="2">DEC2HEX(HEX2DEC(A9)+4,8)</f>
        <v>00225AD4</v>
      </c>
      <c r="B10" s="2" t="str">
        <f t="shared" si="2"/>
        <v>00325AD4</v>
      </c>
      <c r="C10" s="3" t="s">
        <v>204</v>
      </c>
      <c r="D10" s="2" t="s">
        <v>198</v>
      </c>
      <c r="E10" s="2" t="s">
        <v>199</v>
      </c>
    </row>
    <row r="11" spans="1:5">
      <c r="A11" s="2" t="str">
        <f t="shared" ref="A11:B11" si="3">DEC2HEX(HEX2DEC(A10)+4,8)</f>
        <v>00225AD8</v>
      </c>
      <c r="B11" s="2" t="str">
        <f t="shared" si="3"/>
        <v>00325AD8</v>
      </c>
      <c r="C11" s="2" t="s">
        <v>205</v>
      </c>
      <c r="D11" s="2" t="s">
        <v>200</v>
      </c>
      <c r="E11" s="2" t="s">
        <v>201</v>
      </c>
    </row>
    <row r="13" spans="1:5">
      <c r="C13" s="3"/>
    </row>
    <row r="14" spans="1:5">
      <c r="C14" s="3"/>
    </row>
    <row r="15" spans="1:5">
      <c r="C15" s="3"/>
    </row>
    <row r="16" spans="1:5">
      <c r="C16" s="3"/>
    </row>
    <row r="17" spans="3:5">
      <c r="C17" s="3"/>
    </row>
    <row r="18" spans="3:5">
      <c r="C18" s="3"/>
    </row>
    <row r="19" spans="3:5">
      <c r="C19" s="12"/>
    </row>
    <row r="20" spans="3:5">
      <c r="C20" s="3"/>
    </row>
    <row r="21" spans="3:5">
      <c r="E21" s="12"/>
    </row>
    <row r="22" spans="3:5">
      <c r="C22" s="3"/>
    </row>
    <row r="23" spans="3:5">
      <c r="C23" s="3"/>
    </row>
    <row r="24" spans="3:5">
      <c r="C24" s="3"/>
    </row>
    <row r="25" spans="3:5">
      <c r="C25" s="3"/>
    </row>
    <row r="26" spans="3:5">
      <c r="C26" s="13"/>
      <c r="E26" s="12"/>
    </row>
    <row r="27" spans="3:5">
      <c r="C27" s="14"/>
    </row>
    <row r="28" spans="3:5">
      <c r="C28" s="14"/>
      <c r="E28" s="12"/>
    </row>
    <row r="29" spans="3:5">
      <c r="C29" s="14"/>
      <c r="E29" s="12"/>
    </row>
    <row r="30" spans="3:5">
      <c r="C30" s="6"/>
    </row>
    <row r="31" spans="3:5">
      <c r="C31" s="7"/>
    </row>
    <row r="32" spans="3:5">
      <c r="C32" s="7"/>
      <c r="D32" s="12"/>
    </row>
    <row r="33" spans="3:5">
      <c r="C33" s="6"/>
    </row>
    <row r="34" spans="3:5">
      <c r="C34" s="13"/>
      <c r="D34" s="12"/>
    </row>
    <row r="35" spans="3:5">
      <c r="C35" s="3"/>
    </row>
    <row r="36" spans="3:5">
      <c r="C36" s="3"/>
    </row>
    <row r="37" spans="3:5">
      <c r="C37" s="3"/>
    </row>
    <row r="38" spans="3:5">
      <c r="C38" s="13"/>
      <c r="E38" s="12"/>
    </row>
    <row r="39" spans="3:5">
      <c r="C39" s="14"/>
    </row>
    <row r="40" spans="3:5">
      <c r="C40" s="14"/>
      <c r="E40" s="12"/>
    </row>
    <row r="41" spans="3:5">
      <c r="C41" s="14"/>
      <c r="E41" s="12"/>
    </row>
    <row r="42" spans="3:5">
      <c r="C42" s="6"/>
    </row>
    <row r="43" spans="3:5">
      <c r="C43" s="7"/>
    </row>
    <row r="44" spans="3:5">
      <c r="C44" s="7"/>
      <c r="D44" s="12"/>
    </row>
    <row r="45" spans="3:5">
      <c r="C45" s="6"/>
    </row>
    <row r="46" spans="3:5">
      <c r="C46" s="6"/>
    </row>
    <row r="47" spans="3:5">
      <c r="C47" s="6"/>
    </row>
    <row r="48" spans="3:5">
      <c r="C48" s="7"/>
    </row>
    <row r="49" spans="3:3">
      <c r="C49" s="7"/>
    </row>
    <row r="50" spans="3:3">
      <c r="C50" s="7"/>
    </row>
    <row r="51" spans="3:3">
      <c r="C51" s="7"/>
    </row>
    <row r="52" spans="3:3">
      <c r="C52" s="6"/>
    </row>
    <row r="53" spans="3:3">
      <c r="C53" s="3"/>
    </row>
    <row r="54" spans="3:3">
      <c r="C54" s="3"/>
    </row>
    <row r="55" spans="3:3">
      <c r="C55" s="3"/>
    </row>
    <row r="56" spans="3:3">
      <c r="C56" s="3"/>
    </row>
    <row r="57" spans="3:3">
      <c r="C57" s="3"/>
    </row>
    <row r="58" spans="3:3">
      <c r="C58" s="3"/>
    </row>
    <row r="59" spans="3:3">
      <c r="C59" s="3"/>
    </row>
    <row r="60" spans="3:3">
      <c r="C60" s="3"/>
    </row>
    <row r="61" spans="3:3">
      <c r="C61" s="3"/>
    </row>
    <row r="62" spans="3:3">
      <c r="C62" s="3"/>
    </row>
    <row r="63" spans="3:3">
      <c r="C63" s="7"/>
    </row>
    <row r="64" spans="3:3">
      <c r="C64" s="7"/>
    </row>
    <row r="65" spans="3:3">
      <c r="C65" s="6"/>
    </row>
    <row r="66" spans="3:3">
      <c r="C66" s="7"/>
    </row>
    <row r="67" spans="3:3">
      <c r="C67" s="7"/>
    </row>
    <row r="68" spans="3:3">
      <c r="C68" s="6"/>
    </row>
    <row r="69" spans="3:3">
      <c r="C69" s="6"/>
    </row>
    <row r="70" spans="3:3">
      <c r="C70" s="6"/>
    </row>
    <row r="71" spans="3:3">
      <c r="C71" s="7"/>
    </row>
    <row r="72" spans="3:3">
      <c r="C72" s="7"/>
    </row>
    <row r="73" spans="3:3">
      <c r="C73" s="7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6844E-BF1C-49E3-AB21-CE1AE04B4D2D}">
  <dimension ref="A5:M40"/>
  <sheetViews>
    <sheetView workbookViewId="0">
      <selection activeCell="A9" sqref="A9"/>
    </sheetView>
  </sheetViews>
  <sheetFormatPr defaultRowHeight="15.9"/>
  <cols>
    <col min="1" max="1" width="8.640625" style="2" bestFit="1" customWidth="1"/>
    <col min="2" max="3" width="9.35546875" style="2" bestFit="1" customWidth="1"/>
    <col min="4" max="8" width="9.140625" style="2"/>
    <col min="9" max="9" width="15.92578125" style="2" bestFit="1" customWidth="1"/>
    <col min="10" max="10" width="10.42578125" style="2" bestFit="1" customWidth="1"/>
    <col min="11" max="11" width="9.35546875" style="2" bestFit="1" customWidth="1"/>
    <col min="12" max="16384" width="9.140625" style="2"/>
  </cols>
  <sheetData>
    <row r="5" spans="1:9">
      <c r="I5" s="2" t="s">
        <v>183</v>
      </c>
    </row>
    <row r="7" spans="1:9">
      <c r="B7" s="2" t="s">
        <v>182</v>
      </c>
      <c r="C7" s="2" t="s">
        <v>167</v>
      </c>
    </row>
    <row r="8" spans="1:9">
      <c r="A8" s="2">
        <v>1478</v>
      </c>
      <c r="B8" s="2">
        <v>33012890</v>
      </c>
      <c r="C8" s="2">
        <v>33012810</v>
      </c>
      <c r="D8" s="2" t="s">
        <v>181</v>
      </c>
      <c r="G8" s="2">
        <f>HEX2DEC(B8)-HEX2DEC(C8)</f>
        <v>128</v>
      </c>
      <c r="I8" s="2" t="str">
        <f>DEC2HEX(G8)</f>
        <v>80</v>
      </c>
    </row>
    <row r="9" spans="1:9">
      <c r="A9" s="2" t="s">
        <v>180</v>
      </c>
      <c r="B9" s="2" t="s">
        <v>179</v>
      </c>
      <c r="C9" s="2">
        <v>33012810</v>
      </c>
      <c r="D9" s="2" t="s">
        <v>178</v>
      </c>
      <c r="G9" s="2">
        <f>HEX2DEC(B9)-HEX2DEC(C9)</f>
        <v>1946</v>
      </c>
      <c r="I9" s="2" t="str">
        <f>DEC2HEX(G9)</f>
        <v>79A</v>
      </c>
    </row>
    <row r="10" spans="1:9">
      <c r="A10" s="2" t="s">
        <v>177</v>
      </c>
      <c r="D10" s="2" t="s">
        <v>176</v>
      </c>
    </row>
    <row r="11" spans="1:9">
      <c r="A11" s="2" t="s">
        <v>174</v>
      </c>
      <c r="D11" s="2" t="s">
        <v>175</v>
      </c>
    </row>
    <row r="13" spans="1:9">
      <c r="A13" s="2" t="s">
        <v>174</v>
      </c>
      <c r="B13" s="2" t="s">
        <v>173</v>
      </c>
      <c r="C13" s="2">
        <v>33012810</v>
      </c>
      <c r="G13" s="2">
        <f>HEX2DEC(B13)-HEX2DEC(C8)</f>
        <v>4288</v>
      </c>
      <c r="I13" s="2" t="str">
        <f>DEC2HEX(G13)</f>
        <v>10C0</v>
      </c>
    </row>
    <row r="15" spans="1:9">
      <c r="A15" s="2">
        <v>2808</v>
      </c>
      <c r="B15" s="2" t="s">
        <v>172</v>
      </c>
      <c r="C15" s="2">
        <v>33012810</v>
      </c>
      <c r="D15" s="2" t="s">
        <v>171</v>
      </c>
      <c r="G15" s="2">
        <f>HEX2DEC(B15)-HEX2DEC(C15)</f>
        <v>4348</v>
      </c>
      <c r="I15" s="2" t="str">
        <f>DEC2HEX(G15)</f>
        <v>10FC</v>
      </c>
    </row>
    <row r="18" spans="1:13">
      <c r="E18" s="2" t="s">
        <v>170</v>
      </c>
    </row>
    <row r="19" spans="1:13">
      <c r="C19" s="2">
        <v>33012810</v>
      </c>
    </row>
    <row r="20" spans="1:13">
      <c r="A20" s="3" t="s">
        <v>221</v>
      </c>
      <c r="B20" s="2" t="s">
        <v>226</v>
      </c>
      <c r="C20" s="2" t="str">
        <f>_xlfn.CONCAT("ldr r0, [pc, #",HEX2DEC(A34)-HEX2DEC(A20)-8,"]")</f>
        <v>ldr r0, [pc, #48]</v>
      </c>
    </row>
    <row r="21" spans="1:13">
      <c r="A21" s="2" t="str">
        <f t="shared" ref="A21:A34" si="0">DEC2HEX(HEX2DEC(A20)+4)</f>
        <v>321678</v>
      </c>
      <c r="B21" s="3" t="s">
        <v>234</v>
      </c>
      <c r="C21" s="2" t="str">
        <f>_xlfn.CONCAT("ldrh r1, [pc, #",HEX2DEC(A33)-HEX2DEC(A21)-8,"]")</f>
        <v>ldrh r1, [pc, #40]</v>
      </c>
    </row>
    <row r="22" spans="1:13">
      <c r="A22" s="2" t="str">
        <f t="shared" si="0"/>
        <v>32167C</v>
      </c>
      <c r="B22" s="3" t="s">
        <v>227</v>
      </c>
      <c r="C22" s="2" t="s">
        <v>224</v>
      </c>
    </row>
    <row r="23" spans="1:13">
      <c r="A23" s="2" t="str">
        <f t="shared" si="0"/>
        <v>321680</v>
      </c>
      <c r="B23" s="3" t="s">
        <v>235</v>
      </c>
      <c r="C23" s="2" t="s">
        <v>232</v>
      </c>
      <c r="H23" s="2" t="s">
        <v>169</v>
      </c>
    </row>
    <row r="24" spans="1:13">
      <c r="A24" s="2" t="str">
        <f t="shared" si="0"/>
        <v>321684</v>
      </c>
      <c r="B24" s="3" t="s">
        <v>228</v>
      </c>
      <c r="C24" s="2" t="s">
        <v>225</v>
      </c>
    </row>
    <row r="25" spans="1:13">
      <c r="A25" s="2" t="str">
        <f t="shared" si="0"/>
        <v>321688</v>
      </c>
      <c r="B25" s="3" t="s">
        <v>243</v>
      </c>
      <c r="C25" s="2" t="s">
        <v>238</v>
      </c>
      <c r="I25" s="2" t="s">
        <v>168</v>
      </c>
      <c r="J25" s="2" t="s">
        <v>167</v>
      </c>
    </row>
    <row r="26" spans="1:13">
      <c r="A26" s="2" t="str">
        <f t="shared" si="0"/>
        <v>32168C</v>
      </c>
      <c r="B26" s="3" t="s">
        <v>244</v>
      </c>
      <c r="C26" s="2" t="s">
        <v>239</v>
      </c>
      <c r="I26" s="2" t="s">
        <v>166</v>
      </c>
      <c r="J26" s="2" t="s">
        <v>162</v>
      </c>
      <c r="K26" s="2" t="str">
        <f>DEC2HEX(HEX2DEC(I26)-HEX2DEC(J26))</f>
        <v>102144E</v>
      </c>
    </row>
    <row r="27" spans="1:13">
      <c r="A27" s="2" t="str">
        <f t="shared" si="0"/>
        <v>321690</v>
      </c>
      <c r="B27" s="3" t="s">
        <v>245</v>
      </c>
      <c r="C27" s="2" t="s">
        <v>240</v>
      </c>
      <c r="I27" s="2" t="s">
        <v>165</v>
      </c>
      <c r="J27" s="2" t="s">
        <v>162</v>
      </c>
      <c r="K27" s="2" t="str">
        <f>DEC2HEX(HEX2DEC(I27)-HEX2DEC(J27))</f>
        <v>2F51722</v>
      </c>
    </row>
    <row r="28" spans="1:13">
      <c r="A28" s="2" t="str">
        <f t="shared" si="0"/>
        <v>321694</v>
      </c>
      <c r="B28" s="3" t="s">
        <v>246</v>
      </c>
      <c r="C28" s="2" t="s">
        <v>241</v>
      </c>
    </row>
    <row r="29" spans="1:13">
      <c r="A29" s="2" t="str">
        <f t="shared" si="0"/>
        <v>321698</v>
      </c>
      <c r="B29" s="3" t="s">
        <v>247</v>
      </c>
      <c r="C29" s="2" t="s">
        <v>242</v>
      </c>
      <c r="H29" s="2" t="s">
        <v>164</v>
      </c>
      <c r="I29" s="2" t="s">
        <v>163</v>
      </c>
      <c r="J29" s="2" t="s">
        <v>162</v>
      </c>
      <c r="K29" s="2" t="str">
        <f>DEC2HEX(HEX2DEC(I29)-HEX2DEC(J29))</f>
        <v>80</v>
      </c>
    </row>
    <row r="30" spans="1:13">
      <c r="A30" s="2" t="str">
        <f t="shared" si="0"/>
        <v>32169C</v>
      </c>
      <c r="B30" s="2" t="s">
        <v>161</v>
      </c>
      <c r="C30" s="2" t="str">
        <f>_xlfn.CONCAT("beq 0x",A30)</f>
        <v>beq 0x32169C</v>
      </c>
      <c r="I30" s="2" t="s">
        <v>160</v>
      </c>
      <c r="J30" s="2">
        <v>33012810</v>
      </c>
      <c r="K30" s="2" t="str">
        <f>DEC2HEX(HEX2DEC(I30)-HEX2DEC(J30))</f>
        <v>798</v>
      </c>
    </row>
    <row r="31" spans="1:13">
      <c r="A31" s="2" t="str">
        <f t="shared" si="0"/>
        <v>3216A0</v>
      </c>
      <c r="B31" s="3" t="s">
        <v>236</v>
      </c>
      <c r="C31" s="2" t="s">
        <v>233</v>
      </c>
      <c r="I31" s="2" t="s">
        <v>160</v>
      </c>
      <c r="J31" s="2">
        <v>30036614</v>
      </c>
      <c r="K31" s="2" t="str">
        <f>DEC2HEX(HEX2DEC(I31)-HEX2DEC(J31))</f>
        <v>2FDC994</v>
      </c>
      <c r="L31" s="2" t="s">
        <v>159</v>
      </c>
      <c r="M31" s="2" t="s">
        <v>158</v>
      </c>
    </row>
    <row r="32" spans="1:13">
      <c r="A32" s="2" t="str">
        <f t="shared" si="0"/>
        <v>3216A4</v>
      </c>
      <c r="B32" s="2" t="s">
        <v>229</v>
      </c>
      <c r="C32" s="2" t="str">
        <f>_xlfn.CONCAT("b 0x",A23)</f>
        <v>b 0x321680</v>
      </c>
      <c r="I32" s="2" t="s">
        <v>160</v>
      </c>
      <c r="J32" s="2" t="s">
        <v>185</v>
      </c>
      <c r="K32" s="2" t="str">
        <f>DEC2HEX(HEX2DEC(I32)-HEX2DEC(J32))</f>
        <v>2FDAE8C</v>
      </c>
      <c r="L32" s="2" t="s">
        <v>159</v>
      </c>
      <c r="M32" s="2" t="s">
        <v>158</v>
      </c>
    </row>
    <row r="33" spans="1:11">
      <c r="A33" s="2" t="str">
        <f t="shared" si="0"/>
        <v>3216A8</v>
      </c>
      <c r="B33" s="2" t="s">
        <v>231</v>
      </c>
      <c r="C33" s="2" t="s">
        <v>222</v>
      </c>
    </row>
    <row r="34" spans="1:11">
      <c r="A34" s="2" t="str">
        <f t="shared" si="0"/>
        <v>3216AC</v>
      </c>
      <c r="B34" s="2" t="s">
        <v>230</v>
      </c>
      <c r="C34" s="2" t="s">
        <v>223</v>
      </c>
    </row>
    <row r="35" spans="1:11">
      <c r="I35" s="2" t="s">
        <v>271</v>
      </c>
      <c r="J35" s="2">
        <f>HEX2DEC(I35)</f>
        <v>7844</v>
      </c>
    </row>
    <row r="36" spans="1:11">
      <c r="I36" s="2" t="s">
        <v>174</v>
      </c>
      <c r="J36" s="2">
        <f>HEX2DEC(I36)</f>
        <v>10188</v>
      </c>
      <c r="K36" s="2">
        <f>J36-J35</f>
        <v>2344</v>
      </c>
    </row>
    <row r="37" spans="1:11">
      <c r="B37" s="3"/>
    </row>
    <row r="38" spans="1:11">
      <c r="B38" s="3"/>
      <c r="I38" s="2" t="s">
        <v>160</v>
      </c>
      <c r="J38" s="2">
        <f>HEX2DEC(I38)</f>
        <v>855715752</v>
      </c>
    </row>
    <row r="39" spans="1:11">
      <c r="C39" s="2" t="s">
        <v>237</v>
      </c>
      <c r="I39" s="2" t="s">
        <v>173</v>
      </c>
      <c r="J39" s="2">
        <f>HEX2DEC(I39)</f>
        <v>855718096</v>
      </c>
      <c r="K39" s="2">
        <f>J39-J38</f>
        <v>2344</v>
      </c>
    </row>
    <row r="40" spans="1:11">
      <c r="B40" s="3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ACCCA-08F7-4537-BF78-4B88D8B88E79}">
  <dimension ref="A1:C38"/>
  <sheetViews>
    <sheetView workbookViewId="0">
      <selection activeCell="B17" sqref="B17"/>
    </sheetView>
  </sheetViews>
  <sheetFormatPr defaultRowHeight="14.15"/>
  <cols>
    <col min="1" max="1" width="9.35546875" bestFit="1" customWidth="1"/>
    <col min="2" max="2" width="50.35546875" bestFit="1" customWidth="1"/>
    <col min="3" max="3" width="8.35546875" bestFit="1" customWidth="1"/>
  </cols>
  <sheetData>
    <row r="1" spans="1:3">
      <c r="A1" t="s">
        <v>55</v>
      </c>
      <c r="B1" t="s">
        <v>56</v>
      </c>
      <c r="C1" t="s">
        <v>184</v>
      </c>
    </row>
    <row r="2" spans="1:3">
      <c r="A2">
        <v>0</v>
      </c>
      <c r="B2" t="s">
        <v>57</v>
      </c>
    </row>
    <row r="3" spans="1:3">
      <c r="A3">
        <v>1</v>
      </c>
      <c r="B3" t="s">
        <v>58</v>
      </c>
      <c r="C3">
        <v>9</v>
      </c>
    </row>
    <row r="4" spans="1:3">
      <c r="A4">
        <v>5</v>
      </c>
      <c r="B4" t="s">
        <v>59</v>
      </c>
      <c r="C4">
        <v>10</v>
      </c>
    </row>
    <row r="5" spans="1:3">
      <c r="A5">
        <v>9</v>
      </c>
      <c r="B5" t="s">
        <v>60</v>
      </c>
      <c r="C5">
        <v>15</v>
      </c>
    </row>
    <row r="6" spans="1:3">
      <c r="A6" t="s">
        <v>26</v>
      </c>
      <c r="B6" t="s">
        <v>61</v>
      </c>
      <c r="C6">
        <v>17</v>
      </c>
    </row>
    <row r="7" spans="1:3">
      <c r="A7" t="s">
        <v>62</v>
      </c>
      <c r="B7" t="s">
        <v>63</v>
      </c>
    </row>
    <row r="8" spans="1:3">
      <c r="A8">
        <v>14</v>
      </c>
      <c r="B8" t="s">
        <v>64</v>
      </c>
    </row>
    <row r="9" spans="1:3">
      <c r="A9">
        <v>15</v>
      </c>
      <c r="B9" t="s">
        <v>65</v>
      </c>
      <c r="C9">
        <v>20</v>
      </c>
    </row>
    <row r="10" spans="1:3">
      <c r="A10">
        <v>16</v>
      </c>
      <c r="B10" t="s">
        <v>66</v>
      </c>
      <c r="C10">
        <v>25</v>
      </c>
    </row>
    <row r="11" spans="1:3">
      <c r="A11">
        <v>19</v>
      </c>
      <c r="B11" t="s">
        <v>67</v>
      </c>
      <c r="C11">
        <v>27</v>
      </c>
    </row>
    <row r="12" spans="1:3">
      <c r="A12" t="s">
        <v>68</v>
      </c>
      <c r="B12" t="s">
        <v>69</v>
      </c>
    </row>
    <row r="13" spans="1:3">
      <c r="A13" t="s">
        <v>30</v>
      </c>
      <c r="B13" t="s">
        <v>69</v>
      </c>
      <c r="C13">
        <v>29</v>
      </c>
    </row>
    <row r="14" spans="1:3">
      <c r="A14" t="s">
        <v>32</v>
      </c>
      <c r="B14" t="s">
        <v>70</v>
      </c>
      <c r="C14">
        <v>32</v>
      </c>
    </row>
    <row r="15" spans="1:3">
      <c r="A15">
        <v>24</v>
      </c>
      <c r="B15" t="s">
        <v>71</v>
      </c>
      <c r="C15">
        <v>37</v>
      </c>
    </row>
    <row r="16" spans="1:3">
      <c r="A16" t="s">
        <v>72</v>
      </c>
      <c r="B16" t="s">
        <v>73</v>
      </c>
    </row>
    <row r="17" spans="1:3">
      <c r="A17">
        <v>31</v>
      </c>
      <c r="B17" t="s">
        <v>74</v>
      </c>
      <c r="C17">
        <v>40</v>
      </c>
    </row>
    <row r="18" spans="1:3">
      <c r="A18">
        <v>33</v>
      </c>
      <c r="B18" t="s">
        <v>75</v>
      </c>
      <c r="C18">
        <v>48</v>
      </c>
    </row>
    <row r="19" spans="1:3">
      <c r="A19" t="s">
        <v>76</v>
      </c>
      <c r="B19" t="s">
        <v>77</v>
      </c>
      <c r="C19">
        <v>50</v>
      </c>
    </row>
    <row r="20" spans="1:3">
      <c r="A20">
        <v>46</v>
      </c>
      <c r="B20" t="s">
        <v>78</v>
      </c>
      <c r="C20">
        <v>55</v>
      </c>
    </row>
    <row r="21" spans="1:3">
      <c r="A21">
        <v>51</v>
      </c>
      <c r="B21" t="s">
        <v>79</v>
      </c>
      <c r="C21">
        <v>60</v>
      </c>
    </row>
    <row r="22" spans="1:3">
      <c r="A22">
        <v>52</v>
      </c>
      <c r="B22" t="s">
        <v>80</v>
      </c>
    </row>
    <row r="23" spans="1:3">
      <c r="A23">
        <v>58</v>
      </c>
      <c r="B23" t="s">
        <v>80</v>
      </c>
    </row>
    <row r="24" spans="1:3">
      <c r="A24">
        <v>59</v>
      </c>
      <c r="B24" t="s">
        <v>80</v>
      </c>
    </row>
    <row r="25" spans="1:3">
      <c r="A25" t="s">
        <v>38</v>
      </c>
      <c r="B25" t="s">
        <v>80</v>
      </c>
      <c r="C25">
        <v>63</v>
      </c>
    </row>
    <row r="26" spans="1:3">
      <c r="A26">
        <v>73</v>
      </c>
      <c r="B26" t="s">
        <v>81</v>
      </c>
      <c r="C26">
        <v>65</v>
      </c>
    </row>
    <row r="27" spans="1:3">
      <c r="A27">
        <v>75</v>
      </c>
      <c r="B27" t="s">
        <v>82</v>
      </c>
    </row>
    <row r="28" spans="1:3">
      <c r="A28" t="s">
        <v>41</v>
      </c>
      <c r="B28" t="s">
        <v>83</v>
      </c>
      <c r="C28">
        <v>70</v>
      </c>
    </row>
    <row r="29" spans="1:3">
      <c r="A29" t="s">
        <v>84</v>
      </c>
      <c r="B29" t="s">
        <v>85</v>
      </c>
      <c r="C29">
        <v>72</v>
      </c>
    </row>
    <row r="30" spans="1:3">
      <c r="A30">
        <v>88</v>
      </c>
      <c r="B30" t="s">
        <v>86</v>
      </c>
    </row>
    <row r="31" spans="1:3">
      <c r="A31" t="s">
        <v>43</v>
      </c>
      <c r="B31" t="s">
        <v>87</v>
      </c>
    </row>
    <row r="32" spans="1:3">
      <c r="A32">
        <v>93</v>
      </c>
      <c r="B32" t="s">
        <v>88</v>
      </c>
      <c r="C32">
        <v>75</v>
      </c>
    </row>
    <row r="33" spans="1:3">
      <c r="A33" t="s">
        <v>47</v>
      </c>
      <c r="B33" t="s">
        <v>89</v>
      </c>
      <c r="C33">
        <v>85</v>
      </c>
    </row>
    <row r="34" spans="1:3">
      <c r="A34" t="s">
        <v>50</v>
      </c>
      <c r="B34" t="s">
        <v>90</v>
      </c>
      <c r="C34">
        <v>90</v>
      </c>
    </row>
    <row r="35" spans="1:3">
      <c r="A35" t="s">
        <v>52</v>
      </c>
      <c r="B35" t="s">
        <v>91</v>
      </c>
      <c r="C35">
        <v>96</v>
      </c>
    </row>
    <row r="36" spans="1:3">
      <c r="A36" t="s">
        <v>92</v>
      </c>
      <c r="B36" t="s">
        <v>53</v>
      </c>
    </row>
    <row r="37" spans="1:3">
      <c r="A37" t="s">
        <v>54</v>
      </c>
      <c r="B37" t="s">
        <v>93</v>
      </c>
      <c r="C37">
        <v>100</v>
      </c>
    </row>
    <row r="38" spans="1:3">
      <c r="A38">
        <v>140</v>
      </c>
      <c r="B38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Edited code.bin and bag.cro</vt:lpstr>
      <vt:lpstr>Edited battle.cro</vt:lpstr>
      <vt:lpstr>Table Builder</vt:lpstr>
      <vt:lpstr>Data</vt:lpstr>
      <vt:lpstr>original</vt:lpstr>
      <vt:lpstr>Sheet1</vt:lpstr>
      <vt:lpstr>important 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2024-11-26T03:26:41Z</dcterms:created>
  <dcterms:modified xsi:type="dcterms:W3CDTF">2026-06-23T01:39:31Z</dcterms:modified>
</cp:coreProperties>
</file>