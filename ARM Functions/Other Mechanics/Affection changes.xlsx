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4F81727D-C3EE-448E-B159-01B48FE7D684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code" sheetId="6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6" l="1"/>
  <c r="A69" i="6" l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C64" i="6"/>
  <c r="A97" i="6" l="1"/>
  <c r="C95" i="6" s="1"/>
  <c r="C89" i="6"/>
  <c r="C81" i="6"/>
  <c r="C77" i="6"/>
  <c r="C72" i="6"/>
  <c r="C85" i="6"/>
  <c r="F42" i="6"/>
  <c r="A47" i="6"/>
  <c r="A48" i="6" s="1"/>
  <c r="A49" i="6" s="1"/>
  <c r="A50" i="6" s="1"/>
  <c r="A42" i="6"/>
  <c r="A43" i="6" s="1"/>
  <c r="A27" i="6"/>
  <c r="A28" i="6" s="1"/>
  <c r="A29" i="6" s="1"/>
  <c r="A30" i="6" s="1"/>
  <c r="A31" i="6" s="1"/>
  <c r="A32" i="6" s="1"/>
  <c r="A33" i="6" s="1"/>
  <c r="A34" i="6" s="1"/>
  <c r="A35" i="6" s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51" i="6" l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4" i="6"/>
  <c r="A63" i="6" l="1"/>
  <c r="A64" i="6" s="1"/>
  <c r="A65" i="6" s="1"/>
  <c r="C52" i="6"/>
  <c r="C55" i="6"/>
  <c r="C58" i="6"/>
</calcChain>
</file>

<file path=xl/sharedStrings.xml><?xml version="1.0" encoding="utf-8"?>
<sst xmlns="http://schemas.openxmlformats.org/spreadsheetml/2006/main" count="292" uniqueCount="205">
  <si>
    <t>notes</t>
  </si>
  <si>
    <t>nop</t>
  </si>
  <si>
    <t>00F020E3</t>
  </si>
  <si>
    <t xml:space="preserve">nop </t>
  </si>
  <si>
    <t>Offset</t>
  </si>
  <si>
    <t>Original Hex</t>
  </si>
  <si>
    <t>Original Instruction</t>
  </si>
  <si>
    <t>Edited Hex</t>
  </si>
  <si>
    <t>Edited Instruction</t>
  </si>
  <si>
    <t>Affection Survival with 1 HP Roll</t>
  </si>
  <si>
    <t>000878EC</t>
  </si>
  <si>
    <t>000054E3</t>
  </si>
  <si>
    <t>0600000A</t>
  </si>
  <si>
    <t>cmp r4, 0x0</t>
  </si>
  <si>
    <t>beq 0x00087910</t>
  </si>
  <si>
    <t>0007EEE8</t>
  </si>
  <si>
    <t>Affection Double Critical Rate</t>
  </si>
  <si>
    <t>bl #0x90b08</t>
  </si>
  <si>
    <t>cmp r0, #0xff</t>
  </si>
  <si>
    <t>movlo r0, #1</t>
  </si>
  <si>
    <t>movhs r0, #2</t>
  </si>
  <si>
    <t>064700EB</t>
  </si>
  <si>
    <t>FF0050E3</t>
  </si>
  <si>
    <t>0100A033</t>
  </si>
  <si>
    <t>0200A023</t>
  </si>
  <si>
    <t>Affection Subtract 10 from Opponent Accuracy</t>
  </si>
  <si>
    <t>00016B30</t>
  </si>
  <si>
    <t>cmp r0, #0xc8</t>
  </si>
  <si>
    <t>blo #0x16b58</t>
  </si>
  <si>
    <t>cmp r4, #0xa</t>
  </si>
  <si>
    <t>subhi r4, r4, #0xa</t>
  </si>
  <si>
    <t>movls r4, #0</t>
  </si>
  <si>
    <t>cmp r5, #0</t>
  </si>
  <si>
    <t>movne r0, #1</t>
  </si>
  <si>
    <t>strbne r0, [r5]</t>
  </si>
  <si>
    <t>F4E701EB</t>
  </si>
  <si>
    <t>C80050E3</t>
  </si>
  <si>
    <t>0500003A</t>
  </si>
  <si>
    <t>0A0054E3</t>
  </si>
  <si>
    <t>0A404482</t>
  </si>
  <si>
    <t>0040A093</t>
  </si>
  <si>
    <t>000055E3</t>
  </si>
  <si>
    <t>0100A013</t>
  </si>
  <si>
    <t>0000C515</t>
  </si>
  <si>
    <t>b 0x00016B58</t>
  </si>
  <si>
    <t>NA</t>
  </si>
  <si>
    <t>CCCCCCCC</t>
  </si>
  <si>
    <t>00016D94</t>
  </si>
  <si>
    <t>173B00EB</t>
  </si>
  <si>
    <t>bl 0x000259F8</t>
  </si>
  <si>
    <t>0600003A</t>
  </si>
  <si>
    <t>020000EA</t>
  </si>
  <si>
    <t>Affection End of Turn Heal From Status</t>
  </si>
  <si>
    <t>set multiplier to 1</t>
  </si>
  <si>
    <t>keeping this part while removing the lines that</t>
  </si>
  <si>
    <t>change accuracy lets the special animation</t>
  </si>
  <si>
    <t>and text play if it misses for normal reasons</t>
  </si>
  <si>
    <t>Affection Increase Catch Rate</t>
  </si>
  <si>
    <t>0002D870</t>
  </si>
  <si>
    <t>sub r1, r8, 0x300</t>
  </si>
  <si>
    <t>subs r1, r1, 0x53</t>
  </si>
  <si>
    <t>mov r6, r0</t>
  </si>
  <si>
    <t>load catcher pointer</t>
  </si>
  <si>
    <t>Diversion for Affection Increase Catch Rate</t>
  </si>
  <si>
    <t>bx lr</t>
  </si>
  <si>
    <t>2 instructions that diversion replaced</t>
  </si>
  <si>
    <t>ldr r1, [sp, 0x44]</t>
  </si>
  <si>
    <t>70a870</t>
  </si>
  <si>
    <t>pokeball multi in r0, pointer in r1</t>
  </si>
  <si>
    <t>mov r0, r1</t>
  </si>
  <si>
    <t>bl 0x00090B08</t>
  </si>
  <si>
    <t>get affection of your Pokemon</t>
  </si>
  <si>
    <t>cmp r0, 0x32</t>
  </si>
  <si>
    <t>cmp r0, 0xFF</t>
  </si>
  <si>
    <t>max affection</t>
  </si>
  <si>
    <t>moveq r6, 0x1000</t>
  </si>
  <si>
    <t>cmp r0, 0x96</t>
  </si>
  <si>
    <t>movhs r6, 0x800</t>
  </si>
  <si>
    <t>+1 to Pokeball catch rate</t>
  </si>
  <si>
    <t>+0.5 to Pokeball catch rate</t>
  </si>
  <si>
    <t>cmp r0, 0x64</t>
  </si>
  <si>
    <t>150 (4 Hearts)</t>
  </si>
  <si>
    <t>100 (3 Hearts)</t>
  </si>
  <si>
    <t>+0.25 to Pokeball catch rate</t>
  </si>
  <si>
    <t>movhs r6, 0x400</t>
  </si>
  <si>
    <t>50 (2 Hearts)</t>
  </si>
  <si>
    <t>+0.125 to Pokeball catch rate</t>
  </si>
  <si>
    <t>movhs r6, 0x200</t>
  </si>
  <si>
    <t>movlo r6, 0x0</t>
  </si>
  <si>
    <t>000C671C</t>
  </si>
  <si>
    <t>0100A0E1</t>
  </si>
  <si>
    <t>F628FFEB</t>
  </si>
  <si>
    <t>016AA003</t>
  </si>
  <si>
    <t>960050E3</t>
  </si>
  <si>
    <t>026BA023</t>
  </si>
  <si>
    <t>640050E3</t>
  </si>
  <si>
    <t>016BA023</t>
  </si>
  <si>
    <t>320050E3</t>
  </si>
  <si>
    <t>026CA023</t>
  </si>
  <si>
    <t>0060A033</t>
  </si>
  <si>
    <t>031C48E2</t>
  </si>
  <si>
    <t>1EFF2FE1</t>
  </si>
  <si>
    <t>531051E2</t>
  </si>
  <si>
    <t>0060A0E1</t>
  </si>
  <si>
    <t>44109DE5</t>
  </si>
  <si>
    <t>A86302EB</t>
  </si>
  <si>
    <t>0800000A</t>
  </si>
  <si>
    <t>0500002A</t>
  </si>
  <si>
    <t>0200002A</t>
  </si>
  <si>
    <t>push {r2, r3, r4, lr}</t>
  </si>
  <si>
    <t>mov r4, r0</t>
  </si>
  <si>
    <t>add r6, r6, r4</t>
  </si>
  <si>
    <t>1C402DE9</t>
  </si>
  <si>
    <t>0040A0E1</t>
  </si>
  <si>
    <t>046086E0</t>
  </si>
  <si>
    <t>1C40BDE8</t>
  </si>
  <si>
    <t>Go to False Swipe stuff (replaced Affection), otherwise use 0400000A</t>
  </si>
  <si>
    <t>str r0, [sp]</t>
  </si>
  <si>
    <t>ldr r1, [sp]</t>
  </si>
  <si>
    <t>bl 0x000B0448</t>
  </si>
  <si>
    <t>movs r9, r0</t>
  </si>
  <si>
    <t>beq 0x0007EF28</t>
  </si>
  <si>
    <t>ldr r0, [sp]</t>
  </si>
  <si>
    <t>cmp r0, 0x2</t>
  </si>
  <si>
    <t>movne r0, 0x0</t>
  </si>
  <si>
    <t>str r0, [sp, 0x1C]</t>
  </si>
  <si>
    <t>moveq r0, 0x1</t>
  </si>
  <si>
    <t>and r0, r8, 0xFF</t>
  </si>
  <si>
    <t>mov r1, 0x1</t>
  </si>
  <si>
    <t>roll crit</t>
  </si>
  <si>
    <t>don't do the next bit if it fails</t>
  </si>
  <si>
    <t>get affection</t>
  </si>
  <si>
    <t>sub r0, r0, 0x1</t>
  </si>
  <si>
    <t>set alt text flag to true if affection max</t>
  </si>
  <si>
    <t>00008DE5</t>
  </si>
  <si>
    <t>0110A0E3</t>
  </si>
  <si>
    <t>FF0008E2</t>
  </si>
  <si>
    <t>4FC500EB</t>
  </si>
  <si>
    <t>0090B0E1</t>
  </si>
  <si>
    <t>0500000A</t>
  </si>
  <si>
    <t>00009DE5</t>
  </si>
  <si>
    <t>010040E2</t>
  </si>
  <si>
    <t>1C008DE5</t>
  </si>
  <si>
    <t>00109DE5</t>
  </si>
  <si>
    <t>0400000A</t>
  </si>
  <si>
    <t>020050E3</t>
  </si>
  <si>
    <t>0100A003</t>
  </si>
  <si>
    <t>0000A013</t>
  </si>
  <si>
    <t>Return Affection</t>
  </si>
  <si>
    <t>00090B08</t>
  </si>
  <si>
    <t>push {r4, lr}</t>
  </si>
  <si>
    <t>mov r4, r1</t>
  </si>
  <si>
    <t>cmp r1, #2</t>
  </si>
  <si>
    <t>ldr r0, [r0, #0xc]</t>
  </si>
  <si>
    <t>ldrb r0, [r0]</t>
  </si>
  <si>
    <t>cmp r0, #0</t>
  </si>
  <si>
    <t>cmpne r0, #1</t>
  </si>
  <si>
    <t>mov r0, r4</t>
  </si>
  <si>
    <t>bl #0x7b7a0</t>
  </si>
  <si>
    <t>bl #0xe22d0</t>
  </si>
  <si>
    <t>bl #0xe22e0</t>
  </si>
  <si>
    <t>ldrb r0, [r0, #0x19]</t>
  </si>
  <si>
    <t>bl #0x8b564</t>
  </si>
  <si>
    <t>ldrbeq r0, [r4, #0x23a]</t>
  </si>
  <si>
    <t>mov r0, #0</t>
  </si>
  <si>
    <t>pop {r4, pc}</t>
  </si>
  <si>
    <t>10402DE9</t>
  </si>
  <si>
    <t>0140A0E1</t>
  </si>
  <si>
    <t>681AD0E5</t>
  </si>
  <si>
    <t>020051E3</t>
  </si>
  <si>
    <t>1600000A</t>
  </si>
  <si>
    <t>0C0090E5</t>
  </si>
  <si>
    <t>0000D0E5</t>
  </si>
  <si>
    <t>000050E3</t>
  </si>
  <si>
    <t>01005013</t>
  </si>
  <si>
    <t>1100001A</t>
  </si>
  <si>
    <t>0400A0E1</t>
  </si>
  <si>
    <t>19ABFFEB</t>
  </si>
  <si>
    <t>E14501EB</t>
  </si>
  <si>
    <t>0900001A</t>
  </si>
  <si>
    <t>0500001A</t>
  </si>
  <si>
    <t>1900D0E5</t>
  </si>
  <si>
    <t>7DEAFFEB</t>
  </si>
  <si>
    <t>3A02D405</t>
  </si>
  <si>
    <t>0000000A</t>
  </si>
  <si>
    <t>0000A0E3</t>
  </si>
  <si>
    <t>1080BDE8</t>
  </si>
  <si>
    <t>0D00001A</t>
  </si>
  <si>
    <t>ldrb r1, [r0, #0xA68]</t>
  </si>
  <si>
    <t>check is mega</t>
  </si>
  <si>
    <t>Check is PC</t>
  </si>
  <si>
    <t>if PC, load affection</t>
  </si>
  <si>
    <t>check is Primal Groudon/Kyogre</t>
  </si>
  <si>
    <t>Check is Ultra Bursted</t>
  </si>
  <si>
    <t>Not sure what these do</t>
  </si>
  <si>
    <t>but probably check for PvP</t>
  </si>
  <si>
    <t>and Battle Facility</t>
  </si>
  <si>
    <t>ldrb r0, [r4, #0x19]</t>
  </si>
  <si>
    <t>if not, return 0</t>
  </si>
  <si>
    <t>bl 0x0008B564</t>
  </si>
  <si>
    <t>1900D4E5</t>
  </si>
  <si>
    <t>92EAFFEB</t>
  </si>
  <si>
    <t>0 = Wild</t>
  </si>
  <si>
    <t>1 = NPC Trainer</t>
  </si>
  <si>
    <t>2 = Battle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</si>
</sst>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5" borderId="0" xfId="0" quotePrefix="1" applyFont="1" applyFill="1"/>
    <xf numFmtId="0" fontId="1" fillId="0" borderId="0" xfId="0" applyFont="1" applyAlignment="1">
      <alignment horizontal="center"/>
    </xf>
    <xf numFmtId="0" fontId="2" fillId="6" borderId="0" xfId="0" applyFont="1" applyFill="1"/>
    <xf numFmtId="0" fontId="2" fillId="6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H97"/>
  <sheetViews>
    <sheetView tabSelected="1" zoomScale="70" zoomScaleNormal="70" workbookViewId="0">
      <pane ySplit="1" topLeftCell="A35" activePane="bottomLeft" state="frozen"/>
      <selection pane="bottomLeft" activeCell="E68" sqref="E68:E75"/>
    </sheetView>
  </sheetViews>
  <sheetFormatPr defaultColWidth="9.2109375" defaultRowHeight="15.9"/>
  <cols>
    <col min="1" max="1" width="10.0703125" style="2" bestFit="1" customWidth="1"/>
    <col min="2" max="2" width="14.78515625" style="2" bestFit="1" customWidth="1"/>
    <col min="3" max="3" width="26.640625" style="2" customWidth="1"/>
    <col min="4" max="4" width="33.35546875" style="2" bestFit="1" customWidth="1"/>
    <col min="5" max="5" width="12.35546875" style="2" bestFit="1" customWidth="1"/>
    <col min="6" max="6" width="25.7109375" style="2" bestFit="1" customWidth="1"/>
    <col min="7" max="7" width="21.2109375" style="2" customWidth="1"/>
    <col min="8" max="8" width="17.2109375" style="2" bestFit="1" customWidth="1"/>
    <col min="9" max="16384" width="9.2109375" style="2"/>
  </cols>
  <sheetData>
    <row r="1" spans="1:7">
      <c r="A1" s="1" t="s">
        <v>4</v>
      </c>
      <c r="B1" s="1" t="s">
        <v>5</v>
      </c>
      <c r="C1" s="1" t="s">
        <v>6</v>
      </c>
      <c r="D1" s="1"/>
      <c r="E1" s="1" t="s">
        <v>7</v>
      </c>
      <c r="F1" s="1" t="s">
        <v>8</v>
      </c>
      <c r="G1" s="1" t="s">
        <v>0</v>
      </c>
    </row>
    <row r="2" spans="1:7">
      <c r="A2" s="13" t="s">
        <v>9</v>
      </c>
      <c r="B2" s="13"/>
      <c r="C2" s="13"/>
      <c r="D2" s="13"/>
      <c r="E2" s="13"/>
      <c r="F2" s="13"/>
      <c r="G2" s="1"/>
    </row>
    <row r="3" spans="1:7">
      <c r="A3" s="2" t="s">
        <v>10</v>
      </c>
      <c r="B3" s="3" t="s">
        <v>11</v>
      </c>
      <c r="C3" s="2" t="s">
        <v>13</v>
      </c>
      <c r="E3" s="3" t="s">
        <v>11</v>
      </c>
      <c r="F3" s="2" t="s">
        <v>13</v>
      </c>
    </row>
    <row r="4" spans="1:7">
      <c r="A4" s="2" t="str">
        <f>DEC2HEX(4+HEX2DEC(A3),8)</f>
        <v>000878F0</v>
      </c>
      <c r="B4" s="2" t="s">
        <v>12</v>
      </c>
      <c r="C4" s="2" t="s">
        <v>14</v>
      </c>
      <c r="E4" s="2" t="s">
        <v>12</v>
      </c>
      <c r="F4" s="2" t="s">
        <v>14</v>
      </c>
      <c r="G4" s="2" t="s">
        <v>116</v>
      </c>
    </row>
    <row r="5" spans="1:7">
      <c r="A5" s="1"/>
      <c r="B5" s="1"/>
      <c r="C5" s="1"/>
      <c r="D5" s="1"/>
      <c r="E5" s="1"/>
      <c r="F5" s="1"/>
      <c r="G5" s="1"/>
    </row>
    <row r="6" spans="1:7">
      <c r="A6" s="13" t="s">
        <v>16</v>
      </c>
      <c r="B6" s="13"/>
      <c r="C6" s="13"/>
      <c r="D6" s="13"/>
      <c r="E6" s="13"/>
      <c r="F6" s="13"/>
    </row>
    <row r="7" spans="1:7">
      <c r="A7" s="2" t="s">
        <v>15</v>
      </c>
      <c r="B7" s="2" t="s">
        <v>21</v>
      </c>
      <c r="C7" s="2" t="s">
        <v>17</v>
      </c>
      <c r="E7" s="2" t="s">
        <v>21</v>
      </c>
      <c r="F7" s="2" t="s">
        <v>17</v>
      </c>
      <c r="G7" s="2" t="s">
        <v>131</v>
      </c>
    </row>
    <row r="8" spans="1:7">
      <c r="A8" s="2" t="str">
        <f t="shared" ref="A8:A23" si="0">DEC2HEX(4+HEX2DEC(A7),8)</f>
        <v>0007EEEC</v>
      </c>
      <c r="B8" s="2" t="s">
        <v>22</v>
      </c>
      <c r="C8" s="2" t="s">
        <v>18</v>
      </c>
      <c r="E8" s="2" t="s">
        <v>22</v>
      </c>
      <c r="F8" s="2" t="s">
        <v>18</v>
      </c>
    </row>
    <row r="9" spans="1:7">
      <c r="A9" s="2" t="str">
        <f t="shared" si="0"/>
        <v>0007EEF0</v>
      </c>
      <c r="B9" s="2" t="s">
        <v>23</v>
      </c>
      <c r="C9" s="2" t="s">
        <v>19</v>
      </c>
      <c r="E9" s="2" t="s">
        <v>23</v>
      </c>
      <c r="F9" s="2" t="s">
        <v>19</v>
      </c>
    </row>
    <row r="10" spans="1:7">
      <c r="A10" s="2" t="str">
        <f t="shared" si="0"/>
        <v>0007EEF4</v>
      </c>
      <c r="B10" s="2" t="s">
        <v>24</v>
      </c>
      <c r="C10" s="2" t="s">
        <v>20</v>
      </c>
      <c r="E10" s="2" t="s">
        <v>24</v>
      </c>
      <c r="F10" s="2" t="s">
        <v>20</v>
      </c>
    </row>
    <row r="11" spans="1:7">
      <c r="A11" s="2" t="str">
        <f t="shared" si="0"/>
        <v>0007EEF8</v>
      </c>
      <c r="B11" s="2" t="s">
        <v>134</v>
      </c>
      <c r="C11" s="2" t="s">
        <v>117</v>
      </c>
      <c r="E11" s="2" t="s">
        <v>134</v>
      </c>
      <c r="F11" s="2" t="s">
        <v>117</v>
      </c>
    </row>
    <row r="12" spans="1:7">
      <c r="A12" s="2" t="str">
        <f t="shared" si="0"/>
        <v>0007EEFC</v>
      </c>
      <c r="B12" s="2" t="s">
        <v>143</v>
      </c>
      <c r="C12" s="2" t="s">
        <v>118</v>
      </c>
      <c r="E12" s="2" t="s">
        <v>135</v>
      </c>
      <c r="F12" s="2" t="s">
        <v>128</v>
      </c>
      <c r="G12" s="2" t="s">
        <v>53</v>
      </c>
    </row>
    <row r="13" spans="1:7">
      <c r="A13" s="2" t="str">
        <f t="shared" si="0"/>
        <v>0007EF00</v>
      </c>
      <c r="B13" s="2" t="s">
        <v>136</v>
      </c>
      <c r="C13" s="2" t="s">
        <v>127</v>
      </c>
      <c r="E13" s="2" t="s">
        <v>136</v>
      </c>
      <c r="F13" s="2" t="s">
        <v>127</v>
      </c>
    </row>
    <row r="14" spans="1:7">
      <c r="A14" s="2" t="str">
        <f t="shared" si="0"/>
        <v>0007EF04</v>
      </c>
      <c r="B14" s="2" t="s">
        <v>137</v>
      </c>
      <c r="C14" s="2" t="s">
        <v>119</v>
      </c>
      <c r="E14" s="2" t="s">
        <v>137</v>
      </c>
      <c r="F14" s="2" t="s">
        <v>119</v>
      </c>
      <c r="G14" s="2" t="s">
        <v>129</v>
      </c>
    </row>
    <row r="15" spans="1:7">
      <c r="A15" s="2" t="str">
        <f t="shared" si="0"/>
        <v>0007EF08</v>
      </c>
      <c r="B15" s="2" t="s">
        <v>138</v>
      </c>
      <c r="C15" s="2" t="s">
        <v>120</v>
      </c>
      <c r="E15" s="2" t="s">
        <v>138</v>
      </c>
      <c r="F15" s="2" t="s">
        <v>120</v>
      </c>
    </row>
    <row r="16" spans="1:7">
      <c r="A16" s="2" t="str">
        <f t="shared" si="0"/>
        <v>0007EF0C</v>
      </c>
      <c r="B16" s="2" t="s">
        <v>2</v>
      </c>
      <c r="C16" s="2" t="s">
        <v>3</v>
      </c>
      <c r="E16" s="2" t="s">
        <v>139</v>
      </c>
      <c r="F16" s="2" t="s">
        <v>121</v>
      </c>
      <c r="G16" s="2" t="s">
        <v>130</v>
      </c>
    </row>
    <row r="17" spans="1:8">
      <c r="A17" s="2" t="str">
        <f t="shared" si="0"/>
        <v>0007EF10</v>
      </c>
      <c r="B17" s="2" t="s">
        <v>144</v>
      </c>
      <c r="C17" s="2" t="s">
        <v>121</v>
      </c>
      <c r="E17" s="2" t="s">
        <v>140</v>
      </c>
      <c r="F17" s="2" t="s">
        <v>122</v>
      </c>
    </row>
    <row r="18" spans="1:8">
      <c r="A18" s="2" t="str">
        <f t="shared" si="0"/>
        <v>0007EF14</v>
      </c>
      <c r="B18" s="2" t="s">
        <v>140</v>
      </c>
      <c r="C18" s="2" t="s">
        <v>122</v>
      </c>
      <c r="E18" s="3" t="s">
        <v>141</v>
      </c>
      <c r="F18" s="2" t="s">
        <v>132</v>
      </c>
      <c r="G18" s="2" t="s">
        <v>133</v>
      </c>
    </row>
    <row r="19" spans="1:8">
      <c r="A19" s="2" t="str">
        <f t="shared" si="0"/>
        <v>0007EF18</v>
      </c>
      <c r="B19" s="3" t="s">
        <v>145</v>
      </c>
      <c r="C19" s="2" t="s">
        <v>123</v>
      </c>
      <c r="E19" s="2" t="s">
        <v>142</v>
      </c>
      <c r="F19" s="2" t="s">
        <v>125</v>
      </c>
    </row>
    <row r="20" spans="1:8">
      <c r="A20" s="2" t="str">
        <f t="shared" si="0"/>
        <v>0007EF1C</v>
      </c>
      <c r="B20" s="2" t="s">
        <v>146</v>
      </c>
      <c r="C20" s="2" t="s">
        <v>126</v>
      </c>
      <c r="E20" s="2" t="s">
        <v>2</v>
      </c>
      <c r="F20" s="2" t="s">
        <v>1</v>
      </c>
    </row>
    <row r="21" spans="1:8">
      <c r="A21" s="2" t="str">
        <f t="shared" si="0"/>
        <v>0007EF20</v>
      </c>
      <c r="B21" s="2" t="s">
        <v>147</v>
      </c>
      <c r="C21" s="2" t="s">
        <v>124</v>
      </c>
      <c r="E21" s="2" t="s">
        <v>2</v>
      </c>
      <c r="F21" s="2" t="s">
        <v>1</v>
      </c>
    </row>
    <row r="22" spans="1:8">
      <c r="A22" s="2" t="str">
        <f t="shared" si="0"/>
        <v>0007EF24</v>
      </c>
      <c r="B22" s="2" t="s">
        <v>142</v>
      </c>
      <c r="C22" s="2" t="s">
        <v>125</v>
      </c>
      <c r="E22" s="2" t="s">
        <v>2</v>
      </c>
      <c r="F22" s="2" t="s">
        <v>1</v>
      </c>
    </row>
    <row r="23" spans="1:8">
      <c r="A23" s="2" t="str">
        <f t="shared" si="0"/>
        <v>0007EF28</v>
      </c>
      <c r="B23" s="2" t="s">
        <v>2</v>
      </c>
      <c r="C23" s="2" t="s">
        <v>3</v>
      </c>
      <c r="E23" s="2" t="s">
        <v>2</v>
      </c>
      <c r="F23" s="2" t="s">
        <v>1</v>
      </c>
    </row>
    <row r="25" spans="1:8">
      <c r="A25" s="13" t="s">
        <v>25</v>
      </c>
      <c r="B25" s="13"/>
      <c r="C25" s="13"/>
      <c r="D25" s="13"/>
      <c r="E25" s="13"/>
      <c r="F25" s="13"/>
      <c r="H25" s="2" t="s">
        <v>67</v>
      </c>
    </row>
    <row r="26" spans="1:8">
      <c r="A26" s="2" t="s">
        <v>26</v>
      </c>
      <c r="B26" s="2" t="s">
        <v>35</v>
      </c>
      <c r="C26" s="2" t="s">
        <v>17</v>
      </c>
      <c r="E26" s="2" t="s">
        <v>35</v>
      </c>
      <c r="F26" s="2" t="s">
        <v>17</v>
      </c>
    </row>
    <row r="27" spans="1:8">
      <c r="A27" s="2" t="str">
        <f t="shared" ref="A27:A35" si="1">DEC2HEX(4+HEX2DEC(A26),8)</f>
        <v>00016B34</v>
      </c>
      <c r="B27" s="2" t="s">
        <v>36</v>
      </c>
      <c r="C27" s="2" t="s">
        <v>27</v>
      </c>
      <c r="E27" s="2" t="s">
        <v>36</v>
      </c>
      <c r="F27" s="2" t="s">
        <v>27</v>
      </c>
    </row>
    <row r="28" spans="1:8">
      <c r="A28" s="2" t="str">
        <f t="shared" si="1"/>
        <v>00016B38</v>
      </c>
      <c r="B28" s="2" t="s">
        <v>2</v>
      </c>
      <c r="C28" s="2" t="s">
        <v>3</v>
      </c>
      <c r="E28" s="2" t="s">
        <v>50</v>
      </c>
      <c r="F28" s="2" t="s">
        <v>28</v>
      </c>
    </row>
    <row r="29" spans="1:8">
      <c r="A29" s="2" t="str">
        <f t="shared" si="1"/>
        <v>00016B3C</v>
      </c>
      <c r="B29" s="2" t="s">
        <v>37</v>
      </c>
      <c r="C29" s="2" t="s">
        <v>28</v>
      </c>
      <c r="E29" s="3" t="s">
        <v>41</v>
      </c>
      <c r="F29" s="2" t="s">
        <v>32</v>
      </c>
      <c r="G29" s="2" t="s">
        <v>54</v>
      </c>
    </row>
    <row r="30" spans="1:8">
      <c r="A30" s="2" t="str">
        <f t="shared" si="1"/>
        <v>00016B40</v>
      </c>
      <c r="B30" s="2" t="s">
        <v>38</v>
      </c>
      <c r="C30" s="2" t="s">
        <v>29</v>
      </c>
      <c r="E30" s="3" t="s">
        <v>42</v>
      </c>
      <c r="F30" s="2" t="s">
        <v>33</v>
      </c>
      <c r="G30" s="2" t="s">
        <v>55</v>
      </c>
    </row>
    <row r="31" spans="1:8">
      <c r="A31" s="2" t="str">
        <f t="shared" si="1"/>
        <v>00016B44</v>
      </c>
      <c r="B31" s="2" t="s">
        <v>39</v>
      </c>
      <c r="C31" s="2" t="s">
        <v>30</v>
      </c>
      <c r="E31" s="2" t="s">
        <v>43</v>
      </c>
      <c r="F31" s="2" t="s">
        <v>34</v>
      </c>
      <c r="G31" s="2" t="s">
        <v>56</v>
      </c>
    </row>
    <row r="32" spans="1:8">
      <c r="A32" s="2" t="str">
        <f t="shared" si="1"/>
        <v>00016B48</v>
      </c>
      <c r="B32" s="2" t="s">
        <v>40</v>
      </c>
      <c r="C32" s="2" t="s">
        <v>31</v>
      </c>
      <c r="E32" s="2" t="s">
        <v>51</v>
      </c>
      <c r="F32" s="2" t="s">
        <v>44</v>
      </c>
    </row>
    <row r="33" spans="1:7">
      <c r="A33" s="2" t="str">
        <f t="shared" si="1"/>
        <v>00016B4C</v>
      </c>
      <c r="B33" s="3" t="s">
        <v>41</v>
      </c>
      <c r="C33" s="2" t="s">
        <v>32</v>
      </c>
      <c r="E33" s="2" t="s">
        <v>46</v>
      </c>
      <c r="F33" s="2" t="s">
        <v>45</v>
      </c>
    </row>
    <row r="34" spans="1:7">
      <c r="A34" s="2" t="str">
        <f t="shared" si="1"/>
        <v>00016B50</v>
      </c>
      <c r="B34" s="2" t="s">
        <v>42</v>
      </c>
      <c r="C34" s="2" t="s">
        <v>33</v>
      </c>
      <c r="E34" s="2" t="s">
        <v>46</v>
      </c>
      <c r="F34" s="2" t="s">
        <v>45</v>
      </c>
    </row>
    <row r="35" spans="1:7" ht="15.9" customHeight="1">
      <c r="A35" s="2" t="str">
        <f t="shared" si="1"/>
        <v>00016B54</v>
      </c>
      <c r="B35" s="2" t="s">
        <v>43</v>
      </c>
      <c r="C35" s="2" t="s">
        <v>34</v>
      </c>
      <c r="E35" s="2" t="s">
        <v>46</v>
      </c>
      <c r="F35" s="2" t="s">
        <v>45</v>
      </c>
    </row>
    <row r="36" spans="1:7">
      <c r="B36" s="3"/>
      <c r="E36" s="3"/>
    </row>
    <row r="37" spans="1:7">
      <c r="A37" s="13" t="s">
        <v>52</v>
      </c>
      <c r="B37" s="13"/>
      <c r="C37" s="13"/>
      <c r="D37" s="13"/>
      <c r="E37" s="13"/>
      <c r="F37" s="13"/>
    </row>
    <row r="38" spans="1:7">
      <c r="A38" s="2" t="s">
        <v>47</v>
      </c>
      <c r="B38" s="3" t="s">
        <v>48</v>
      </c>
      <c r="C38" s="2" t="s">
        <v>49</v>
      </c>
      <c r="E38" s="2" t="s">
        <v>2</v>
      </c>
      <c r="F38" s="2" t="s">
        <v>1</v>
      </c>
      <c r="G38" s="1"/>
    </row>
    <row r="40" spans="1:7">
      <c r="A40" s="13" t="s">
        <v>57</v>
      </c>
      <c r="B40" s="13"/>
      <c r="C40" s="13"/>
      <c r="D40" s="13"/>
      <c r="E40" s="13"/>
      <c r="F40" s="13"/>
      <c r="G40" s="4"/>
    </row>
    <row r="41" spans="1:7">
      <c r="A41" s="2" t="s">
        <v>58</v>
      </c>
      <c r="B41" s="2" t="s">
        <v>100</v>
      </c>
      <c r="C41" s="2" t="s">
        <v>59</v>
      </c>
      <c r="E41" s="2" t="s">
        <v>104</v>
      </c>
      <c r="F41" s="2" t="s">
        <v>66</v>
      </c>
      <c r="G41" s="4" t="s">
        <v>62</v>
      </c>
    </row>
    <row r="42" spans="1:7">
      <c r="A42" s="2" t="str">
        <f t="shared" ref="A42:A65" si="2">DEC2HEX(4+HEX2DEC(A41),8)</f>
        <v>0002D874</v>
      </c>
      <c r="B42" s="3" t="s">
        <v>102</v>
      </c>
      <c r="C42" s="2" t="s">
        <v>60</v>
      </c>
      <c r="E42" s="2" t="s">
        <v>105</v>
      </c>
      <c r="F42" s="2" t="str">
        <f>_xlfn.CONCAT("bl 0x",A46)</f>
        <v>bl 0x000C671C</v>
      </c>
    </row>
    <row r="43" spans="1:7">
      <c r="A43" s="2" t="str">
        <f t="shared" si="2"/>
        <v>0002D878</v>
      </c>
      <c r="B43" s="2" t="s">
        <v>103</v>
      </c>
      <c r="C43" s="2" t="s">
        <v>61</v>
      </c>
      <c r="E43" s="3" t="s">
        <v>102</v>
      </c>
      <c r="F43" s="2" t="s">
        <v>60</v>
      </c>
    </row>
    <row r="44" spans="1:7">
      <c r="E44" s="3"/>
    </row>
    <row r="45" spans="1:7">
      <c r="A45" s="13" t="s">
        <v>63</v>
      </c>
      <c r="B45" s="13"/>
      <c r="C45" s="13"/>
      <c r="D45" s="13"/>
      <c r="E45" s="13"/>
      <c r="F45" s="13"/>
    </row>
    <row r="46" spans="1:7">
      <c r="A46" s="2" t="s">
        <v>89</v>
      </c>
      <c r="B46" s="2" t="s">
        <v>112</v>
      </c>
      <c r="C46" s="2" t="s">
        <v>109</v>
      </c>
      <c r="G46" s="2" t="s">
        <v>68</v>
      </c>
    </row>
    <row r="47" spans="1:7">
      <c r="A47" s="2" t="str">
        <f t="shared" si="2"/>
        <v>000C6720</v>
      </c>
      <c r="B47" s="2" t="s">
        <v>113</v>
      </c>
      <c r="C47" s="2" t="s">
        <v>110</v>
      </c>
    </row>
    <row r="48" spans="1:7">
      <c r="A48" s="2" t="str">
        <f t="shared" si="2"/>
        <v>000C6724</v>
      </c>
      <c r="B48" s="3" t="s">
        <v>90</v>
      </c>
      <c r="C48" s="2" t="s">
        <v>69</v>
      </c>
    </row>
    <row r="49" spans="1:7">
      <c r="A49" s="2" t="str">
        <f t="shared" si="2"/>
        <v>000C6728</v>
      </c>
      <c r="B49" s="2" t="s">
        <v>91</v>
      </c>
      <c r="C49" s="2" t="s">
        <v>70</v>
      </c>
      <c r="G49" s="2" t="s">
        <v>71</v>
      </c>
    </row>
    <row r="50" spans="1:7">
      <c r="A50" s="2" t="str">
        <f t="shared" si="2"/>
        <v>000C672C</v>
      </c>
      <c r="B50" s="2" t="s">
        <v>22</v>
      </c>
      <c r="C50" s="2" t="s">
        <v>73</v>
      </c>
      <c r="G50" s="2" t="s">
        <v>74</v>
      </c>
    </row>
    <row r="51" spans="1:7">
      <c r="A51" s="2" t="str">
        <f t="shared" si="2"/>
        <v>000C6730</v>
      </c>
      <c r="B51" s="3" t="s">
        <v>92</v>
      </c>
      <c r="C51" s="2" t="s">
        <v>75</v>
      </c>
      <c r="E51" s="3"/>
      <c r="G51" s="3" t="s">
        <v>78</v>
      </c>
    </row>
    <row r="52" spans="1:7">
      <c r="A52" s="2" t="str">
        <f t="shared" si="2"/>
        <v>000C6734</v>
      </c>
      <c r="B52" s="3" t="s">
        <v>106</v>
      </c>
      <c r="C52" s="2" t="str">
        <f>_xlfn.CONCAT("beq 0x",A$62)</f>
        <v>beq 0x000C675C</v>
      </c>
      <c r="E52" s="3"/>
    </row>
    <row r="53" spans="1:7">
      <c r="A53" s="2" t="str">
        <f t="shared" si="2"/>
        <v>000C6738</v>
      </c>
      <c r="B53" s="3" t="s">
        <v>93</v>
      </c>
      <c r="C53" s="2" t="s">
        <v>76</v>
      </c>
      <c r="E53" s="3"/>
      <c r="G53" s="2" t="s">
        <v>81</v>
      </c>
    </row>
    <row r="54" spans="1:7">
      <c r="A54" s="2" t="str">
        <f t="shared" si="2"/>
        <v>000C673C</v>
      </c>
      <c r="B54" s="3" t="s">
        <v>94</v>
      </c>
      <c r="C54" s="2" t="s">
        <v>77</v>
      </c>
      <c r="E54" s="3"/>
      <c r="G54" s="3" t="s">
        <v>79</v>
      </c>
    </row>
    <row r="55" spans="1:7">
      <c r="A55" s="2" t="str">
        <f t="shared" si="2"/>
        <v>000C6740</v>
      </c>
      <c r="B55" s="3" t="s">
        <v>107</v>
      </c>
      <c r="C55" s="2" t="str">
        <f>_xlfn.CONCAT("bhs 0x",A$62)</f>
        <v>bhs 0x000C675C</v>
      </c>
      <c r="E55" s="3"/>
    </row>
    <row r="56" spans="1:7">
      <c r="A56" s="2" t="str">
        <f t="shared" si="2"/>
        <v>000C6744</v>
      </c>
      <c r="B56" s="3" t="s">
        <v>95</v>
      </c>
      <c r="C56" s="3" t="s">
        <v>80</v>
      </c>
      <c r="D56" s="3"/>
      <c r="E56" s="3"/>
      <c r="G56" s="2" t="s">
        <v>82</v>
      </c>
    </row>
    <row r="57" spans="1:7">
      <c r="A57" s="2" t="str">
        <f t="shared" si="2"/>
        <v>000C6748</v>
      </c>
      <c r="B57" s="3" t="s">
        <v>96</v>
      </c>
      <c r="C57" s="2" t="s">
        <v>84</v>
      </c>
      <c r="E57" s="3"/>
      <c r="G57" s="3" t="s">
        <v>83</v>
      </c>
    </row>
    <row r="58" spans="1:7">
      <c r="A58" s="2" t="str">
        <f t="shared" si="2"/>
        <v>000C674C</v>
      </c>
      <c r="B58" s="3" t="s">
        <v>108</v>
      </c>
      <c r="C58" s="2" t="str">
        <f>_xlfn.CONCAT("bhs 0x",A$62)</f>
        <v>bhs 0x000C675C</v>
      </c>
      <c r="E58" s="3"/>
    </row>
    <row r="59" spans="1:7">
      <c r="A59" s="2" t="str">
        <f t="shared" si="2"/>
        <v>000C6750</v>
      </c>
      <c r="B59" s="3" t="s">
        <v>97</v>
      </c>
      <c r="C59" s="2" t="s">
        <v>72</v>
      </c>
      <c r="E59" s="3"/>
      <c r="G59" s="2" t="s">
        <v>85</v>
      </c>
    </row>
    <row r="60" spans="1:7">
      <c r="A60" s="2" t="str">
        <f t="shared" si="2"/>
        <v>000C6754</v>
      </c>
      <c r="B60" s="3" t="s">
        <v>98</v>
      </c>
      <c r="C60" s="2" t="s">
        <v>87</v>
      </c>
      <c r="E60" s="3"/>
      <c r="G60" s="3" t="s">
        <v>86</v>
      </c>
    </row>
    <row r="61" spans="1:7">
      <c r="A61" s="2" t="str">
        <f t="shared" si="2"/>
        <v>000C6758</v>
      </c>
      <c r="B61" s="3" t="s">
        <v>99</v>
      </c>
      <c r="C61" s="2" t="s">
        <v>88</v>
      </c>
      <c r="E61" s="3"/>
    </row>
    <row r="62" spans="1:7">
      <c r="A62" s="2" t="str">
        <f t="shared" si="2"/>
        <v>000C675C</v>
      </c>
      <c r="B62" s="3" t="s">
        <v>114</v>
      </c>
      <c r="C62" s="2" t="s">
        <v>111</v>
      </c>
      <c r="G62" s="2" t="s">
        <v>65</v>
      </c>
    </row>
    <row r="63" spans="1:7">
      <c r="A63" s="2" t="str">
        <f t="shared" si="2"/>
        <v>000C6760</v>
      </c>
      <c r="B63" s="2" t="s">
        <v>100</v>
      </c>
      <c r="C63" s="2" t="s">
        <v>59</v>
      </c>
      <c r="E63" s="1"/>
      <c r="F63" s="1"/>
      <c r="G63" s="1"/>
    </row>
    <row r="64" spans="1:7">
      <c r="A64" s="2" t="str">
        <f t="shared" si="2"/>
        <v>000C6764</v>
      </c>
      <c r="B64" s="2" t="s">
        <v>115</v>
      </c>
      <c r="C64" s="2" t="str">
        <f>SUBSTITUTE(C46,"push","pop")</f>
        <v>pop {r2, r3, r4, lr}</v>
      </c>
      <c r="E64" s="1"/>
      <c r="F64" s="1"/>
      <c r="G64" s="1"/>
    </row>
    <row r="65" spans="1:7">
      <c r="A65" s="2" t="str">
        <f t="shared" si="2"/>
        <v>000C6768</v>
      </c>
      <c r="B65" s="2" t="s">
        <v>101</v>
      </c>
      <c r="C65" s="2" t="s">
        <v>64</v>
      </c>
    </row>
    <row r="66" spans="1:7">
      <c r="B66" s="3"/>
      <c r="E66" s="3"/>
    </row>
    <row r="67" spans="1:7">
      <c r="A67" s="13" t="s">
        <v>148</v>
      </c>
      <c r="B67" s="13"/>
      <c r="C67" s="13"/>
      <c r="D67" s="13"/>
      <c r="E67" s="13"/>
      <c r="F67" s="13"/>
      <c r="G67" s="13"/>
    </row>
    <row r="68" spans="1:7">
      <c r="A68" s="2" t="s">
        <v>149</v>
      </c>
      <c r="B68" s="2" t="s">
        <v>166</v>
      </c>
      <c r="C68" s="2" t="s">
        <v>150</v>
      </c>
      <c r="E68" s="2" t="s">
        <v>166</v>
      </c>
      <c r="F68" s="2" t="s">
        <v>150</v>
      </c>
    </row>
    <row r="69" spans="1:7">
      <c r="A69" s="2" t="str">
        <f t="shared" ref="A69:A97" si="3">DEC2HEX(4+HEX2DEC(A68),8)</f>
        <v>00090B0C</v>
      </c>
      <c r="B69" s="2" t="s">
        <v>167</v>
      </c>
      <c r="C69" s="2" t="s">
        <v>151</v>
      </c>
      <c r="E69" s="2" t="s">
        <v>167</v>
      </c>
      <c r="F69" s="7" t="s">
        <v>151</v>
      </c>
      <c r="G69" s="7"/>
    </row>
    <row r="70" spans="1:7">
      <c r="A70" s="2" t="str">
        <f t="shared" si="3"/>
        <v>00090B10</v>
      </c>
      <c r="B70" s="2" t="s">
        <v>168</v>
      </c>
      <c r="C70" s="2" t="s">
        <v>188</v>
      </c>
      <c r="D70" s="2" t="s">
        <v>194</v>
      </c>
      <c r="E70" s="2" t="s">
        <v>200</v>
      </c>
      <c r="F70" s="7" t="s">
        <v>197</v>
      </c>
      <c r="G70" s="7"/>
    </row>
    <row r="71" spans="1:7">
      <c r="A71" s="2" t="str">
        <f t="shared" si="3"/>
        <v>00090B14</v>
      </c>
      <c r="B71" s="3" t="s">
        <v>169</v>
      </c>
      <c r="C71" s="2" t="s">
        <v>152</v>
      </c>
      <c r="D71" s="2" t="s">
        <v>195</v>
      </c>
      <c r="E71" s="2" t="s">
        <v>201</v>
      </c>
      <c r="F71" s="7" t="s">
        <v>199</v>
      </c>
      <c r="G71" s="7" t="s">
        <v>190</v>
      </c>
    </row>
    <row r="72" spans="1:7">
      <c r="A72" s="2" t="str">
        <f t="shared" si="3"/>
        <v>00090B18</v>
      </c>
      <c r="B72" s="2" t="s">
        <v>170</v>
      </c>
      <c r="C72" s="2" t="str">
        <f>_xlfn.CONCAT("beq 0x",A$96)</f>
        <v>beq 0x00090B78</v>
      </c>
      <c r="D72" s="2" t="s">
        <v>196</v>
      </c>
      <c r="E72" s="3" t="s">
        <v>173</v>
      </c>
      <c r="F72" s="7" t="s">
        <v>155</v>
      </c>
      <c r="G72" s="7"/>
    </row>
    <row r="73" spans="1:7">
      <c r="A73" s="2" t="str">
        <f t="shared" si="3"/>
        <v>00090B1C</v>
      </c>
      <c r="B73" s="14" t="s">
        <v>171</v>
      </c>
      <c r="C73" s="14" t="s">
        <v>153</v>
      </c>
      <c r="D73" s="14"/>
      <c r="E73" s="2" t="s">
        <v>183</v>
      </c>
      <c r="F73" s="2" t="s">
        <v>163</v>
      </c>
      <c r="G73" s="2" t="s">
        <v>191</v>
      </c>
    </row>
    <row r="74" spans="1:7">
      <c r="A74" s="2" t="str">
        <f t="shared" si="3"/>
        <v>00090B20</v>
      </c>
      <c r="B74" s="14" t="s">
        <v>172</v>
      </c>
      <c r="C74" s="14" t="s">
        <v>154</v>
      </c>
      <c r="D74" s="14"/>
      <c r="E74" s="2" t="s">
        <v>147</v>
      </c>
      <c r="F74" s="2" t="s">
        <v>124</v>
      </c>
      <c r="G74" s="2" t="s">
        <v>198</v>
      </c>
    </row>
    <row r="75" spans="1:7">
      <c r="A75" s="2" t="str">
        <f t="shared" si="3"/>
        <v>00090B24</v>
      </c>
      <c r="B75" s="15" t="s">
        <v>173</v>
      </c>
      <c r="C75" s="14" t="s">
        <v>155</v>
      </c>
      <c r="D75" s="14" t="s">
        <v>202</v>
      </c>
      <c r="E75" s="2" t="s">
        <v>186</v>
      </c>
      <c r="F75" s="2" t="str">
        <f>SUBSTITUTE(SUBSTITUTE(F68,"push","pop"),"lr","pc")</f>
        <v>pop {r4, pc}</v>
      </c>
    </row>
    <row r="76" spans="1:7">
      <c r="A76" s="2" t="str">
        <f t="shared" si="3"/>
        <v>00090B28</v>
      </c>
      <c r="B76" s="15" t="s">
        <v>174</v>
      </c>
      <c r="C76" s="14" t="s">
        <v>156</v>
      </c>
      <c r="D76" s="14" t="s">
        <v>203</v>
      </c>
    </row>
    <row r="77" spans="1:7">
      <c r="A77" s="2" t="str">
        <f t="shared" si="3"/>
        <v>00090B2C</v>
      </c>
      <c r="B77" s="14" t="s">
        <v>175</v>
      </c>
      <c r="C77" s="14" t="str">
        <f>_xlfn.CONCAT("bne 0x",A$96)</f>
        <v>bne 0x00090B78</v>
      </c>
      <c r="D77" s="14" t="s">
        <v>204</v>
      </c>
    </row>
    <row r="78" spans="1:7">
      <c r="A78" s="2" t="str">
        <f t="shared" si="3"/>
        <v>00090B30</v>
      </c>
      <c r="B78" s="5" t="s">
        <v>176</v>
      </c>
      <c r="C78" s="5" t="s">
        <v>157</v>
      </c>
      <c r="D78" s="5"/>
    </row>
    <row r="79" spans="1:7">
      <c r="A79" s="2" t="str">
        <f t="shared" si="3"/>
        <v>00090B34</v>
      </c>
      <c r="B79" s="5" t="s">
        <v>177</v>
      </c>
      <c r="C79" s="5" t="s">
        <v>158</v>
      </c>
      <c r="D79" s="5" t="s">
        <v>189</v>
      </c>
      <c r="E79" s="3"/>
    </row>
    <row r="80" spans="1:7">
      <c r="A80" s="2" t="str">
        <f t="shared" si="3"/>
        <v>00090B38</v>
      </c>
      <c r="B80" s="6" t="s">
        <v>173</v>
      </c>
      <c r="C80" s="5" t="s">
        <v>155</v>
      </c>
      <c r="D80" s="5"/>
    </row>
    <row r="81" spans="1:4">
      <c r="A81" s="2" t="str">
        <f t="shared" si="3"/>
        <v>00090B3C</v>
      </c>
      <c r="B81" s="5" t="s">
        <v>187</v>
      </c>
      <c r="C81" s="5" t="str">
        <f>_xlfn.CONCAT("bne 0x",A$96)</f>
        <v>bne 0x00090B78</v>
      </c>
      <c r="D81" s="5"/>
    </row>
    <row r="82" spans="1:4">
      <c r="A82" s="2" t="str">
        <f t="shared" si="3"/>
        <v>00090B40</v>
      </c>
      <c r="B82" s="9" t="s">
        <v>176</v>
      </c>
      <c r="C82" s="9" t="s">
        <v>157</v>
      </c>
      <c r="D82" s="9"/>
    </row>
    <row r="83" spans="1:4">
      <c r="A83" s="2" t="str">
        <f t="shared" si="3"/>
        <v>00090B44</v>
      </c>
      <c r="B83" s="9" t="s">
        <v>178</v>
      </c>
      <c r="C83" s="9" t="s">
        <v>159</v>
      </c>
      <c r="D83" s="9" t="s">
        <v>192</v>
      </c>
    </row>
    <row r="84" spans="1:4">
      <c r="A84" s="2" t="str">
        <f t="shared" si="3"/>
        <v>00090B48</v>
      </c>
      <c r="B84" s="10" t="s">
        <v>173</v>
      </c>
      <c r="C84" s="9" t="s">
        <v>155</v>
      </c>
      <c r="D84" s="9"/>
    </row>
    <row r="85" spans="1:4">
      <c r="A85" s="2" t="str">
        <f t="shared" si="3"/>
        <v>00090B4C</v>
      </c>
      <c r="B85" s="9" t="s">
        <v>179</v>
      </c>
      <c r="C85" s="9" t="str">
        <f>_xlfn.CONCAT("bne 0x",A$96)</f>
        <v>bne 0x00090B78</v>
      </c>
      <c r="D85" s="9"/>
    </row>
    <row r="86" spans="1:4">
      <c r="A86" s="2" t="str">
        <f t="shared" si="3"/>
        <v>00090B50</v>
      </c>
      <c r="B86" s="11" t="s">
        <v>176</v>
      </c>
      <c r="C86" s="11" t="s">
        <v>157</v>
      </c>
      <c r="D86" s="11"/>
    </row>
    <row r="87" spans="1:4">
      <c r="A87" s="2" t="str">
        <f t="shared" si="3"/>
        <v>00090B54</v>
      </c>
      <c r="B87" s="11" t="s">
        <v>178</v>
      </c>
      <c r="C87" s="11" t="s">
        <v>160</v>
      </c>
      <c r="D87" s="11" t="s">
        <v>193</v>
      </c>
    </row>
    <row r="88" spans="1:4">
      <c r="A88" s="2" t="str">
        <f t="shared" si="3"/>
        <v>00090B58</v>
      </c>
      <c r="B88" s="12" t="s">
        <v>173</v>
      </c>
      <c r="C88" s="11" t="s">
        <v>155</v>
      </c>
      <c r="D88" s="11"/>
    </row>
    <row r="89" spans="1:4">
      <c r="A89" s="2" t="str">
        <f t="shared" si="3"/>
        <v>00090B5C</v>
      </c>
      <c r="B89" s="11" t="s">
        <v>180</v>
      </c>
      <c r="C89" s="11" t="str">
        <f>_xlfn.CONCAT("bne 0x",A$96)</f>
        <v>bne 0x00090B78</v>
      </c>
      <c r="D89" s="11"/>
    </row>
    <row r="90" spans="1:4">
      <c r="A90" s="2" t="str">
        <f t="shared" si="3"/>
        <v>00090B60</v>
      </c>
      <c r="B90" s="7" t="s">
        <v>176</v>
      </c>
      <c r="C90" s="7" t="s">
        <v>157</v>
      </c>
      <c r="D90" s="7"/>
    </row>
    <row r="91" spans="1:4">
      <c r="A91" s="2" t="str">
        <f t="shared" si="3"/>
        <v>00090B64</v>
      </c>
      <c r="B91" s="7" t="s">
        <v>181</v>
      </c>
      <c r="C91" s="7" t="s">
        <v>161</v>
      </c>
      <c r="D91" s="7"/>
    </row>
    <row r="92" spans="1:4">
      <c r="A92" s="2" t="str">
        <f t="shared" si="3"/>
        <v>00090B68</v>
      </c>
      <c r="B92" s="7" t="s">
        <v>182</v>
      </c>
      <c r="C92" s="7" t="s">
        <v>162</v>
      </c>
      <c r="D92" s="7" t="s">
        <v>190</v>
      </c>
    </row>
    <row r="93" spans="1:4">
      <c r="A93" s="2" t="str">
        <f t="shared" si="3"/>
        <v>00090B6C</v>
      </c>
      <c r="B93" s="8" t="s">
        <v>173</v>
      </c>
      <c r="C93" s="7" t="s">
        <v>155</v>
      </c>
      <c r="D93" s="7"/>
    </row>
    <row r="94" spans="1:4">
      <c r="A94" s="2" t="str">
        <f t="shared" si="3"/>
        <v>00090B70</v>
      </c>
      <c r="B94" s="2" t="s">
        <v>183</v>
      </c>
      <c r="C94" s="2" t="s">
        <v>163</v>
      </c>
      <c r="D94" s="2" t="s">
        <v>191</v>
      </c>
    </row>
    <row r="95" spans="1:4">
      <c r="A95" s="2" t="str">
        <f t="shared" si="3"/>
        <v>00090B74</v>
      </c>
      <c r="B95" s="2" t="s">
        <v>184</v>
      </c>
      <c r="C95" s="2" t="str">
        <f>_xlfn.CONCAT("beq 0x",A$97)</f>
        <v>beq 0x00090B7C</v>
      </c>
    </row>
    <row r="96" spans="1:4">
      <c r="A96" s="2" t="str">
        <f t="shared" si="3"/>
        <v>00090B78</v>
      </c>
      <c r="B96" s="2" t="s">
        <v>185</v>
      </c>
      <c r="C96" s="2" t="s">
        <v>164</v>
      </c>
    </row>
    <row r="97" spans="1:3">
      <c r="A97" s="2" t="str">
        <f t="shared" si="3"/>
        <v>00090B7C</v>
      </c>
      <c r="B97" s="2" t="s">
        <v>186</v>
      </c>
      <c r="C97" s="2" t="s">
        <v>165</v>
      </c>
    </row>
  </sheetData>
  <mergeCells count="7">
    <mergeCell ref="A67:G67"/>
    <mergeCell ref="A45:F45"/>
    <mergeCell ref="A2:F2"/>
    <mergeCell ref="A6:F6"/>
    <mergeCell ref="A25:F25"/>
    <mergeCell ref="A37:F37"/>
    <mergeCell ref="A40:F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2026-05-10T05:44:55Z</dcterms:modified>
</cp:coreProperties>
</file>