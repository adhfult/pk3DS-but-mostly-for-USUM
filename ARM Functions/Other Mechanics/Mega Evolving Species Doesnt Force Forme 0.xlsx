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964968A7-A755-40DF-8C21-7471B8C3C018}" xr6:coauthVersionLast="47" xr6:coauthVersionMax="47" xr10:uidLastSave="{00000000-0000-0000-0000-000000000000}"/>
  <bookViews>
    <workbookView xWindow="-23674" yWindow="4474" windowWidth="24685" windowHeight="13149" activeTab="1" xr2:uid="{FFF8744C-F0B4-428F-8CA7-718350CADE02}"/>
  </bookViews>
  <sheets>
    <sheet name="edited" sheetId="19" r:id="rId1"/>
    <sheet name="original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14" l="1"/>
  <c r="D55" i="14"/>
  <c r="I49" i="14"/>
  <c r="D49" i="14"/>
  <c r="I44" i="14"/>
  <c r="D44" i="14"/>
  <c r="D18" i="14"/>
  <c r="I18" i="14"/>
  <c r="I36" i="14"/>
  <c r="D36" i="14"/>
  <c r="I31" i="14"/>
  <c r="D31" i="14"/>
  <c r="I23" i="14"/>
  <c r="D23" i="14"/>
  <c r="I9" i="14"/>
  <c r="G3" i="14"/>
  <c r="G4" i="14" s="1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D9" i="14"/>
  <c r="F2" i="14"/>
  <c r="F3" i="14" s="1"/>
  <c r="F4" i="14" s="1"/>
  <c r="F5" i="14" s="1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B3" i="14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A2" i="14"/>
  <c r="A3" i="14" s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</calcChain>
</file>

<file path=xl/sharedStrings.xml><?xml version="1.0" encoding="utf-8"?>
<sst xmlns="http://schemas.openxmlformats.org/spreadsheetml/2006/main" count="234" uniqueCount="92">
  <si>
    <t>Hex</t>
  </si>
  <si>
    <t>instruction</t>
  </si>
  <si>
    <t>notes</t>
  </si>
  <si>
    <t>010050E3</t>
  </si>
  <si>
    <t>00F020E3</t>
  </si>
  <si>
    <t>000050E3</t>
  </si>
  <si>
    <t>UML</t>
  </si>
  <si>
    <t>USF</t>
  </si>
  <si>
    <t>HEX</t>
  </si>
  <si>
    <t>Instruction</t>
  </si>
  <si>
    <t>USMF</t>
  </si>
  <si>
    <t>USL</t>
  </si>
  <si>
    <t>00444BD4</t>
  </si>
  <si>
    <t>F0472DE9</t>
  </si>
  <si>
    <t>0070A0E1</t>
  </si>
  <si>
    <t>1800D0E5</t>
  </si>
  <si>
    <t>005050E2</t>
  </si>
  <si>
    <t>C4809FC5</t>
  </si>
  <si>
    <t>0040A0E3</t>
  </si>
  <si>
    <t>019048C2</t>
  </si>
  <si>
    <t>2D0000DA</t>
  </si>
  <si>
    <t>0410A0E1</t>
  </si>
  <si>
    <t>0700A0E1</t>
  </si>
  <si>
    <t>3789FBEB</t>
  </si>
  <si>
    <t>0060A0E1</t>
  </si>
  <si>
    <t>8AAA01EB</t>
  </si>
  <si>
    <t>080050E1</t>
  </si>
  <si>
    <t>0700001A</t>
  </si>
  <si>
    <t>0600A0E1</t>
  </si>
  <si>
    <t>D0A401EB</t>
  </si>
  <si>
    <t>0200001A</t>
  </si>
  <si>
    <t>0010A0E3</t>
  </si>
  <si>
    <t>3B7CFBEB</t>
  </si>
  <si>
    <t>7DAA01EB</t>
  </si>
  <si>
    <t>090050E1</t>
  </si>
  <si>
    <t>C3A401EB</t>
  </si>
  <si>
    <t>2E7CFBEB</t>
  </si>
  <si>
    <t>EE65FBEB</t>
  </si>
  <si>
    <t>070000EA</t>
  </si>
  <si>
    <t>B6A401EB</t>
  </si>
  <si>
    <t>0200000A</t>
  </si>
  <si>
    <t>217CFBEB</t>
  </si>
  <si>
    <t>014084E2</t>
  </si>
  <si>
    <t>050054E1</t>
  </si>
  <si>
    <t>D1FFFFBA</t>
  </si>
  <si>
    <t>F087BDE8</t>
  </si>
  <si>
    <t>7F010000</t>
  </si>
  <si>
    <t>push {r4, r5, r6, r7, r8, sb, sl, lr}</t>
  </si>
  <si>
    <t>mov r7, r0</t>
  </si>
  <si>
    <t>ldrb r0, [r0, #0x18]</t>
  </si>
  <si>
    <t>subs r5, r0, #0</t>
  </si>
  <si>
    <t>ldrgt r8, [pc, #0xc4]</t>
  </si>
  <si>
    <t>mov r4, #0</t>
  </si>
  <si>
    <t>subgt sb, r8, #1</t>
  </si>
  <si>
    <t>mov r1, r4</t>
  </si>
  <si>
    <t>mov r0, r7</t>
  </si>
  <si>
    <t>bl #0x3270e0</t>
  </si>
  <si>
    <t>mov r6, r0</t>
  </si>
  <si>
    <t xml:space="preserve">nop </t>
  </si>
  <si>
    <t>bl #0x4af638</t>
  </si>
  <si>
    <t>cmp r0, r8</t>
  </si>
  <si>
    <t>mov r0, r6</t>
  </si>
  <si>
    <t>bl #0x4adf64</t>
  </si>
  <si>
    <t>cmp r0, #1</t>
  </si>
  <si>
    <t>mov r1, #0</t>
  </si>
  <si>
    <t>bl #0x323d28</t>
  </si>
  <si>
    <t>cmp r0, sb</t>
  </si>
  <si>
    <t>bl #0x31e430</t>
  </si>
  <si>
    <t>cmp r0, #0</t>
  </si>
  <si>
    <t>add r4, r4, #1</t>
  </si>
  <si>
    <t>cmp r4, r5</t>
  </si>
  <si>
    <t>pop {r4, r5, r6, r7, r8, sb, sl, pc}</t>
  </si>
  <si>
    <t>andeq r0, r0, pc, ror r1</t>
  </si>
  <si>
    <t>bl #0x4af640</t>
  </si>
  <si>
    <t>bl #0x4adf6c</t>
  </si>
  <si>
    <t>3689FBEB</t>
  </si>
  <si>
    <t>8BAA01EB</t>
  </si>
  <si>
    <t>D1A401EB</t>
  </si>
  <si>
    <t>3A7CFBEB</t>
  </si>
  <si>
    <t>7EAA01EB</t>
  </si>
  <si>
    <t>C4A401EB</t>
  </si>
  <si>
    <t>2D7CFBEB</t>
  </si>
  <si>
    <t>ED65FBEB</t>
  </si>
  <si>
    <t>B7A401EB</t>
  </si>
  <si>
    <t>207CFBEB</t>
  </si>
  <si>
    <t>00444BD8</t>
  </si>
  <si>
    <t>Groudon index</t>
  </si>
  <si>
    <t>Kyogre index</t>
  </si>
  <si>
    <t>r5 now party size</t>
  </si>
  <si>
    <t>exit if party size &lt;=0</t>
  </si>
  <si>
    <t>Get Pointer</t>
  </si>
  <si>
    <t>Species into 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</si>
</sst>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49" fontId="2" fillId="0" borderId="0" xfId="0" quotePrefix="1" applyNumberFormat="1" applyFont="1"/>
    <xf numFmtId="49" fontId="2" fillId="0" borderId="0" xfId="0" applyNumberFormat="1" applyFont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0" borderId="0" xfId="0" applyFont="1" applyFill="1"/>
    <xf numFmtId="0" fontId="2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E149-0267-4E2A-80F4-EB0D36CDBD94}">
  <dimension ref="A1:I49"/>
  <sheetViews>
    <sheetView zoomScaleNormal="100" workbookViewId="0">
      <pane ySplit="1" topLeftCell="A2" activePane="bottomLeft" state="frozen"/>
      <selection pane="bottomLeft" activeCell="A27" sqref="A2:XFD27"/>
    </sheetView>
  </sheetViews>
  <sheetFormatPr defaultColWidth="9.2109375" defaultRowHeight="15.9"/>
  <cols>
    <col min="1" max="3" width="9.35546875" style="2" bestFit="1" customWidth="1"/>
    <col min="4" max="4" width="27.85546875" style="2" bestFit="1" customWidth="1"/>
    <col min="5" max="5" width="24.5703125" style="2" bestFit="1" customWidth="1"/>
    <col min="6" max="8" width="9.35546875" style="2" bestFit="1" customWidth="1"/>
    <col min="9" max="9" width="27.85546875" style="2" bestFit="1" customWidth="1"/>
    <col min="10" max="16384" width="9.2109375" style="2"/>
  </cols>
  <sheetData>
    <row r="1" spans="1:9">
      <c r="A1" s="1" t="s">
        <v>7</v>
      </c>
      <c r="B1" s="1" t="s">
        <v>11</v>
      </c>
      <c r="C1" s="1" t="s">
        <v>0</v>
      </c>
      <c r="D1" s="1" t="s">
        <v>1</v>
      </c>
      <c r="E1" s="1" t="s">
        <v>2</v>
      </c>
      <c r="F1" s="2" t="s">
        <v>10</v>
      </c>
      <c r="G1" s="2" t="s">
        <v>6</v>
      </c>
      <c r="H1" s="2" t="s">
        <v>8</v>
      </c>
      <c r="I1" s="2" t="s">
        <v>9</v>
      </c>
    </row>
    <row r="2" spans="1:9">
      <c r="C2" s="9"/>
    </row>
    <row r="3" spans="1:9">
      <c r="C3" s="10"/>
    </row>
    <row r="4" spans="1:9">
      <c r="C4" s="10"/>
    </row>
    <row r="5" spans="1:9">
      <c r="C5" s="10"/>
      <c r="H5" s="3"/>
    </row>
    <row r="6" spans="1:9">
      <c r="C6" s="6"/>
    </row>
    <row r="7" spans="1:9">
      <c r="C7" s="7"/>
    </row>
    <row r="8" spans="1:9">
      <c r="C8" s="7"/>
      <c r="D8" s="8"/>
    </row>
    <row r="9" spans="1:9">
      <c r="C9" s="6"/>
    </row>
    <row r="10" spans="1:9">
      <c r="C10" s="9"/>
      <c r="D10" s="8"/>
      <c r="H10" s="3"/>
    </row>
    <row r="11" spans="1:9">
      <c r="C11" s="3"/>
    </row>
    <row r="12" spans="1:9">
      <c r="C12" s="3"/>
    </row>
    <row r="13" spans="1:9">
      <c r="C13" s="3"/>
    </row>
    <row r="14" spans="1:9">
      <c r="C14" s="9"/>
    </row>
    <row r="15" spans="1:9">
      <c r="C15" s="10"/>
    </row>
    <row r="16" spans="1:9">
      <c r="C16" s="10"/>
    </row>
    <row r="17" spans="3:9">
      <c r="C17" s="10"/>
    </row>
    <row r="18" spans="3:9">
      <c r="C18" s="6"/>
      <c r="H18" s="3"/>
    </row>
    <row r="19" spans="3:9">
      <c r="C19" s="7"/>
    </row>
    <row r="20" spans="3:9">
      <c r="C20" s="7"/>
      <c r="D20" s="8"/>
      <c r="I20" s="8"/>
    </row>
    <row r="21" spans="3:9">
      <c r="C21" s="6"/>
    </row>
    <row r="22" spans="3:9">
      <c r="C22" s="6"/>
    </row>
    <row r="23" spans="3:9">
      <c r="C23" s="6"/>
      <c r="H23" s="3"/>
    </row>
    <row r="24" spans="3:9">
      <c r="C24" s="7"/>
    </row>
    <row r="25" spans="3:9">
      <c r="C25" s="7"/>
    </row>
    <row r="26" spans="3:9">
      <c r="C26" s="7"/>
    </row>
    <row r="27" spans="3:9">
      <c r="C27" s="7"/>
    </row>
    <row r="28" spans="3:9">
      <c r="C28" s="6"/>
    </row>
    <row r="29" spans="3:9">
      <c r="C29" s="3"/>
      <c r="H29" s="3"/>
    </row>
    <row r="30" spans="3:9">
      <c r="C30" s="3"/>
      <c r="H30" s="3"/>
    </row>
    <row r="31" spans="3:9">
      <c r="C31" s="3"/>
    </row>
    <row r="32" spans="3:9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7"/>
    </row>
    <row r="40" spans="3:3">
      <c r="C40" s="7"/>
    </row>
    <row r="41" spans="3:3">
      <c r="C41" s="6"/>
    </row>
    <row r="42" spans="3:3">
      <c r="C42" s="7"/>
    </row>
    <row r="43" spans="3:3">
      <c r="C43" s="7"/>
    </row>
    <row r="44" spans="3:3">
      <c r="C44" s="6"/>
    </row>
    <row r="45" spans="3:3">
      <c r="C45" s="6"/>
    </row>
    <row r="46" spans="3:3">
      <c r="C46" s="6"/>
    </row>
    <row r="47" spans="3:3">
      <c r="C47" s="7"/>
    </row>
    <row r="48" spans="3:3">
      <c r="C48" s="7"/>
    </row>
    <row r="49" spans="3:3">
      <c r="C4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7B82-690D-4F1B-96E6-A9DA4F5FD3DE}">
  <dimension ref="A1:I73"/>
  <sheetViews>
    <sheetView tabSelected="1" zoomScale="85" zoomScaleNormal="85" workbookViewId="0">
      <pane ySplit="1" topLeftCell="A2" activePane="bottomLeft" state="frozen"/>
      <selection pane="bottomLeft" activeCell="J11" sqref="J11"/>
    </sheetView>
  </sheetViews>
  <sheetFormatPr defaultColWidth="9.2109375" defaultRowHeight="15.9"/>
  <cols>
    <col min="1" max="3" width="9.35546875" style="2" bestFit="1" customWidth="1"/>
    <col min="4" max="4" width="40.92578125" style="2" bestFit="1" customWidth="1"/>
    <col min="5" max="5" width="37.78515625" style="2" customWidth="1"/>
    <col min="6" max="8" width="9.35546875" style="2" bestFit="1" customWidth="1"/>
    <col min="9" max="9" width="40.92578125" style="2" bestFit="1" customWidth="1"/>
    <col min="10" max="16384" width="9.2109375" style="2"/>
  </cols>
  <sheetData>
    <row r="1" spans="1:9">
      <c r="A1" s="1" t="s">
        <v>7</v>
      </c>
      <c r="B1" s="1" t="s">
        <v>11</v>
      </c>
      <c r="C1" s="1" t="s">
        <v>0</v>
      </c>
      <c r="D1" s="1" t="s">
        <v>1</v>
      </c>
      <c r="E1" s="1" t="s">
        <v>2</v>
      </c>
      <c r="F1" s="2" t="s">
        <v>10</v>
      </c>
      <c r="G1" s="2" t="s">
        <v>6</v>
      </c>
      <c r="H1" s="2" t="s">
        <v>8</v>
      </c>
      <c r="I1" s="2" t="s">
        <v>9</v>
      </c>
    </row>
    <row r="2" spans="1:9">
      <c r="A2" s="4" t="str">
        <f>DEC2HEX(HEX2DEC(B2)-HEX2DEC(100000),8)</f>
        <v>00344BD4</v>
      </c>
      <c r="B2" s="5" t="s">
        <v>12</v>
      </c>
      <c r="C2" s="5" t="s">
        <v>13</v>
      </c>
      <c r="D2" s="4" t="s">
        <v>47</v>
      </c>
      <c r="E2" s="4"/>
      <c r="F2" s="4" t="str">
        <f>DEC2HEX(HEX2DEC(G2)-HEX2DEC(100000),8)</f>
        <v>00344BD8</v>
      </c>
      <c r="G2" s="4" t="s">
        <v>85</v>
      </c>
      <c r="H2" s="4" t="s">
        <v>13</v>
      </c>
      <c r="I2" s="4" t="s">
        <v>47</v>
      </c>
    </row>
    <row r="3" spans="1:9">
      <c r="A3" s="4" t="str">
        <f t="shared" ref="A3:B11" si="0">DEC2HEX(HEX2DEC(A2)+4,8)</f>
        <v>00344BD8</v>
      </c>
      <c r="B3" s="4" t="str">
        <f t="shared" si="0"/>
        <v>00444BD8</v>
      </c>
      <c r="C3" s="4" t="s">
        <v>14</v>
      </c>
      <c r="D3" s="4" t="s">
        <v>48</v>
      </c>
      <c r="E3" s="4"/>
      <c r="F3" s="4" t="str">
        <f t="shared" ref="F3:G18" si="1">DEC2HEX(HEX2DEC(F2)+4,8)</f>
        <v>00344BDC</v>
      </c>
      <c r="G3" s="4" t="str">
        <f t="shared" si="1"/>
        <v>00444BDC</v>
      </c>
      <c r="H3" s="4" t="s">
        <v>14</v>
      </c>
      <c r="I3" s="4" t="s">
        <v>48</v>
      </c>
    </row>
    <row r="4" spans="1:9">
      <c r="A4" s="4" t="str">
        <f t="shared" si="0"/>
        <v>00344BDC</v>
      </c>
      <c r="B4" s="4" t="str">
        <f t="shared" si="0"/>
        <v>00444BDC</v>
      </c>
      <c r="C4" s="4" t="s">
        <v>15</v>
      </c>
      <c r="D4" s="4" t="s">
        <v>49</v>
      </c>
      <c r="E4" s="4"/>
      <c r="F4" s="4" t="str">
        <f t="shared" ref="F4" si="2">DEC2HEX(HEX2DEC(F3)+4,8)</f>
        <v>00344BE0</v>
      </c>
      <c r="G4" s="4" t="str">
        <f t="shared" si="1"/>
        <v>00444BE0</v>
      </c>
      <c r="H4" s="4" t="s">
        <v>15</v>
      </c>
      <c r="I4" s="4" t="s">
        <v>49</v>
      </c>
    </row>
    <row r="5" spans="1:9">
      <c r="A5" s="4" t="str">
        <f t="shared" si="0"/>
        <v>00344BE0</v>
      </c>
      <c r="B5" s="4" t="str">
        <f t="shared" si="0"/>
        <v>00444BE0</v>
      </c>
      <c r="C5" s="5" t="s">
        <v>16</v>
      </c>
      <c r="D5" s="4" t="s">
        <v>50</v>
      </c>
      <c r="E5" s="4" t="s">
        <v>88</v>
      </c>
      <c r="F5" s="4" t="str">
        <f t="shared" ref="F5" si="3">DEC2HEX(HEX2DEC(F4)+4,8)</f>
        <v>00344BE4</v>
      </c>
      <c r="G5" s="4" t="str">
        <f t="shared" si="1"/>
        <v>00444BE4</v>
      </c>
      <c r="H5" s="5" t="s">
        <v>16</v>
      </c>
      <c r="I5" s="4" t="s">
        <v>50</v>
      </c>
    </row>
    <row r="6" spans="1:9">
      <c r="A6" s="4" t="str">
        <f t="shared" si="0"/>
        <v>00344BE4</v>
      </c>
      <c r="B6" s="4" t="str">
        <f t="shared" si="0"/>
        <v>00444BE4</v>
      </c>
      <c r="C6" s="4" t="s">
        <v>17</v>
      </c>
      <c r="D6" s="4" t="s">
        <v>51</v>
      </c>
      <c r="E6" s="4" t="s">
        <v>86</v>
      </c>
      <c r="F6" s="4" t="str">
        <f t="shared" ref="F6" si="4">DEC2HEX(HEX2DEC(F5)+4,8)</f>
        <v>00344BE8</v>
      </c>
      <c r="G6" s="4" t="str">
        <f t="shared" si="1"/>
        <v>00444BE8</v>
      </c>
      <c r="H6" s="4" t="s">
        <v>17</v>
      </c>
      <c r="I6" s="4" t="s">
        <v>51</v>
      </c>
    </row>
    <row r="7" spans="1:9">
      <c r="A7" s="4" t="str">
        <f t="shared" si="0"/>
        <v>00344BE8</v>
      </c>
      <c r="B7" s="4" t="str">
        <f t="shared" si="0"/>
        <v>00444BE8</v>
      </c>
      <c r="C7" s="4" t="s">
        <v>18</v>
      </c>
      <c r="D7" s="4" t="s">
        <v>52</v>
      </c>
      <c r="E7" s="4"/>
      <c r="F7" s="4" t="str">
        <f t="shared" ref="F7" si="5">DEC2HEX(HEX2DEC(F6)+4,8)</f>
        <v>00344BEC</v>
      </c>
      <c r="G7" s="4" t="str">
        <f t="shared" si="1"/>
        <v>00444BEC</v>
      </c>
      <c r="H7" s="4" t="s">
        <v>18</v>
      </c>
      <c r="I7" s="4" t="s">
        <v>52</v>
      </c>
    </row>
    <row r="8" spans="1:9">
      <c r="A8" s="4" t="str">
        <f t="shared" si="0"/>
        <v>00344BEC</v>
      </c>
      <c r="B8" s="4" t="str">
        <f t="shared" si="0"/>
        <v>00444BEC</v>
      </c>
      <c r="C8" s="5" t="s">
        <v>19</v>
      </c>
      <c r="D8" s="4" t="s">
        <v>53</v>
      </c>
      <c r="E8" s="4" t="s">
        <v>87</v>
      </c>
      <c r="F8" s="4" t="str">
        <f t="shared" ref="F8" si="6">DEC2HEX(HEX2DEC(F7)+4,8)</f>
        <v>00344BF0</v>
      </c>
      <c r="G8" s="4" t="str">
        <f t="shared" si="1"/>
        <v>00444BF0</v>
      </c>
      <c r="H8" s="4" t="s">
        <v>19</v>
      </c>
      <c r="I8" s="4" t="s">
        <v>53</v>
      </c>
    </row>
    <row r="9" spans="1:9">
      <c r="A9" s="4" t="str">
        <f t="shared" si="0"/>
        <v>00344BF0</v>
      </c>
      <c r="B9" s="4" t="str">
        <f t="shared" si="0"/>
        <v>00444BF0</v>
      </c>
      <c r="C9" s="4" t="s">
        <v>20</v>
      </c>
      <c r="D9" s="4" t="str">
        <f>_xlfn.CONCAT("ble 0x",B56)</f>
        <v>ble 0x00444CAC</v>
      </c>
      <c r="E9" s="4" t="s">
        <v>89</v>
      </c>
      <c r="F9" s="4" t="str">
        <f t="shared" ref="F9" si="7">DEC2HEX(HEX2DEC(F8)+4,8)</f>
        <v>00344BF4</v>
      </c>
      <c r="G9" s="4" t="str">
        <f t="shared" si="1"/>
        <v>00444BF4</v>
      </c>
      <c r="H9" s="4" t="s">
        <v>20</v>
      </c>
      <c r="I9" s="4" t="str">
        <f>_xlfn.CONCAT("ble 0x",G56)</f>
        <v>ble 0x00444CB0</v>
      </c>
    </row>
    <row r="10" spans="1:9">
      <c r="A10" s="11" t="str">
        <f t="shared" si="0"/>
        <v>00344BF4</v>
      </c>
      <c r="B10" s="11" t="str">
        <f t="shared" si="0"/>
        <v>00444BF4</v>
      </c>
      <c r="C10" s="12" t="s">
        <v>21</v>
      </c>
      <c r="D10" s="11" t="s">
        <v>54</v>
      </c>
      <c r="E10" s="11" t="s">
        <v>90</v>
      </c>
      <c r="F10" s="11" t="str">
        <f t="shared" ref="F10" si="8">DEC2HEX(HEX2DEC(F9)+4,8)</f>
        <v>00344BF8</v>
      </c>
      <c r="G10" s="11" t="str">
        <f t="shared" si="1"/>
        <v>00444BF8</v>
      </c>
      <c r="H10" s="11" t="s">
        <v>21</v>
      </c>
      <c r="I10" s="11" t="s">
        <v>54</v>
      </c>
    </row>
    <row r="11" spans="1:9">
      <c r="A11" s="11" t="str">
        <f t="shared" si="0"/>
        <v>00344BF8</v>
      </c>
      <c r="B11" s="11" t="str">
        <f t="shared" si="0"/>
        <v>00444BF8</v>
      </c>
      <c r="C11" s="11" t="s">
        <v>22</v>
      </c>
      <c r="D11" s="11" t="s">
        <v>55</v>
      </c>
      <c r="E11" s="11"/>
      <c r="F11" s="11" t="str">
        <f t="shared" ref="F11" si="9">DEC2HEX(HEX2DEC(F10)+4,8)</f>
        <v>00344BFC</v>
      </c>
      <c r="G11" s="11" t="str">
        <f t="shared" si="1"/>
        <v>00444BFC</v>
      </c>
      <c r="H11" s="11" t="s">
        <v>22</v>
      </c>
      <c r="I11" s="11" t="s">
        <v>55</v>
      </c>
    </row>
    <row r="12" spans="1:9">
      <c r="A12" s="11" t="str">
        <f t="shared" ref="A12:B12" si="10">DEC2HEX(HEX2DEC(A11)+4,8)</f>
        <v>00344BFC</v>
      </c>
      <c r="B12" s="11" t="str">
        <f t="shared" si="10"/>
        <v>00444BFC</v>
      </c>
      <c r="C12" s="11" t="s">
        <v>23</v>
      </c>
      <c r="D12" s="11" t="s">
        <v>56</v>
      </c>
      <c r="E12" s="11"/>
      <c r="F12" s="11" t="str">
        <f t="shared" ref="F12" si="11">DEC2HEX(HEX2DEC(F11)+4,8)</f>
        <v>00344C00</v>
      </c>
      <c r="G12" s="11" t="str">
        <f t="shared" si="1"/>
        <v>00444C00</v>
      </c>
      <c r="H12" s="11" t="s">
        <v>75</v>
      </c>
      <c r="I12" s="11" t="s">
        <v>56</v>
      </c>
    </row>
    <row r="13" spans="1:9">
      <c r="A13" s="11" t="str">
        <f t="shared" ref="A13:B13" si="12">DEC2HEX(HEX2DEC(A12)+4,8)</f>
        <v>00344C00</v>
      </c>
      <c r="B13" s="11" t="str">
        <f t="shared" si="12"/>
        <v>00444C00</v>
      </c>
      <c r="C13" s="12" t="s">
        <v>24</v>
      </c>
      <c r="D13" s="11" t="s">
        <v>57</v>
      </c>
      <c r="E13" s="11"/>
      <c r="F13" s="11" t="str">
        <f t="shared" ref="F13" si="13">DEC2HEX(HEX2DEC(F12)+4,8)</f>
        <v>00344C04</v>
      </c>
      <c r="G13" s="11" t="str">
        <f t="shared" si="1"/>
        <v>00444C04</v>
      </c>
      <c r="H13" s="11" t="s">
        <v>24</v>
      </c>
      <c r="I13" s="11" t="s">
        <v>57</v>
      </c>
    </row>
    <row r="14" spans="1:9">
      <c r="A14" s="2" t="str">
        <f t="shared" ref="A14:B14" si="14">DEC2HEX(HEX2DEC(A13)+4,8)</f>
        <v>00344C04</v>
      </c>
      <c r="B14" s="2" t="str">
        <f t="shared" si="14"/>
        <v>00444C04</v>
      </c>
      <c r="C14" s="3" t="s">
        <v>4</v>
      </c>
      <c r="D14" s="2" t="s">
        <v>58</v>
      </c>
      <c r="F14" s="2" t="str">
        <f t="shared" ref="F14" si="15">DEC2HEX(HEX2DEC(F13)+4,8)</f>
        <v>00344C08</v>
      </c>
      <c r="G14" s="2" t="str">
        <f t="shared" si="1"/>
        <v>00444C08</v>
      </c>
      <c r="H14" s="2" t="s">
        <v>4</v>
      </c>
      <c r="I14" s="2" t="s">
        <v>58</v>
      </c>
    </row>
    <row r="15" spans="1:9">
      <c r="A15" s="13" t="str">
        <f t="shared" ref="A15:B15" si="16">DEC2HEX(HEX2DEC(A14)+4,8)</f>
        <v>00344C08</v>
      </c>
      <c r="B15" s="13" t="str">
        <f t="shared" si="16"/>
        <v>00444C08</v>
      </c>
      <c r="C15" s="14" t="s">
        <v>25</v>
      </c>
      <c r="D15" s="13" t="s">
        <v>59</v>
      </c>
      <c r="E15" s="13" t="s">
        <v>91</v>
      </c>
      <c r="F15" s="13" t="str">
        <f t="shared" ref="F15" si="17">DEC2HEX(HEX2DEC(F14)+4,8)</f>
        <v>00344C0C</v>
      </c>
      <c r="G15" s="13" t="str">
        <f t="shared" si="1"/>
        <v>00444C0C</v>
      </c>
      <c r="H15" s="13" t="s">
        <v>76</v>
      </c>
      <c r="I15" s="13" t="s">
        <v>73</v>
      </c>
    </row>
    <row r="16" spans="1:9">
      <c r="A16" s="15" t="str">
        <f t="shared" ref="A16:B16" si="18">DEC2HEX(HEX2DEC(A15)+4,8)</f>
        <v>00344C0C</v>
      </c>
      <c r="B16" s="15" t="str">
        <f t="shared" si="18"/>
        <v>00444C0C</v>
      </c>
      <c r="C16" s="16" t="s">
        <v>26</v>
      </c>
      <c r="D16" s="15" t="s">
        <v>60</v>
      </c>
      <c r="E16" s="15"/>
      <c r="F16" s="15" t="str">
        <f t="shared" ref="F16" si="19">DEC2HEX(HEX2DEC(F15)+4,8)</f>
        <v>00344C10</v>
      </c>
      <c r="G16" s="15" t="str">
        <f t="shared" si="1"/>
        <v>00444C10</v>
      </c>
      <c r="H16" s="16" t="s">
        <v>26</v>
      </c>
      <c r="I16" s="15" t="s">
        <v>60</v>
      </c>
    </row>
    <row r="17" spans="1:9">
      <c r="A17" s="2" t="str">
        <f t="shared" ref="A17:B17" si="20">DEC2HEX(HEX2DEC(A16)+4,8)</f>
        <v>00344C10</v>
      </c>
      <c r="B17" s="2" t="str">
        <f t="shared" si="20"/>
        <v>00444C10</v>
      </c>
      <c r="C17" s="3" t="s">
        <v>4</v>
      </c>
      <c r="D17" s="2" t="s">
        <v>58</v>
      </c>
      <c r="F17" s="2" t="str">
        <f t="shared" ref="F17" si="21">DEC2HEX(HEX2DEC(F16)+4,8)</f>
        <v>00344C14</v>
      </c>
      <c r="G17" s="2" t="str">
        <f t="shared" si="1"/>
        <v>00444C14</v>
      </c>
      <c r="H17" s="2" t="s">
        <v>4</v>
      </c>
      <c r="I17" s="2" t="s">
        <v>58</v>
      </c>
    </row>
    <row r="18" spans="1:9">
      <c r="A18" s="2" t="str">
        <f t="shared" ref="A18:B18" si="22">DEC2HEX(HEX2DEC(A17)+4,8)</f>
        <v>00344C14</v>
      </c>
      <c r="B18" s="2" t="str">
        <f t="shared" si="22"/>
        <v>00444C14</v>
      </c>
      <c r="C18" s="3" t="s">
        <v>27</v>
      </c>
      <c r="D18" s="2" t="str">
        <f>_xlfn.CONCAT("bne 0x",B27)</f>
        <v>bne 0x00444C38</v>
      </c>
      <c r="F18" s="2" t="str">
        <f t="shared" ref="F18" si="23">DEC2HEX(HEX2DEC(F17)+4,8)</f>
        <v>00344C18</v>
      </c>
      <c r="G18" s="2" t="str">
        <f t="shared" si="1"/>
        <v>00444C18</v>
      </c>
      <c r="H18" s="2" t="s">
        <v>27</v>
      </c>
      <c r="I18" s="2" t="str">
        <f>_xlfn.CONCAT("bne 0x",G27)</f>
        <v>bne 0x00444C3C</v>
      </c>
    </row>
    <row r="19" spans="1:9">
      <c r="A19" s="2" t="str">
        <f t="shared" ref="A19:B19" si="24">DEC2HEX(HEX2DEC(A18)+4,8)</f>
        <v>00344C18</v>
      </c>
      <c r="B19" s="2" t="str">
        <f t="shared" si="24"/>
        <v>00444C18</v>
      </c>
      <c r="C19" s="8" t="s">
        <v>28</v>
      </c>
      <c r="D19" s="2" t="s">
        <v>61</v>
      </c>
      <c r="F19" s="2" t="str">
        <f t="shared" ref="F19:G34" si="25">DEC2HEX(HEX2DEC(F18)+4,8)</f>
        <v>00344C1C</v>
      </c>
      <c r="G19" s="2" t="str">
        <f t="shared" si="25"/>
        <v>00444C1C</v>
      </c>
      <c r="H19" s="2" t="s">
        <v>28</v>
      </c>
      <c r="I19" s="2" t="s">
        <v>61</v>
      </c>
    </row>
    <row r="20" spans="1:9">
      <c r="A20" s="2" t="str">
        <f t="shared" ref="A20:B20" si="26">DEC2HEX(HEX2DEC(A19)+4,8)</f>
        <v>00344C1C</v>
      </c>
      <c r="B20" s="2" t="str">
        <f t="shared" si="26"/>
        <v>00444C1C</v>
      </c>
      <c r="C20" s="3" t="s">
        <v>29</v>
      </c>
      <c r="D20" s="2" t="s">
        <v>62</v>
      </c>
      <c r="F20" s="2" t="str">
        <f t="shared" ref="F20" si="27">DEC2HEX(HEX2DEC(F19)+4,8)</f>
        <v>00344C20</v>
      </c>
      <c r="G20" s="2" t="str">
        <f t="shared" si="25"/>
        <v>00444C20</v>
      </c>
      <c r="H20" s="2" t="s">
        <v>77</v>
      </c>
      <c r="I20" s="2" t="s">
        <v>74</v>
      </c>
    </row>
    <row r="21" spans="1:9">
      <c r="A21" s="2" t="str">
        <f t="shared" ref="A21:B21" si="28">DEC2HEX(HEX2DEC(A20)+4,8)</f>
        <v>00344C20</v>
      </c>
      <c r="B21" s="2" t="str">
        <f t="shared" si="28"/>
        <v>00444C20</v>
      </c>
      <c r="C21" s="3" t="s">
        <v>3</v>
      </c>
      <c r="D21" s="2" t="s">
        <v>63</v>
      </c>
      <c r="F21" s="2" t="str">
        <f t="shared" ref="F21" si="29">DEC2HEX(HEX2DEC(F20)+4,8)</f>
        <v>00344C24</v>
      </c>
      <c r="G21" s="2" t="str">
        <f t="shared" si="25"/>
        <v>00444C24</v>
      </c>
      <c r="H21" s="3" t="s">
        <v>3</v>
      </c>
      <c r="I21" s="2" t="s">
        <v>63</v>
      </c>
    </row>
    <row r="22" spans="1:9">
      <c r="A22" s="2" t="str">
        <f t="shared" ref="A22:B22" si="30">DEC2HEX(HEX2DEC(A21)+4,8)</f>
        <v>00344C24</v>
      </c>
      <c r="B22" s="2" t="str">
        <f t="shared" si="30"/>
        <v>00444C24</v>
      </c>
      <c r="C22" s="3" t="s">
        <v>4</v>
      </c>
      <c r="D22" s="2" t="s">
        <v>58</v>
      </c>
      <c r="F22" s="2" t="str">
        <f t="shared" ref="F22" si="31">DEC2HEX(HEX2DEC(F21)+4,8)</f>
        <v>00344C28</v>
      </c>
      <c r="G22" s="2" t="str">
        <f t="shared" si="25"/>
        <v>00444C28</v>
      </c>
      <c r="H22" s="2" t="s">
        <v>4</v>
      </c>
      <c r="I22" s="2" t="s">
        <v>58</v>
      </c>
    </row>
    <row r="23" spans="1:9">
      <c r="A23" s="2" t="str">
        <f t="shared" ref="A23:B23" si="32">DEC2HEX(HEX2DEC(A22)+4,8)</f>
        <v>00344C28</v>
      </c>
      <c r="B23" s="2" t="str">
        <f t="shared" si="32"/>
        <v>00444C28</v>
      </c>
      <c r="C23" s="3" t="s">
        <v>30</v>
      </c>
      <c r="D23" s="2" t="str">
        <f>_xlfn.CONCAT("bne 0x",B27)</f>
        <v>bne 0x00444C38</v>
      </c>
      <c r="F23" s="2" t="str">
        <f t="shared" ref="F23" si="33">DEC2HEX(HEX2DEC(F22)+4,8)</f>
        <v>00344C2C</v>
      </c>
      <c r="G23" s="2" t="str">
        <f t="shared" si="25"/>
        <v>00444C2C</v>
      </c>
      <c r="H23" s="2" t="s">
        <v>30</v>
      </c>
      <c r="I23" s="2" t="str">
        <f>_xlfn.CONCAT("bne 0x",G27)</f>
        <v>bne 0x00444C3C</v>
      </c>
    </row>
    <row r="24" spans="1:9">
      <c r="A24" s="2" t="str">
        <f t="shared" ref="A24:B24" si="34">DEC2HEX(HEX2DEC(A23)+4,8)</f>
        <v>00344C2C</v>
      </c>
      <c r="B24" s="2" t="str">
        <f t="shared" si="34"/>
        <v>00444C2C</v>
      </c>
      <c r="C24" s="3" t="s">
        <v>31</v>
      </c>
      <c r="D24" s="2" t="s">
        <v>64</v>
      </c>
      <c r="F24" s="2" t="str">
        <f t="shared" ref="F24" si="35">DEC2HEX(HEX2DEC(F23)+4,8)</f>
        <v>00344C30</v>
      </c>
      <c r="G24" s="2" t="str">
        <f t="shared" si="25"/>
        <v>00444C30</v>
      </c>
      <c r="H24" s="2" t="s">
        <v>31</v>
      </c>
      <c r="I24" s="2" t="s">
        <v>64</v>
      </c>
    </row>
    <row r="25" spans="1:9">
      <c r="A25" s="2" t="str">
        <f t="shared" ref="A25:B25" si="36">DEC2HEX(HEX2DEC(A24)+4,8)</f>
        <v>00344C30</v>
      </c>
      <c r="B25" s="2" t="str">
        <f t="shared" si="36"/>
        <v>00444C30</v>
      </c>
      <c r="C25" s="3" t="s">
        <v>28</v>
      </c>
      <c r="D25" s="2" t="s">
        <v>61</v>
      </c>
      <c r="F25" s="2" t="str">
        <f t="shared" ref="F25" si="37">DEC2HEX(HEX2DEC(F24)+4,8)</f>
        <v>00344C34</v>
      </c>
      <c r="G25" s="2" t="str">
        <f t="shared" si="25"/>
        <v>00444C34</v>
      </c>
      <c r="H25" s="2" t="s">
        <v>28</v>
      </c>
      <c r="I25" s="2" t="s">
        <v>61</v>
      </c>
    </row>
    <row r="26" spans="1:9">
      <c r="A26" s="2" t="str">
        <f t="shared" ref="A26:B26" si="38">DEC2HEX(HEX2DEC(A25)+4,8)</f>
        <v>00344C34</v>
      </c>
      <c r="B26" s="2" t="str">
        <f t="shared" si="38"/>
        <v>00444C34</v>
      </c>
      <c r="C26" s="9" t="s">
        <v>32</v>
      </c>
      <c r="D26" s="2" t="s">
        <v>65</v>
      </c>
      <c r="F26" s="2" t="str">
        <f t="shared" ref="F26" si="39">DEC2HEX(HEX2DEC(F25)+4,8)</f>
        <v>00344C38</v>
      </c>
      <c r="G26" s="2" t="str">
        <f t="shared" si="25"/>
        <v>00444C38</v>
      </c>
      <c r="H26" s="2" t="s">
        <v>78</v>
      </c>
      <c r="I26" s="2" t="s">
        <v>65</v>
      </c>
    </row>
    <row r="27" spans="1:9">
      <c r="A27" s="2" t="str">
        <f t="shared" ref="A27:B27" si="40">DEC2HEX(HEX2DEC(A26)+4,8)</f>
        <v>00344C38</v>
      </c>
      <c r="B27" s="2" t="str">
        <f t="shared" si="40"/>
        <v>00444C38</v>
      </c>
      <c r="C27" s="10" t="s">
        <v>28</v>
      </c>
      <c r="D27" s="2" t="s">
        <v>61</v>
      </c>
      <c r="F27" s="2" t="str">
        <f t="shared" ref="F27" si="41">DEC2HEX(HEX2DEC(F26)+4,8)</f>
        <v>00344C3C</v>
      </c>
      <c r="G27" s="2" t="str">
        <f t="shared" si="25"/>
        <v>00444C3C</v>
      </c>
      <c r="H27" s="2" t="s">
        <v>28</v>
      </c>
      <c r="I27" s="2" t="s">
        <v>61</v>
      </c>
    </row>
    <row r="28" spans="1:9">
      <c r="A28" s="2" t="str">
        <f t="shared" ref="A28:B28" si="42">DEC2HEX(HEX2DEC(A27)+4,8)</f>
        <v>00344C3C</v>
      </c>
      <c r="B28" s="2" t="str">
        <f t="shared" si="42"/>
        <v>00444C3C</v>
      </c>
      <c r="C28" s="10" t="s">
        <v>33</v>
      </c>
      <c r="D28" s="2" t="s">
        <v>59</v>
      </c>
      <c r="F28" s="2" t="str">
        <f t="shared" ref="F28" si="43">DEC2HEX(HEX2DEC(F27)+4,8)</f>
        <v>00344C40</v>
      </c>
      <c r="G28" s="2" t="str">
        <f t="shared" si="25"/>
        <v>00444C40</v>
      </c>
      <c r="H28" s="2" t="s">
        <v>79</v>
      </c>
      <c r="I28" s="2" t="s">
        <v>73</v>
      </c>
    </row>
    <row r="29" spans="1:9">
      <c r="A29" s="2" t="str">
        <f t="shared" ref="A29:B29" si="44">DEC2HEX(HEX2DEC(A28)+4,8)</f>
        <v>00344C40</v>
      </c>
      <c r="B29" s="2" t="str">
        <f t="shared" si="44"/>
        <v>00444C40</v>
      </c>
      <c r="C29" s="10" t="s">
        <v>34</v>
      </c>
      <c r="D29" s="2" t="s">
        <v>66</v>
      </c>
      <c r="F29" s="2" t="str">
        <f t="shared" ref="F29" si="45">DEC2HEX(HEX2DEC(F28)+4,8)</f>
        <v>00344C44</v>
      </c>
      <c r="G29" s="2" t="str">
        <f t="shared" si="25"/>
        <v>00444C44</v>
      </c>
      <c r="H29" s="3" t="s">
        <v>34</v>
      </c>
      <c r="I29" s="2" t="s">
        <v>66</v>
      </c>
    </row>
    <row r="30" spans="1:9">
      <c r="A30" s="2" t="str">
        <f t="shared" ref="A30:B30" si="46">DEC2HEX(HEX2DEC(A29)+4,8)</f>
        <v>00344C44</v>
      </c>
      <c r="B30" s="2" t="str">
        <f t="shared" si="46"/>
        <v>00444C44</v>
      </c>
      <c r="C30" s="6" t="s">
        <v>4</v>
      </c>
      <c r="D30" s="2" t="s">
        <v>58</v>
      </c>
      <c r="F30" s="2" t="str">
        <f t="shared" ref="F30" si="47">DEC2HEX(HEX2DEC(F29)+4,8)</f>
        <v>00344C48</v>
      </c>
      <c r="G30" s="2" t="str">
        <f t="shared" si="25"/>
        <v>00444C48</v>
      </c>
      <c r="H30" s="2" t="s">
        <v>4</v>
      </c>
      <c r="I30" s="2" t="s">
        <v>58</v>
      </c>
    </row>
    <row r="31" spans="1:9">
      <c r="A31" s="2" t="str">
        <f t="shared" ref="A31:B31" si="48">DEC2HEX(HEX2DEC(A30)+4,8)</f>
        <v>00344C48</v>
      </c>
      <c r="B31" s="2" t="str">
        <f t="shared" si="48"/>
        <v>00444C48</v>
      </c>
      <c r="C31" s="7" t="s">
        <v>27</v>
      </c>
      <c r="D31" s="2" t="str">
        <f>_xlfn.CONCAT("bne 0x",B40)</f>
        <v>bne 0x00444C6C</v>
      </c>
      <c r="F31" s="2" t="str">
        <f t="shared" ref="F31" si="49">DEC2HEX(HEX2DEC(F30)+4,8)</f>
        <v>00344C4C</v>
      </c>
      <c r="G31" s="2" t="str">
        <f t="shared" si="25"/>
        <v>00444C4C</v>
      </c>
      <c r="H31" s="2" t="s">
        <v>27</v>
      </c>
      <c r="I31" s="2" t="str">
        <f>_xlfn.CONCAT("bne 0x",G40)</f>
        <v>bne 0x00444C70</v>
      </c>
    </row>
    <row r="32" spans="1:9">
      <c r="A32" s="2" t="str">
        <f t="shared" ref="A32:B32" si="50">DEC2HEX(HEX2DEC(A31)+4,8)</f>
        <v>00344C4C</v>
      </c>
      <c r="B32" s="2" t="str">
        <f t="shared" si="50"/>
        <v>00444C4C</v>
      </c>
      <c r="C32" s="7" t="s">
        <v>28</v>
      </c>
      <c r="D32" s="8" t="s">
        <v>61</v>
      </c>
      <c r="F32" s="2" t="str">
        <f t="shared" ref="F32" si="51">DEC2HEX(HEX2DEC(F31)+4,8)</f>
        <v>00344C50</v>
      </c>
      <c r="G32" s="2" t="str">
        <f t="shared" si="25"/>
        <v>00444C50</v>
      </c>
      <c r="H32" s="2" t="s">
        <v>28</v>
      </c>
      <c r="I32" s="2" t="s">
        <v>61</v>
      </c>
    </row>
    <row r="33" spans="1:9">
      <c r="A33" s="2" t="str">
        <f t="shared" ref="A33:B33" si="52">DEC2HEX(HEX2DEC(A32)+4,8)</f>
        <v>00344C50</v>
      </c>
      <c r="B33" s="2" t="str">
        <f t="shared" si="52"/>
        <v>00444C50</v>
      </c>
      <c r="C33" s="6" t="s">
        <v>35</v>
      </c>
      <c r="D33" s="2" t="s">
        <v>62</v>
      </c>
      <c r="F33" s="2" t="str">
        <f t="shared" ref="F33" si="53">DEC2HEX(HEX2DEC(F32)+4,8)</f>
        <v>00344C54</v>
      </c>
      <c r="G33" s="2" t="str">
        <f t="shared" si="25"/>
        <v>00444C54</v>
      </c>
      <c r="H33" s="2" t="s">
        <v>80</v>
      </c>
      <c r="I33" s="2" t="s">
        <v>74</v>
      </c>
    </row>
    <row r="34" spans="1:9">
      <c r="A34" s="2" t="str">
        <f t="shared" ref="A34:B34" si="54">DEC2HEX(HEX2DEC(A33)+4,8)</f>
        <v>00344C54</v>
      </c>
      <c r="B34" s="2" t="str">
        <f t="shared" si="54"/>
        <v>00444C54</v>
      </c>
      <c r="C34" s="9" t="s">
        <v>3</v>
      </c>
      <c r="D34" s="8" t="s">
        <v>63</v>
      </c>
      <c r="F34" s="2" t="str">
        <f t="shared" ref="F34" si="55">DEC2HEX(HEX2DEC(F33)+4,8)</f>
        <v>00344C58</v>
      </c>
      <c r="G34" s="2" t="str">
        <f t="shared" si="25"/>
        <v>00444C58</v>
      </c>
      <c r="H34" s="3" t="s">
        <v>3</v>
      </c>
      <c r="I34" s="2" t="s">
        <v>63</v>
      </c>
    </row>
    <row r="35" spans="1:9">
      <c r="A35" s="2" t="str">
        <f t="shared" ref="A35:B35" si="56">DEC2HEX(HEX2DEC(A34)+4,8)</f>
        <v>00344C58</v>
      </c>
      <c r="B35" s="2" t="str">
        <f t="shared" si="56"/>
        <v>00444C58</v>
      </c>
      <c r="C35" s="3" t="s">
        <v>4</v>
      </c>
      <c r="D35" s="2" t="s">
        <v>58</v>
      </c>
      <c r="F35" s="2" t="str">
        <f t="shared" ref="F35:G50" si="57">DEC2HEX(HEX2DEC(F34)+4,8)</f>
        <v>00344C5C</v>
      </c>
      <c r="G35" s="2" t="str">
        <f t="shared" si="57"/>
        <v>00444C5C</v>
      </c>
      <c r="H35" s="2" t="s">
        <v>4</v>
      </c>
      <c r="I35" s="2" t="s">
        <v>58</v>
      </c>
    </row>
    <row r="36" spans="1:9">
      <c r="A36" s="2" t="str">
        <f t="shared" ref="A36:B36" si="58">DEC2HEX(HEX2DEC(A35)+4,8)</f>
        <v>00344C5C</v>
      </c>
      <c r="B36" s="2" t="str">
        <f t="shared" si="58"/>
        <v>00444C5C</v>
      </c>
      <c r="C36" s="3" t="s">
        <v>30</v>
      </c>
      <c r="D36" s="2" t="str">
        <f>_xlfn.CONCAT("bne 0x",B40)</f>
        <v>bne 0x00444C6C</v>
      </c>
      <c r="F36" s="2" t="str">
        <f t="shared" ref="F36" si="59">DEC2HEX(HEX2DEC(F35)+4,8)</f>
        <v>00344C60</v>
      </c>
      <c r="G36" s="2" t="str">
        <f t="shared" si="57"/>
        <v>00444C60</v>
      </c>
      <c r="H36" s="2" t="s">
        <v>30</v>
      </c>
      <c r="I36" s="2" t="str">
        <f>_xlfn.CONCAT("bne 0x",G40)</f>
        <v>bne 0x00444C70</v>
      </c>
    </row>
    <row r="37" spans="1:9">
      <c r="A37" s="2" t="str">
        <f t="shared" ref="A37:B37" si="60">DEC2HEX(HEX2DEC(A36)+4,8)</f>
        <v>00344C60</v>
      </c>
      <c r="B37" s="2" t="str">
        <f t="shared" si="60"/>
        <v>00444C60</v>
      </c>
      <c r="C37" s="3" t="s">
        <v>31</v>
      </c>
      <c r="D37" s="2" t="s">
        <v>64</v>
      </c>
      <c r="F37" s="2" t="str">
        <f t="shared" ref="F37" si="61">DEC2HEX(HEX2DEC(F36)+4,8)</f>
        <v>00344C64</v>
      </c>
      <c r="G37" s="2" t="str">
        <f t="shared" si="57"/>
        <v>00444C64</v>
      </c>
      <c r="H37" s="2" t="s">
        <v>31</v>
      </c>
      <c r="I37" s="2" t="s">
        <v>64</v>
      </c>
    </row>
    <row r="38" spans="1:9">
      <c r="A38" s="2" t="str">
        <f t="shared" ref="A38:B38" si="62">DEC2HEX(HEX2DEC(A37)+4,8)</f>
        <v>00344C64</v>
      </c>
      <c r="B38" s="2" t="str">
        <f t="shared" si="62"/>
        <v>00444C64</v>
      </c>
      <c r="C38" s="9" t="s">
        <v>28</v>
      </c>
      <c r="D38" s="2" t="s">
        <v>61</v>
      </c>
      <c r="F38" s="2" t="str">
        <f t="shared" ref="F38" si="63">DEC2HEX(HEX2DEC(F37)+4,8)</f>
        <v>00344C68</v>
      </c>
      <c r="G38" s="2" t="str">
        <f t="shared" si="57"/>
        <v>00444C68</v>
      </c>
      <c r="H38" s="2" t="s">
        <v>28</v>
      </c>
      <c r="I38" s="2" t="s">
        <v>61</v>
      </c>
    </row>
    <row r="39" spans="1:9">
      <c r="A39" s="2" t="str">
        <f t="shared" ref="A39:B39" si="64">DEC2HEX(HEX2DEC(A38)+4,8)</f>
        <v>00344C68</v>
      </c>
      <c r="B39" s="2" t="str">
        <f t="shared" si="64"/>
        <v>00444C68</v>
      </c>
      <c r="C39" s="10" t="s">
        <v>36</v>
      </c>
      <c r="D39" s="2" t="s">
        <v>65</v>
      </c>
      <c r="F39" s="2" t="str">
        <f t="shared" ref="F39" si="65">DEC2HEX(HEX2DEC(F38)+4,8)</f>
        <v>00344C6C</v>
      </c>
      <c r="G39" s="2" t="str">
        <f t="shared" si="57"/>
        <v>00444C6C</v>
      </c>
      <c r="H39" s="2" t="s">
        <v>81</v>
      </c>
      <c r="I39" s="2" t="s">
        <v>65</v>
      </c>
    </row>
    <row r="40" spans="1:9">
      <c r="A40" s="2" t="str">
        <f t="shared" ref="A40:B40" si="66">DEC2HEX(HEX2DEC(A39)+4,8)</f>
        <v>00344C6C</v>
      </c>
      <c r="B40" s="2" t="str">
        <f t="shared" si="66"/>
        <v>00444C6C</v>
      </c>
      <c r="C40" s="10" t="s">
        <v>28</v>
      </c>
      <c r="D40" s="2" t="s">
        <v>61</v>
      </c>
      <c r="F40" s="2" t="str">
        <f t="shared" ref="F40" si="67">DEC2HEX(HEX2DEC(F39)+4,8)</f>
        <v>00344C70</v>
      </c>
      <c r="G40" s="2" t="str">
        <f t="shared" si="57"/>
        <v>00444C70</v>
      </c>
      <c r="H40" s="2" t="s">
        <v>28</v>
      </c>
      <c r="I40" s="2" t="s">
        <v>61</v>
      </c>
    </row>
    <row r="41" spans="1:9">
      <c r="A41" s="2" t="str">
        <f t="shared" ref="A41:B41" si="68">DEC2HEX(HEX2DEC(A40)+4,8)</f>
        <v>00344C70</v>
      </c>
      <c r="B41" s="2" t="str">
        <f t="shared" si="68"/>
        <v>00444C70</v>
      </c>
      <c r="C41" s="10" t="s">
        <v>37</v>
      </c>
      <c r="D41" s="2" t="s">
        <v>67</v>
      </c>
      <c r="F41" s="2" t="str">
        <f t="shared" ref="F41" si="69">DEC2HEX(HEX2DEC(F40)+4,8)</f>
        <v>00344C74</v>
      </c>
      <c r="G41" s="2" t="str">
        <f t="shared" si="57"/>
        <v>00444C74</v>
      </c>
      <c r="H41" s="2" t="s">
        <v>82</v>
      </c>
      <c r="I41" s="2" t="s">
        <v>67</v>
      </c>
    </row>
    <row r="42" spans="1:9">
      <c r="A42" s="2" t="str">
        <f t="shared" ref="A42:B42" si="70">DEC2HEX(HEX2DEC(A41)+4,8)</f>
        <v>00344C74</v>
      </c>
      <c r="B42" s="2" t="str">
        <f t="shared" si="70"/>
        <v>00444C74</v>
      </c>
      <c r="C42" s="6" t="s">
        <v>5</v>
      </c>
      <c r="D42" s="2" t="s">
        <v>68</v>
      </c>
      <c r="F42" s="2" t="str">
        <f t="shared" ref="F42" si="71">DEC2HEX(HEX2DEC(F41)+4,8)</f>
        <v>00344C78</v>
      </c>
      <c r="G42" s="2" t="str">
        <f t="shared" si="57"/>
        <v>00444C78</v>
      </c>
      <c r="H42" s="3" t="s">
        <v>5</v>
      </c>
      <c r="I42" s="2" t="s">
        <v>68</v>
      </c>
    </row>
    <row r="43" spans="1:9">
      <c r="A43" s="2" t="str">
        <f t="shared" ref="A43:B43" si="72">DEC2HEX(HEX2DEC(A42)+4,8)</f>
        <v>00344C78</v>
      </c>
      <c r="B43" s="2" t="str">
        <f t="shared" si="72"/>
        <v>00444C78</v>
      </c>
      <c r="C43" s="7" t="s">
        <v>4</v>
      </c>
      <c r="D43" s="2" t="s">
        <v>58</v>
      </c>
      <c r="F43" s="2" t="str">
        <f t="shared" ref="F43" si="73">DEC2HEX(HEX2DEC(F42)+4,8)</f>
        <v>00344C7C</v>
      </c>
      <c r="G43" s="2" t="str">
        <f t="shared" si="57"/>
        <v>00444C7C</v>
      </c>
      <c r="H43" s="2" t="s">
        <v>4</v>
      </c>
      <c r="I43" s="2" t="s">
        <v>58</v>
      </c>
    </row>
    <row r="44" spans="1:9">
      <c r="A44" s="2" t="str">
        <f t="shared" ref="A44:B44" si="74">DEC2HEX(HEX2DEC(A43)+4,8)</f>
        <v>00344C7C</v>
      </c>
      <c r="B44" s="2" t="str">
        <f t="shared" si="74"/>
        <v>00444C7C</v>
      </c>
      <c r="C44" s="7" t="s">
        <v>38</v>
      </c>
      <c r="D44" s="8" t="str">
        <f>_xlfn.CONCAT("b 0x",B53)</f>
        <v>b 0x00444CA0</v>
      </c>
      <c r="F44" s="2" t="str">
        <f t="shared" ref="F44" si="75">DEC2HEX(HEX2DEC(F43)+4,8)</f>
        <v>00344C80</v>
      </c>
      <c r="G44" s="2" t="str">
        <f t="shared" si="57"/>
        <v>00444C80</v>
      </c>
      <c r="H44" s="2" t="s">
        <v>38</v>
      </c>
      <c r="I44" s="8" t="str">
        <f>_xlfn.CONCAT("b 0x",G53)</f>
        <v>b 0x00444CA4</v>
      </c>
    </row>
    <row r="45" spans="1:9">
      <c r="A45" s="2" t="str">
        <f t="shared" ref="A45:B45" si="76">DEC2HEX(HEX2DEC(A44)+4,8)</f>
        <v>00344C80</v>
      </c>
      <c r="B45" s="2" t="str">
        <f t="shared" si="76"/>
        <v>00444C80</v>
      </c>
      <c r="C45" s="6" t="s">
        <v>28</v>
      </c>
      <c r="D45" s="2" t="s">
        <v>61</v>
      </c>
      <c r="F45" s="2" t="str">
        <f t="shared" ref="F45" si="77">DEC2HEX(HEX2DEC(F44)+4,8)</f>
        <v>00344C84</v>
      </c>
      <c r="G45" s="2" t="str">
        <f t="shared" si="57"/>
        <v>00444C84</v>
      </c>
      <c r="H45" s="2" t="s">
        <v>28</v>
      </c>
      <c r="I45" s="2" t="s">
        <v>61</v>
      </c>
    </row>
    <row r="46" spans="1:9">
      <c r="A46" s="2" t="str">
        <f t="shared" ref="A46:B46" si="78">DEC2HEX(HEX2DEC(A45)+4,8)</f>
        <v>00344C84</v>
      </c>
      <c r="B46" s="2" t="str">
        <f t="shared" si="78"/>
        <v>00444C84</v>
      </c>
      <c r="C46" s="6" t="s">
        <v>39</v>
      </c>
      <c r="D46" s="2" t="s">
        <v>62</v>
      </c>
      <c r="F46" s="2" t="str">
        <f t="shared" ref="F46" si="79">DEC2HEX(HEX2DEC(F45)+4,8)</f>
        <v>00344C88</v>
      </c>
      <c r="G46" s="2" t="str">
        <f t="shared" si="57"/>
        <v>00444C88</v>
      </c>
      <c r="H46" s="2" t="s">
        <v>83</v>
      </c>
      <c r="I46" s="2" t="s">
        <v>74</v>
      </c>
    </row>
    <row r="47" spans="1:9">
      <c r="A47" s="2" t="str">
        <f t="shared" ref="A47:B47" si="80">DEC2HEX(HEX2DEC(A46)+4,8)</f>
        <v>00344C88</v>
      </c>
      <c r="B47" s="2" t="str">
        <f t="shared" si="80"/>
        <v>00444C88</v>
      </c>
      <c r="C47" s="6" t="s">
        <v>5</v>
      </c>
      <c r="D47" s="2" t="s">
        <v>68</v>
      </c>
      <c r="F47" s="2" t="str">
        <f t="shared" ref="F47" si="81">DEC2HEX(HEX2DEC(F46)+4,8)</f>
        <v>00344C8C</v>
      </c>
      <c r="G47" s="2" t="str">
        <f t="shared" si="57"/>
        <v>00444C8C</v>
      </c>
      <c r="H47" s="3" t="s">
        <v>5</v>
      </c>
      <c r="I47" s="2" t="s">
        <v>68</v>
      </c>
    </row>
    <row r="48" spans="1:9">
      <c r="A48" s="2" t="str">
        <f t="shared" ref="A48:B48" si="82">DEC2HEX(HEX2DEC(A47)+4,8)</f>
        <v>00344C8C</v>
      </c>
      <c r="B48" s="2" t="str">
        <f t="shared" si="82"/>
        <v>00444C8C</v>
      </c>
      <c r="C48" s="7" t="s">
        <v>4</v>
      </c>
      <c r="D48" s="2" t="s">
        <v>58</v>
      </c>
      <c r="F48" s="2" t="str">
        <f t="shared" ref="F48" si="83">DEC2HEX(HEX2DEC(F47)+4,8)</f>
        <v>00344C90</v>
      </c>
      <c r="G48" s="2" t="str">
        <f t="shared" si="57"/>
        <v>00444C90</v>
      </c>
      <c r="H48" s="2" t="s">
        <v>4</v>
      </c>
      <c r="I48" s="2" t="s">
        <v>58</v>
      </c>
    </row>
    <row r="49" spans="1:9">
      <c r="A49" s="2" t="str">
        <f t="shared" ref="A49:B49" si="84">DEC2HEX(HEX2DEC(A48)+4,8)</f>
        <v>00344C90</v>
      </c>
      <c r="B49" s="2" t="str">
        <f t="shared" si="84"/>
        <v>00444C90</v>
      </c>
      <c r="C49" s="7" t="s">
        <v>40</v>
      </c>
      <c r="D49" s="2" t="str">
        <f>_xlfn.CONCAT("beq 0x",B53)</f>
        <v>beq 0x00444CA0</v>
      </c>
      <c r="F49" s="2" t="str">
        <f t="shared" ref="F49" si="85">DEC2HEX(HEX2DEC(F48)+4,8)</f>
        <v>00344C94</v>
      </c>
      <c r="G49" s="2" t="str">
        <f t="shared" si="57"/>
        <v>00444C94</v>
      </c>
      <c r="H49" s="2" t="s">
        <v>40</v>
      </c>
      <c r="I49" s="2" t="str">
        <f>_xlfn.CONCAT("beq 0x",G53)</f>
        <v>beq 0x00444CA4</v>
      </c>
    </row>
    <row r="50" spans="1:9">
      <c r="A50" s="2" t="str">
        <f t="shared" ref="A50:B50" si="86">DEC2HEX(HEX2DEC(A49)+4,8)</f>
        <v>00344C94</v>
      </c>
      <c r="B50" s="2" t="str">
        <f t="shared" si="86"/>
        <v>00444C94</v>
      </c>
      <c r="C50" s="7" t="s">
        <v>31</v>
      </c>
      <c r="D50" s="2" t="s">
        <v>64</v>
      </c>
      <c r="F50" s="2" t="str">
        <f t="shared" ref="F50" si="87">DEC2HEX(HEX2DEC(F49)+4,8)</f>
        <v>00344C98</v>
      </c>
      <c r="G50" s="2" t="str">
        <f t="shared" si="57"/>
        <v>00444C98</v>
      </c>
      <c r="H50" s="2" t="s">
        <v>31</v>
      </c>
      <c r="I50" s="2" t="s">
        <v>64</v>
      </c>
    </row>
    <row r="51" spans="1:9">
      <c r="A51" s="2" t="str">
        <f t="shared" ref="A51:B51" si="88">DEC2HEX(HEX2DEC(A50)+4,8)</f>
        <v>00344C98</v>
      </c>
      <c r="B51" s="2" t="str">
        <f t="shared" si="88"/>
        <v>00444C98</v>
      </c>
      <c r="C51" s="7" t="s">
        <v>28</v>
      </c>
      <c r="D51" s="2" t="s">
        <v>61</v>
      </c>
      <c r="F51" s="2" t="str">
        <f t="shared" ref="F51:G57" si="89">DEC2HEX(HEX2DEC(F50)+4,8)</f>
        <v>00344C9C</v>
      </c>
      <c r="G51" s="2" t="str">
        <f t="shared" si="89"/>
        <v>00444C9C</v>
      </c>
      <c r="H51" s="2" t="s">
        <v>28</v>
      </c>
      <c r="I51" s="2" t="s">
        <v>61</v>
      </c>
    </row>
    <row r="52" spans="1:9">
      <c r="A52" s="2" t="str">
        <f t="shared" ref="A52:B52" si="90">DEC2HEX(HEX2DEC(A51)+4,8)</f>
        <v>00344C9C</v>
      </c>
      <c r="B52" s="2" t="str">
        <f t="shared" si="90"/>
        <v>00444C9C</v>
      </c>
      <c r="C52" s="6" t="s">
        <v>41</v>
      </c>
      <c r="D52" s="2" t="s">
        <v>65</v>
      </c>
      <c r="F52" s="2" t="str">
        <f t="shared" ref="F52" si="91">DEC2HEX(HEX2DEC(F51)+4,8)</f>
        <v>00344CA0</v>
      </c>
      <c r="G52" s="2" t="str">
        <f t="shared" si="89"/>
        <v>00444CA0</v>
      </c>
      <c r="H52" s="2" t="s">
        <v>84</v>
      </c>
      <c r="I52" s="2" t="s">
        <v>65</v>
      </c>
    </row>
    <row r="53" spans="1:9">
      <c r="A53" s="2" t="str">
        <f t="shared" ref="A53:B53" si="92">DEC2HEX(HEX2DEC(A52)+4,8)</f>
        <v>00344CA0</v>
      </c>
      <c r="B53" s="2" t="str">
        <f t="shared" si="92"/>
        <v>00444CA0</v>
      </c>
      <c r="C53" s="3" t="s">
        <v>42</v>
      </c>
      <c r="D53" s="2" t="s">
        <v>69</v>
      </c>
      <c r="F53" s="2" t="str">
        <f t="shared" ref="F53" si="93">DEC2HEX(HEX2DEC(F52)+4,8)</f>
        <v>00344CA4</v>
      </c>
      <c r="G53" s="2" t="str">
        <f t="shared" si="89"/>
        <v>00444CA4</v>
      </c>
      <c r="H53" s="3" t="s">
        <v>42</v>
      </c>
      <c r="I53" s="2" t="s">
        <v>69</v>
      </c>
    </row>
    <row r="54" spans="1:9">
      <c r="A54" s="2" t="str">
        <f t="shared" ref="A54:B54" si="94">DEC2HEX(HEX2DEC(A53)+4,8)</f>
        <v>00344CA4</v>
      </c>
      <c r="B54" s="2" t="str">
        <f t="shared" si="94"/>
        <v>00444CA4</v>
      </c>
      <c r="C54" s="3" t="s">
        <v>43</v>
      </c>
      <c r="D54" s="2" t="s">
        <v>70</v>
      </c>
      <c r="F54" s="2" t="str">
        <f t="shared" ref="F54" si="95">DEC2HEX(HEX2DEC(F53)+4,8)</f>
        <v>00344CA8</v>
      </c>
      <c r="G54" s="2" t="str">
        <f t="shared" si="89"/>
        <v>00444CA8</v>
      </c>
      <c r="H54" s="3" t="s">
        <v>43</v>
      </c>
      <c r="I54" s="2" t="s">
        <v>70</v>
      </c>
    </row>
    <row r="55" spans="1:9">
      <c r="A55" s="2" t="str">
        <f t="shared" ref="A55:B55" si="96">DEC2HEX(HEX2DEC(A54)+4,8)</f>
        <v>00344CA8</v>
      </c>
      <c r="B55" s="2" t="str">
        <f t="shared" si="96"/>
        <v>00444CA8</v>
      </c>
      <c r="C55" s="3" t="s">
        <v>44</v>
      </c>
      <c r="D55" s="2" t="str">
        <f>_xlfn.CONCAT("blt 0x",B10)</f>
        <v>blt 0x00444BF4</v>
      </c>
      <c r="F55" s="2" t="str">
        <f t="shared" ref="F55" si="97">DEC2HEX(HEX2DEC(F54)+4,8)</f>
        <v>00344CAC</v>
      </c>
      <c r="G55" s="2" t="str">
        <f t="shared" si="89"/>
        <v>00444CAC</v>
      </c>
      <c r="H55" s="2" t="s">
        <v>44</v>
      </c>
      <c r="I55" s="2" t="str">
        <f>_xlfn.CONCAT("blt 0x",G10)</f>
        <v>blt 0x00444BF8</v>
      </c>
    </row>
    <row r="56" spans="1:9">
      <c r="A56" s="2" t="str">
        <f t="shared" ref="A56:B56" si="98">DEC2HEX(HEX2DEC(A55)+4,8)</f>
        <v>00344CAC</v>
      </c>
      <c r="B56" s="2" t="str">
        <f t="shared" si="98"/>
        <v>00444CAC</v>
      </c>
      <c r="C56" s="3" t="s">
        <v>45</v>
      </c>
      <c r="D56" s="2" t="s">
        <v>71</v>
      </c>
      <c r="F56" s="2" t="str">
        <f t="shared" ref="F56" si="99">DEC2HEX(HEX2DEC(F55)+4,8)</f>
        <v>00344CB0</v>
      </c>
      <c r="G56" s="2" t="str">
        <f t="shared" si="89"/>
        <v>00444CB0</v>
      </c>
      <c r="H56" s="2" t="s">
        <v>45</v>
      </c>
      <c r="I56" s="2" t="s">
        <v>71</v>
      </c>
    </row>
    <row r="57" spans="1:9">
      <c r="A57" s="2" t="str">
        <f t="shared" ref="A57:B57" si="100">DEC2HEX(HEX2DEC(A56)+4,8)</f>
        <v>00344CB0</v>
      </c>
      <c r="B57" s="2" t="str">
        <f t="shared" si="100"/>
        <v>00444CB0</v>
      </c>
      <c r="C57" s="3" t="s">
        <v>46</v>
      </c>
      <c r="D57" s="2" t="s">
        <v>72</v>
      </c>
      <c r="F57" s="2" t="str">
        <f t="shared" ref="F57" si="101">DEC2HEX(HEX2DEC(F56)+4,8)</f>
        <v>00344CB4</v>
      </c>
      <c r="G57" s="2" t="str">
        <f t="shared" si="89"/>
        <v>00444CB4</v>
      </c>
      <c r="H57" s="2" t="s">
        <v>46</v>
      </c>
      <c r="I57" s="2" t="s">
        <v>72</v>
      </c>
    </row>
    <row r="58" spans="1:9">
      <c r="C58" s="3"/>
    </row>
    <row r="59" spans="1:9">
      <c r="C59" s="3"/>
    </row>
    <row r="60" spans="1:9">
      <c r="C60" s="3"/>
    </row>
    <row r="61" spans="1:9">
      <c r="C61" s="3"/>
    </row>
    <row r="62" spans="1:9">
      <c r="C62" s="3"/>
    </row>
    <row r="63" spans="1:9">
      <c r="C63" s="7"/>
    </row>
    <row r="64" spans="1:9">
      <c r="C64" s="7"/>
    </row>
    <row r="65" spans="3:3">
      <c r="C65" s="6"/>
    </row>
    <row r="66" spans="3:3">
      <c r="C66" s="7"/>
    </row>
    <row r="67" spans="3:3">
      <c r="C67" s="7"/>
    </row>
    <row r="68" spans="3:3">
      <c r="C68" s="6"/>
    </row>
    <row r="69" spans="3:3">
      <c r="C69" s="6"/>
    </row>
    <row r="70" spans="3:3">
      <c r="C70" s="6"/>
    </row>
    <row r="71" spans="3:3">
      <c r="C71" s="7"/>
    </row>
    <row r="72" spans="3:3">
      <c r="C72" s="7"/>
    </row>
    <row r="73" spans="3:3">
      <c r="C7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2026-06-11T06:34:07Z</dcterms:modified>
</cp:coreProperties>
</file>