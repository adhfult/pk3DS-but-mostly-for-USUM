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3EDE02F6-1EC1-478D-839A-168381C95963}" xr6:coauthVersionLast="47" xr6:coauthVersionMax="47" xr10:uidLastSave="{00000000-0000-0000-0000-000000000000}"/>
  <bookViews>
    <workbookView xWindow="2640" yWindow="2640" windowWidth="24686" windowHeight="12497" xr2:uid="{FFF8744C-F0B4-428F-8CA7-718350CADE02}"/>
  </bookViews>
  <sheets>
    <sheet name="edited bag.cro" sheetId="14" r:id="rId1"/>
    <sheet name="Flags to Set" sheetId="16" r:id="rId2"/>
    <sheet name="Known Flags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4" l="1"/>
  <c r="A25" i="14" s="1"/>
  <c r="A26" i="14" s="1"/>
  <c r="A27" i="14" s="1"/>
  <c r="A28" i="14" s="1"/>
  <c r="A29" i="14" s="1"/>
  <c r="A23" i="14"/>
  <c r="A7" i="14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G9" i="16"/>
  <c r="C20" i="14"/>
  <c r="C2" i="14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G24" i="16"/>
  <c r="D24" i="16"/>
  <c r="G23" i="16"/>
  <c r="D23" i="16"/>
  <c r="G22" i="16"/>
  <c r="D22" i="16"/>
  <c r="G21" i="16"/>
  <c r="D21" i="16"/>
  <c r="G20" i="16"/>
  <c r="D20" i="16"/>
  <c r="G19" i="16"/>
  <c r="D19" i="16"/>
  <c r="G18" i="16"/>
  <c r="D18" i="16"/>
  <c r="G17" i="16"/>
  <c r="D17" i="16"/>
  <c r="G16" i="16"/>
  <c r="D16" i="16"/>
  <c r="G15" i="16"/>
  <c r="D15" i="16"/>
  <c r="G14" i="16"/>
  <c r="D14" i="16"/>
  <c r="G13" i="16"/>
  <c r="D13" i="16"/>
  <c r="G12" i="16"/>
  <c r="D12" i="16"/>
  <c r="G11" i="16"/>
  <c r="D11" i="16"/>
  <c r="G10" i="16"/>
  <c r="D10" i="16"/>
  <c r="D9" i="16"/>
  <c r="D8" i="16"/>
  <c r="D7" i="16"/>
  <c r="D6" i="16"/>
  <c r="D5" i="16"/>
  <c r="D4" i="16"/>
  <c r="D3" i="16"/>
  <c r="D2" i="16"/>
  <c r="G2" i="16" l="1"/>
  <c r="G8" i="16"/>
  <c r="G4" i="16"/>
  <c r="G5" i="16"/>
  <c r="G6" i="16"/>
  <c r="G7" i="16"/>
  <c r="G3" i="16"/>
  <c r="B22" i="14" l="1" a="1"/>
  <c r="B22" i="14" s="1"/>
  <c r="C22" i="14" a="1"/>
  <c r="C22" i="14" s="1"/>
  <c r="A6" i="14" l="1"/>
  <c r="C19" i="14" l="1"/>
  <c r="C11" i="14" l="1"/>
  <c r="C8" i="14" l="1"/>
  <c r="C7" i="1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<sst xmlns="http://schemas.openxmlformats.org/spreadsheetml/2006/main" count="258" uniqueCount="127">
  <si>
    <t>Address</t>
  </si>
  <si>
    <t>Hex</t>
  </si>
  <si>
    <t>instruction</t>
  </si>
  <si>
    <t>notes</t>
  </si>
  <si>
    <t>0040A0E1</t>
  </si>
  <si>
    <t>mov r4, r0</t>
  </si>
  <si>
    <t>0000F0D8</t>
  </si>
  <si>
    <t>original mov r4, r0</t>
  </si>
  <si>
    <t>Set Flags</t>
  </si>
  <si>
    <t>Flag</t>
  </si>
  <si>
    <t>Offset</t>
  </si>
  <si>
    <t>Bit</t>
  </si>
  <si>
    <t>From 330138D0</t>
  </si>
  <si>
    <t>Always 1?</t>
  </si>
  <si>
    <t>330138D1</t>
  </si>
  <si>
    <t>Ride Pager</t>
  </si>
  <si>
    <t>Tauros Charge</t>
  </si>
  <si>
    <t>Stoutland Search</t>
  </si>
  <si>
    <t>Machamp Shove</t>
  </si>
  <si>
    <t>Mudsdale Ride</t>
  </si>
  <si>
    <t>Lapras Surf</t>
  </si>
  <si>
    <t>Sharpedo Jet</t>
  </si>
  <si>
    <t>330138D2</t>
  </si>
  <si>
    <t>Charizard Fly</t>
  </si>
  <si>
    <t/>
  </si>
  <si>
    <t>330138E0</t>
  </si>
  <si>
    <t>Fly - Pokemon League</t>
  </si>
  <si>
    <t>Fly - Ruins of Abundance</t>
  </si>
  <si>
    <t>Fly - Paniola Ranch</t>
  </si>
  <si>
    <t>Fly - Route 1</t>
  </si>
  <si>
    <t>330138E1</t>
  </si>
  <si>
    <t>Fly - Hau'oli City</t>
  </si>
  <si>
    <t>Fly - Route 2</t>
  </si>
  <si>
    <t>Fly - Iki Town</t>
  </si>
  <si>
    <t>Fly - Your House</t>
  </si>
  <si>
    <t>Fly - Ten Carat Hill</t>
  </si>
  <si>
    <t>Fly - Melemele Meadow</t>
  </si>
  <si>
    <t>Fly - Verdant Cave</t>
  </si>
  <si>
    <t>Fly - Ruins of Conflict</t>
  </si>
  <si>
    <t>330138E2</t>
  </si>
  <si>
    <t>Fly - Hau'oli Cemetery</t>
  </si>
  <si>
    <t>Fly - Heahea City</t>
  </si>
  <si>
    <t>Fly - Royal Avenue</t>
  </si>
  <si>
    <t>Fly - Route 8</t>
  </si>
  <si>
    <t>Fly - Konikoni City</t>
  </si>
  <si>
    <t>Fly - Paniola Town</t>
  </si>
  <si>
    <t>Fly - Battle Royale Dome</t>
  </si>
  <si>
    <t>Fly - Hano Grand Resort</t>
  </si>
  <si>
    <t>330138E3</t>
  </si>
  <si>
    <t>Fly - Route 5/Brooklet Hill</t>
  </si>
  <si>
    <t>Fly - Lush Jungle</t>
  </si>
  <si>
    <t>Fly - Route 7/Wela Volcano Park</t>
  </si>
  <si>
    <t>Fly - Ruins of Life</t>
  </si>
  <si>
    <t>Fly - Route 9/Memorial Hill</t>
  </si>
  <si>
    <t>Fly - Malie City</t>
  </si>
  <si>
    <t>Fly - Tapu Village</t>
  </si>
  <si>
    <t>330138E4</t>
  </si>
  <si>
    <t>Fly - Route 16</t>
  </si>
  <si>
    <t>Fly - Mount Hokulani</t>
  </si>
  <si>
    <t>Fly - Blush Mountain</t>
  </si>
  <si>
    <t>Fly - Battle Tree</t>
  </si>
  <si>
    <t>Fly - Vast Poni Canyon</t>
  </si>
  <si>
    <t>Fly - Ruins of Hope</t>
  </si>
  <si>
    <t>330138E5</t>
  </si>
  <si>
    <t>Fly - Poni Meadow</t>
  </si>
  <si>
    <t>Fly - Exeggutor Island</t>
  </si>
  <si>
    <t>Fly - Aether Paradise</t>
  </si>
  <si>
    <t>Fly - Seafolk Village</t>
  </si>
  <si>
    <t>330138FD</t>
  </si>
  <si>
    <t>Fly - Po Town</t>
  </si>
  <si>
    <t>330138FE</t>
  </si>
  <si>
    <t>Fly - Lake of the Moone</t>
  </si>
  <si>
    <t>Fly - Altar of the Sunne</t>
  </si>
  <si>
    <t>33013905</t>
  </si>
  <si>
    <t>Fly - Heahea Beach</t>
  </si>
  <si>
    <t>Fly - Circle Controls</t>
  </si>
  <si>
    <t>Fly - Big Wave Beach</t>
  </si>
  <si>
    <t>Fly - Hau'oli Photo Club</t>
  </si>
  <si>
    <t>Fly - Konikoni Photo Club</t>
  </si>
  <si>
    <t>Fly - Ula'ula Beach</t>
  </si>
  <si>
    <t>Fly - Poni Beach</t>
  </si>
  <si>
    <t>33013906</t>
  </si>
  <si>
    <t>3301390C</t>
  </si>
  <si>
    <t>Lanturn 360</t>
  </si>
  <si>
    <t>Primarina Twist</t>
  </si>
  <si>
    <t>Starmie 720</t>
  </si>
  <si>
    <t>Over the Gyarados</t>
  </si>
  <si>
    <t>Flip to</t>
  </si>
  <si>
    <t>get pointer to data to modify</t>
  </si>
  <si>
    <t>D0380133</t>
  </si>
  <si>
    <t>Flags location</t>
  </si>
  <si>
    <t>get pointer to table of changes to make</t>
  </si>
  <si>
    <t>ldrb r2, [r0, 0x2]</t>
  </si>
  <si>
    <t>get target bit</t>
  </si>
  <si>
    <t>ldrb r3, [r0, 0x0]</t>
  </si>
  <si>
    <t>get offset from base</t>
  </si>
  <si>
    <t>ldrb r4, [r0, 0x1]</t>
  </si>
  <si>
    <t>get bit to change</t>
  </si>
  <si>
    <t>cmp r2, 0x01</t>
  </si>
  <si>
    <t>FF is terminator, other two values are 0 and 1</t>
  </si>
  <si>
    <t>if flip value is 1, just OR the loaded bit and store</t>
  </si>
  <si>
    <t>ldrb r2, [r1, r3]</t>
  </si>
  <si>
    <t>get byte containing flag</t>
  </si>
  <si>
    <t>orreq r2, r4, r2</t>
  </si>
  <si>
    <t>otherwise clear the bitflag</t>
  </si>
  <si>
    <t>strb r2, [r1, r3]</t>
  </si>
  <si>
    <t>add r0, r0, 0x3</t>
  </si>
  <si>
    <t>add 3 to get next entry</t>
  </si>
  <si>
    <t>biclo r2, r4, r2</t>
  </si>
  <si>
    <t>00015DFC</t>
  </si>
  <si>
    <t>34008FE2</t>
  </si>
  <si>
    <t>2C109FE5</t>
  </si>
  <si>
    <t>0220D0E5</t>
  </si>
  <si>
    <t>010052E3</t>
  </si>
  <si>
    <t>0700008A</t>
  </si>
  <si>
    <t>0030D0E5</t>
  </si>
  <si>
    <t>0320D1E7</t>
  </si>
  <si>
    <t>0140D0E5</t>
  </si>
  <si>
    <t>02208401</t>
  </si>
  <si>
    <t>0220C431</t>
  </si>
  <si>
    <t>0320C1E7</t>
  </si>
  <si>
    <t>030080E2</t>
  </si>
  <si>
    <t>F4FFFFEA</t>
  </si>
  <si>
    <t>push {r0, r1, r2, r3, r4, lr}</t>
  </si>
  <si>
    <t>471B00EB</t>
  </si>
  <si>
    <t>1F402DE9</t>
  </si>
  <si>
    <t>1F80BDE8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</si>
</sst>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quotePrefix="1" applyFont="1" applyFill="1"/>
    <xf numFmtId="0" fontId="2" fillId="4" borderId="0" xfId="0" applyFont="1" applyFill="1"/>
    <xf numFmtId="0" fontId="2" fillId="0" borderId="0" xfId="0" quotePrefix="1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quotePrefix="1" applyFont="1"/>
    <xf numFmtId="0" fontId="3" fillId="0" borderId="0" xfId="0" applyFont="1"/>
    <xf numFmtId="0" fontId="2" fillId="5" borderId="0" xfId="0" applyFont="1" applyFill="1"/>
    <xf numFmtId="0" fontId="2" fillId="6" borderId="0" xfId="0" applyFont="1" applyFill="1"/>
    <xf numFmtId="0" fontId="2" fillId="6" borderId="0" xfId="0" quotePrefix="1" applyFont="1" applyFill="1"/>
    <xf numFmtId="0" fontId="2" fillId="6" borderId="0" xfId="0" applyFont="1" applyFill="1" applyAlignment="1">
      <alignment wrapText="1"/>
    </xf>
    <xf numFmtId="0" fontId="3" fillId="6" borderId="0" xfId="0" quotePrefix="1" applyFont="1" applyFill="1"/>
    <xf numFmtId="0" fontId="3" fillId="6" borderId="0" xfId="0" applyFont="1" applyFill="1"/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3" fillId="3" borderId="0" xfId="0" quotePrefix="1" applyFont="1" applyFill="1"/>
    <xf numFmtId="0" fontId="2" fillId="2" borderId="0" xfId="0" applyFont="1" applyFill="1" applyAlignment="1">
      <alignment wrapText="1"/>
    </xf>
    <xf numFmtId="0" fontId="3" fillId="2" borderId="0" xfId="0" quotePrefix="1" applyFont="1" applyFill="1"/>
    <xf numFmtId="0" fontId="3" fillId="2" borderId="0" xfId="0" applyFont="1" applyFill="1"/>
    <xf numFmtId="0" fontId="2" fillId="8" borderId="0" xfId="0" applyFont="1" applyFill="1"/>
    <xf numFmtId="0" fontId="3" fillId="8" borderId="0" xfId="0" quotePrefix="1" applyFont="1" applyFill="1"/>
    <xf numFmtId="0" fontId="3" fillId="8" borderId="0" xfId="0" applyFont="1" applyFill="1"/>
    <xf numFmtId="0" fontId="2" fillId="8" borderId="0" xfId="0" applyFont="1" applyFill="1" applyAlignment="1">
      <alignment wrapText="1"/>
    </xf>
    <xf numFmtId="0" fontId="3" fillId="4" borderId="0" xfId="0" quotePrefix="1" applyFont="1" applyFill="1"/>
    <xf numFmtId="0" fontId="3" fillId="4" borderId="0" xfId="0" applyFont="1" applyFill="1"/>
    <xf numFmtId="0" fontId="2" fillId="4" borderId="0" xfId="0" applyFont="1" applyFill="1" applyAlignment="1">
      <alignment wrapText="1"/>
    </xf>
    <xf numFmtId="0" fontId="3" fillId="7" borderId="0" xfId="0" quotePrefix="1" applyFont="1" applyFill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05F7-4D94-4F23-A885-4D83B555E777}">
  <dimension ref="A1:F41"/>
  <sheetViews>
    <sheetView tabSelected="1" zoomScale="85" zoomScaleNormal="85" workbookViewId="0">
      <pane ySplit="1" topLeftCell="A11" activePane="bottomLeft" state="frozen"/>
      <selection pane="bottomLeft" activeCell="C22" sqref="C22:C28"/>
    </sheetView>
  </sheetViews>
  <sheetFormatPr defaultColWidth="9.2109375" defaultRowHeight="15.9"/>
  <cols>
    <col min="1" max="1" width="10.78515625" style="2" customWidth="1"/>
    <col min="2" max="2" width="10.0703125" style="2" bestFit="1" customWidth="1"/>
    <col min="3" max="3" width="47.7109375" style="2" bestFit="1" customWidth="1"/>
    <col min="4" max="4" width="60.5" style="9" customWidth="1"/>
    <col min="5" max="5" width="10.0703125" style="2" bestFit="1" customWidth="1"/>
    <col min="6" max="6" width="12.35546875" style="2" bestFit="1" customWidth="1"/>
    <col min="7" max="7" width="5.42578125" style="2" bestFit="1" customWidth="1"/>
    <col min="8" max="8" width="13.640625" style="2" bestFit="1" customWidth="1"/>
    <col min="9" max="10" width="3.140625" style="2" bestFit="1" customWidth="1"/>
    <col min="11" max="16384" width="9.2109375" style="2"/>
  </cols>
  <sheetData>
    <row r="1" spans="1:6">
      <c r="A1" s="1" t="s">
        <v>0</v>
      </c>
      <c r="B1" s="1" t="s">
        <v>1</v>
      </c>
      <c r="C1" s="1" t="s">
        <v>2</v>
      </c>
      <c r="D1" s="10" t="s">
        <v>3</v>
      </c>
    </row>
    <row r="2" spans="1:6">
      <c r="A2" s="8" t="s">
        <v>6</v>
      </c>
      <c r="B2" s="2" t="s">
        <v>124</v>
      </c>
      <c r="C2" s="2" t="str">
        <f>_xlfn.CONCAT("bl 0x",A5)</f>
        <v>bl 0x00015DFC</v>
      </c>
      <c r="D2" s="9" t="s">
        <v>7</v>
      </c>
    </row>
    <row r="3" spans="1:6">
      <c r="A3" s="1"/>
      <c r="B3" s="1"/>
      <c r="C3" s="1"/>
      <c r="D3" s="10"/>
    </row>
    <row r="4" spans="1:6">
      <c r="A4" s="1" t="s">
        <v>8</v>
      </c>
      <c r="B4" s="1"/>
      <c r="C4" s="1"/>
      <c r="D4" s="10"/>
    </row>
    <row r="5" spans="1:6">
      <c r="A5" s="6" t="s">
        <v>109</v>
      </c>
      <c r="B5" s="4" t="s">
        <v>4</v>
      </c>
      <c r="C5" s="4" t="s">
        <v>5</v>
      </c>
      <c r="D5" s="4"/>
    </row>
    <row r="6" spans="1:6">
      <c r="A6" s="4" t="str">
        <f>DEC2HEX(HEX2DEC(A5)+4,8)</f>
        <v>00015E00</v>
      </c>
      <c r="B6" s="6" t="s">
        <v>125</v>
      </c>
      <c r="C6" s="4" t="s">
        <v>123</v>
      </c>
      <c r="D6" s="5"/>
    </row>
    <row r="7" spans="1:6">
      <c r="A7" s="19" t="str">
        <f t="shared" ref="A7:A22" si="0">DEC2HEX(HEX2DEC(A6)+4,8)</f>
        <v>00015E04</v>
      </c>
      <c r="B7" s="19" t="s">
        <v>110</v>
      </c>
      <c r="C7" s="19" t="str">
        <f>_xlfn.CONCAT("add r0, pc, 0x",DEC2HEX(HEX2DEC(A22)-HEX2DEC(A7)-8))</f>
        <v>add r0, pc, 0x34</v>
      </c>
      <c r="D7" s="20" t="s">
        <v>91</v>
      </c>
    </row>
    <row r="8" spans="1:6">
      <c r="A8" s="19" t="str">
        <f t="shared" si="0"/>
        <v>00015E08</v>
      </c>
      <c r="B8" s="19" t="s">
        <v>111</v>
      </c>
      <c r="C8" s="19" t="str">
        <f>_xlfn.CONCAT("ldr r1, [pc, #",HEX2DEC(A21)-HEX2DEC(A8)-8,"]")</f>
        <v>ldr r1, [pc, #44]</v>
      </c>
      <c r="D8" s="20" t="s">
        <v>88</v>
      </c>
    </row>
    <row r="9" spans="1:6">
      <c r="A9" s="3" t="str">
        <f t="shared" si="0"/>
        <v>00015E0C</v>
      </c>
      <c r="B9" s="3" t="s">
        <v>112</v>
      </c>
      <c r="C9" s="3" t="s">
        <v>92</v>
      </c>
      <c r="D9" s="22" t="s">
        <v>93</v>
      </c>
    </row>
    <row r="10" spans="1:6">
      <c r="A10" s="3" t="str">
        <f t="shared" si="0"/>
        <v>00015E10</v>
      </c>
      <c r="B10" s="23" t="s">
        <v>113</v>
      </c>
      <c r="C10" s="24" t="s">
        <v>98</v>
      </c>
      <c r="D10" s="22"/>
      <c r="E10" s="12"/>
      <c r="F10" s="12"/>
    </row>
    <row r="11" spans="1:6">
      <c r="A11" s="4" t="str">
        <f t="shared" si="0"/>
        <v>00015E14</v>
      </c>
      <c r="B11" s="21" t="s">
        <v>114</v>
      </c>
      <c r="C11" s="4" t="str">
        <f>_xlfn.CONCAT("bhi 0x",A20)</f>
        <v>bhi 0x00015E38</v>
      </c>
      <c r="D11" s="5" t="s">
        <v>99</v>
      </c>
      <c r="E11" s="12"/>
      <c r="F11" s="12"/>
    </row>
    <row r="12" spans="1:6">
      <c r="A12" s="25" t="str">
        <f t="shared" si="0"/>
        <v>00015E18</v>
      </c>
      <c r="B12" s="26" t="s">
        <v>115</v>
      </c>
      <c r="C12" s="27" t="s">
        <v>94</v>
      </c>
      <c r="D12" s="28" t="s">
        <v>95</v>
      </c>
      <c r="E12" s="12"/>
      <c r="F12" s="12"/>
    </row>
    <row r="13" spans="1:6">
      <c r="A13" s="25" t="str">
        <f t="shared" si="0"/>
        <v>00015E1C</v>
      </c>
      <c r="B13" s="26" t="s">
        <v>116</v>
      </c>
      <c r="C13" s="27" t="s">
        <v>101</v>
      </c>
      <c r="D13" s="28" t="s">
        <v>102</v>
      </c>
      <c r="E13" s="12"/>
      <c r="F13" s="12"/>
    </row>
    <row r="14" spans="1:6">
      <c r="A14" s="7" t="str">
        <f t="shared" si="0"/>
        <v>00015E20</v>
      </c>
      <c r="B14" s="29" t="s">
        <v>117</v>
      </c>
      <c r="C14" s="30" t="s">
        <v>96</v>
      </c>
      <c r="D14" s="31" t="s">
        <v>97</v>
      </c>
      <c r="F14" s="12"/>
    </row>
    <row r="15" spans="1:6">
      <c r="A15" s="7" t="str">
        <f t="shared" si="0"/>
        <v>00015E24</v>
      </c>
      <c r="B15" s="29" t="s">
        <v>118</v>
      </c>
      <c r="C15" s="30" t="s">
        <v>103</v>
      </c>
      <c r="D15" s="31" t="s">
        <v>100</v>
      </c>
      <c r="F15" s="12"/>
    </row>
    <row r="16" spans="1:6">
      <c r="A16" s="7" t="str">
        <f t="shared" si="0"/>
        <v>00015E28</v>
      </c>
      <c r="B16" s="29" t="s">
        <v>119</v>
      </c>
      <c r="C16" s="30" t="s">
        <v>108</v>
      </c>
      <c r="D16" s="31" t="s">
        <v>104</v>
      </c>
      <c r="F16" s="12"/>
    </row>
    <row r="17" spans="1:6">
      <c r="A17" s="25" t="str">
        <f t="shared" si="0"/>
        <v>00015E2C</v>
      </c>
      <c r="B17" s="26" t="s">
        <v>120</v>
      </c>
      <c r="C17" s="27" t="s">
        <v>105</v>
      </c>
      <c r="D17" s="28"/>
      <c r="F17" s="12"/>
    </row>
    <row r="18" spans="1:6">
      <c r="A18" s="19" t="str">
        <f t="shared" si="0"/>
        <v>00015E30</v>
      </c>
      <c r="B18" s="32" t="s">
        <v>121</v>
      </c>
      <c r="C18" s="33" t="s">
        <v>106</v>
      </c>
      <c r="D18" s="20" t="s">
        <v>107</v>
      </c>
      <c r="F18" s="12"/>
    </row>
    <row r="19" spans="1:6">
      <c r="A19" s="19" t="str">
        <f t="shared" si="0"/>
        <v>00015E34</v>
      </c>
      <c r="B19" s="32" t="s">
        <v>122</v>
      </c>
      <c r="C19" s="33" t="str">
        <f>_xlfn.CONCAT("b 0x",A9)</f>
        <v>b 0x00015E0C</v>
      </c>
      <c r="D19" s="20"/>
      <c r="F19" s="12"/>
    </row>
    <row r="20" spans="1:6">
      <c r="A20" s="4" t="str">
        <f t="shared" si="0"/>
        <v>00015E38</v>
      </c>
      <c r="B20" s="4" t="s">
        <v>126</v>
      </c>
      <c r="C20" s="4" t="str">
        <f>SUBSTITUTE(SUBSTITUTE(C6,"push","pop"),"lr","pc")</f>
        <v>pop {r0, r1, r2, r3, r4, pc}</v>
      </c>
      <c r="D20" s="5"/>
    </row>
    <row r="21" spans="1:6">
      <c r="A21" s="13" t="str">
        <f t="shared" si="0"/>
        <v>00015E3C</v>
      </c>
      <c r="B21" s="13" t="s">
        <v>89</v>
      </c>
      <c r="C21" s="13"/>
      <c r="D21" s="13" t="s">
        <v>90</v>
      </c>
      <c r="F21" s="12"/>
    </row>
    <row r="22" spans="1:6">
      <c r="A22" s="14" t="str">
        <f t="shared" si="0"/>
        <v>00015E40</v>
      </c>
      <c r="B22" s="15" t="str" cm="1">
        <f t="array" ref="B22:B29">_xlfn._xlws.FILTER('Flags to Set'!G:G,'Flags to Set'!G:G&lt;&gt;"")</f>
        <v>144001</v>
      </c>
      <c r="C22" s="14" t="str" cm="1">
        <f t="array" ref="C22:C29">_xlfn._xlws.FILTER('Flags to Set'!A:A,'Flags to Set'!G:G&lt;&gt;"")</f>
        <v>Fly - Battle Tree</v>
      </c>
      <c r="D22" s="16"/>
      <c r="F22" s="12"/>
    </row>
    <row r="23" spans="1:6">
      <c r="A23" s="14" t="str">
        <f>DEC2HEX(HEX2DEC(A22)+3,8)</f>
        <v>00015E43</v>
      </c>
      <c r="B23" s="14" t="str">
        <v>010401</v>
      </c>
      <c r="C23" s="14" t="str">
        <v>Tauros Charge</v>
      </c>
      <c r="D23" s="16"/>
      <c r="F23" s="12"/>
    </row>
    <row r="24" spans="1:6">
      <c r="A24" s="14" t="str">
        <f t="shared" ref="A24:A29" si="1">DEC2HEX(HEX2DEC(A23)+3,8)</f>
        <v>00015E46</v>
      </c>
      <c r="B24" s="14" t="str">
        <v>010801</v>
      </c>
      <c r="C24" s="14" t="str">
        <v>Stoutland Search</v>
      </c>
      <c r="D24" s="16"/>
      <c r="F24" s="12"/>
    </row>
    <row r="25" spans="1:6">
      <c r="A25" s="14" t="str">
        <f t="shared" si="1"/>
        <v>00015E49</v>
      </c>
      <c r="B25" s="14" t="str">
        <v>011001</v>
      </c>
      <c r="C25" s="14" t="str">
        <v>Machamp Shove</v>
      </c>
      <c r="D25" s="16"/>
    </row>
    <row r="26" spans="1:6">
      <c r="A26" s="14" t="str">
        <f t="shared" si="1"/>
        <v>00015E4C</v>
      </c>
      <c r="B26" s="17" t="str">
        <v>018001</v>
      </c>
      <c r="C26" s="18" t="str">
        <v>Sharpedo Jet</v>
      </c>
      <c r="D26" s="16"/>
    </row>
    <row r="27" spans="1:6">
      <c r="A27" s="14" t="str">
        <f t="shared" si="1"/>
        <v>00015E4F</v>
      </c>
      <c r="B27" s="17" t="str">
        <v>020101</v>
      </c>
      <c r="C27" s="14" t="str">
        <v>Charizard Fly</v>
      </c>
      <c r="D27" s="16"/>
    </row>
    <row r="28" spans="1:6">
      <c r="A28" s="14" t="str">
        <f t="shared" si="1"/>
        <v>00015E52</v>
      </c>
      <c r="B28" s="17" t="str">
        <v>010201</v>
      </c>
      <c r="C28" s="18" t="str">
        <v>Ride Pager</v>
      </c>
      <c r="D28" s="16"/>
    </row>
    <row r="29" spans="1:6">
      <c r="A29" s="14" t="str">
        <f t="shared" si="1"/>
        <v>00015E55</v>
      </c>
      <c r="B29" s="18" t="str">
        <v>FFFFFF</v>
      </c>
      <c r="C29" s="18">
        <v>0</v>
      </c>
      <c r="D29" s="18"/>
    </row>
    <row r="30" spans="1:6">
      <c r="B30" s="11"/>
      <c r="C30" s="12"/>
    </row>
    <row r="31" spans="1:6">
      <c r="B31" s="11"/>
      <c r="C31" s="12"/>
    </row>
    <row r="41" spans="2:2">
      <c r="B41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88FC-79EA-422A-AF21-411EBC030670}">
  <dimension ref="A1:G24"/>
  <sheetViews>
    <sheetView workbookViewId="0">
      <selection activeCell="C5" sqref="C5"/>
    </sheetView>
  </sheetViews>
  <sheetFormatPr defaultRowHeight="15.9"/>
  <cols>
    <col min="1" max="1" width="19.28515625" style="2" bestFit="1" customWidth="1"/>
    <col min="2" max="2" width="6.5" style="2" bestFit="1" customWidth="1"/>
    <col min="3" max="3" width="9.140625" style="2"/>
    <col min="4" max="4" width="6.140625" style="2" bestFit="1" customWidth="1"/>
    <col min="5" max="5" width="3.35546875" style="2" bestFit="1" customWidth="1"/>
    <col min="6" max="16384" width="9.140625" style="2"/>
  </cols>
  <sheetData>
    <row r="1" spans="1:7">
      <c r="A1" s="1" t="s">
        <v>9</v>
      </c>
      <c r="B1" s="1" t="s">
        <v>87</v>
      </c>
      <c r="C1" s="1"/>
      <c r="D1" s="1" t="s">
        <v>10</v>
      </c>
      <c r="E1" s="1" t="s">
        <v>11</v>
      </c>
    </row>
    <row r="2" spans="1:7">
      <c r="A2" s="2" t="s">
        <v>60</v>
      </c>
      <c r="B2" s="2">
        <v>1</v>
      </c>
      <c r="D2" s="2" t="str">
        <f>IF(A2&lt;&gt;"",DEC2HEX(_xlfn.XLOOKUP($A2,'Known Flags'!$A:$A,'Known Flags'!D:D),2),"")</f>
        <v>14</v>
      </c>
      <c r="E2" s="2" t="str">
        <f>IF(B2&lt;&gt;"",DEC2HEX(_xlfn.XLOOKUP($A2,'Known Flags'!$A:$A,'Known Flags'!C:C),2),"")</f>
        <v>40</v>
      </c>
      <c r="G2" s="2" t="str">
        <f>IF(A2&lt;&gt;"",_xlfn.CONCAT(D2:E2,DEC2HEX(B2,2)),"")</f>
        <v>144001</v>
      </c>
    </row>
    <row r="3" spans="1:7">
      <c r="A3" s="2" t="s">
        <v>16</v>
      </c>
      <c r="B3" s="2">
        <v>1</v>
      </c>
      <c r="D3" s="2" t="str">
        <f>IF(A3&lt;&gt;"",DEC2HEX(_xlfn.XLOOKUP($A3,'Known Flags'!$A:$A,'Known Flags'!D:D),2),"")</f>
        <v>01</v>
      </c>
      <c r="E3" s="2" t="str">
        <f>IF(B3&lt;&gt;"",DEC2HEX(_xlfn.XLOOKUP($A3,'Known Flags'!$A:$A,'Known Flags'!C:C),2),"")</f>
        <v>04</v>
      </c>
      <c r="G3" s="2" t="str">
        <f t="shared" ref="G3:G24" si="0">IF(A3&lt;&gt;"",_xlfn.CONCAT(D3:E3,DEC2HEX(B3,2)),"")</f>
        <v>010401</v>
      </c>
    </row>
    <row r="4" spans="1:7">
      <c r="A4" s="2" t="s">
        <v>17</v>
      </c>
      <c r="B4" s="2">
        <v>1</v>
      </c>
      <c r="D4" s="2" t="str">
        <f>IF(A4&lt;&gt;"",DEC2HEX(_xlfn.XLOOKUP($A4,'Known Flags'!$A:$A,'Known Flags'!D:D),2),"")</f>
        <v>01</v>
      </c>
      <c r="E4" s="2" t="str">
        <f>IF(B4&lt;&gt;"",DEC2HEX(_xlfn.XLOOKUP($A4,'Known Flags'!$A:$A,'Known Flags'!C:C),2),"")</f>
        <v>08</v>
      </c>
      <c r="G4" s="2" t="str">
        <f t="shared" si="0"/>
        <v>010801</v>
      </c>
    </row>
    <row r="5" spans="1:7">
      <c r="A5" s="2" t="s">
        <v>18</v>
      </c>
      <c r="B5" s="2">
        <v>1</v>
      </c>
      <c r="D5" s="2" t="str">
        <f>IF(A5&lt;&gt;"",DEC2HEX(_xlfn.XLOOKUP($A5,'Known Flags'!$A:$A,'Known Flags'!D:D),2),"")</f>
        <v>01</v>
      </c>
      <c r="E5" s="2" t="str">
        <f>IF(B5&lt;&gt;"",DEC2HEX(_xlfn.XLOOKUP($A5,'Known Flags'!$A:$A,'Known Flags'!C:C),2),"")</f>
        <v>10</v>
      </c>
      <c r="G5" s="2" t="str">
        <f t="shared" si="0"/>
        <v>011001</v>
      </c>
    </row>
    <row r="6" spans="1:7">
      <c r="A6" s="2" t="s">
        <v>21</v>
      </c>
      <c r="B6" s="2">
        <v>1</v>
      </c>
      <c r="D6" s="2" t="str">
        <f>IF(A6&lt;&gt;"",DEC2HEX(_xlfn.XLOOKUP($A6,'Known Flags'!$A:$A,'Known Flags'!D:D),2),"")</f>
        <v>01</v>
      </c>
      <c r="E6" s="2" t="str">
        <f>IF(B6&lt;&gt;"",DEC2HEX(_xlfn.XLOOKUP($A6,'Known Flags'!$A:$A,'Known Flags'!C:C),2),"")</f>
        <v>80</v>
      </c>
      <c r="G6" s="2" t="str">
        <f t="shared" si="0"/>
        <v>018001</v>
      </c>
    </row>
    <row r="7" spans="1:7">
      <c r="A7" s="2" t="s">
        <v>23</v>
      </c>
      <c r="B7" s="2">
        <v>1</v>
      </c>
      <c r="D7" s="2" t="str">
        <f>IF(A7&lt;&gt;"",DEC2HEX(_xlfn.XLOOKUP($A7,'Known Flags'!$A:$A,'Known Flags'!D:D),2),"")</f>
        <v>02</v>
      </c>
      <c r="E7" s="2" t="str">
        <f>IF(B7&lt;&gt;"",DEC2HEX(_xlfn.XLOOKUP($A7,'Known Flags'!$A:$A,'Known Flags'!C:C),2),"")</f>
        <v>01</v>
      </c>
      <c r="G7" s="2" t="str">
        <f t="shared" si="0"/>
        <v>020101</v>
      </c>
    </row>
    <row r="8" spans="1:7">
      <c r="A8" s="2" t="s">
        <v>15</v>
      </c>
      <c r="B8" s="2">
        <v>1</v>
      </c>
      <c r="D8" s="2" t="str">
        <f>IF(A8&lt;&gt;"",DEC2HEX(_xlfn.XLOOKUP($A8,'Known Flags'!$A:$A,'Known Flags'!D:D),2),"")</f>
        <v>01</v>
      </c>
      <c r="E8" s="2" t="str">
        <f>IF(B8&lt;&gt;"",DEC2HEX(_xlfn.XLOOKUP($A8,'Known Flags'!$A:$A,'Known Flags'!C:C),2),"")</f>
        <v>02</v>
      </c>
      <c r="G8" s="2" t="str">
        <f t="shared" si="0"/>
        <v>010201</v>
      </c>
    </row>
    <row r="9" spans="1:7">
      <c r="D9" s="2" t="str">
        <f>IF(A9&lt;&gt;"",DEC2HEX(_xlfn.XLOOKUP($A9,'Known Flags'!$A:$A,'Known Flags'!D:D),2),"")</f>
        <v/>
      </c>
      <c r="E9" s="2" t="str">
        <f>IF(B9&lt;&gt;"",DEC2HEX(_xlfn.XLOOKUP($A9,'Known Flags'!$A:$A,'Known Flags'!C:C),2),"")</f>
        <v/>
      </c>
      <c r="G9" s="2" t="str">
        <f>IF(A9&lt;&gt;"",_xlfn.CONCAT(D9:E9,DEC2HEX(B9,2)),IF(A8="","",REPT("F",6)))</f>
        <v>FFFFFF</v>
      </c>
    </row>
    <row r="10" spans="1:7">
      <c r="D10" s="2" t="str">
        <f>IF(A10&lt;&gt;"",DEC2HEX(_xlfn.XLOOKUP($A10,'Known Flags'!$A:$A,'Known Flags'!D:D),2),"")</f>
        <v/>
      </c>
      <c r="E10" s="2" t="str">
        <f>IF(B10&lt;&gt;"",DEC2HEX(_xlfn.XLOOKUP($A10,'Known Flags'!$A:$A,'Known Flags'!C:C),2),"")</f>
        <v/>
      </c>
      <c r="G10" s="2" t="str">
        <f t="shared" si="0"/>
        <v/>
      </c>
    </row>
    <row r="11" spans="1:7">
      <c r="D11" s="2" t="str">
        <f>IF(A11&lt;&gt;"",DEC2HEX(_xlfn.XLOOKUP($A11,'Known Flags'!$A:$A,'Known Flags'!D:D),2),"")</f>
        <v/>
      </c>
      <c r="E11" s="2" t="str">
        <f>IF(B11&lt;&gt;"",DEC2HEX(_xlfn.XLOOKUP($A11,'Known Flags'!$A:$A,'Known Flags'!C:C),2),"")</f>
        <v/>
      </c>
      <c r="G11" s="2" t="str">
        <f t="shared" si="0"/>
        <v/>
      </c>
    </row>
    <row r="12" spans="1:7">
      <c r="D12" s="2" t="str">
        <f>IF(A12&lt;&gt;"",DEC2HEX(_xlfn.XLOOKUP($A12,'Known Flags'!$A:$A,'Known Flags'!D:D),2),"")</f>
        <v/>
      </c>
      <c r="E12" s="2" t="str">
        <f>IF(B12&lt;&gt;"",DEC2HEX(_xlfn.XLOOKUP($A12,'Known Flags'!$A:$A,'Known Flags'!C:C),2),"")</f>
        <v/>
      </c>
      <c r="G12" s="2" t="str">
        <f t="shared" si="0"/>
        <v/>
      </c>
    </row>
    <row r="13" spans="1:7">
      <c r="D13" s="2" t="str">
        <f>IF(A13&lt;&gt;"",DEC2HEX(_xlfn.XLOOKUP($A13,'Known Flags'!$A:$A,'Known Flags'!D:D),2),"")</f>
        <v/>
      </c>
      <c r="E13" s="2" t="str">
        <f>IF(B13&lt;&gt;"",DEC2HEX(_xlfn.XLOOKUP($A13,'Known Flags'!$A:$A,'Known Flags'!C:C),2),"")</f>
        <v/>
      </c>
      <c r="G13" s="2" t="str">
        <f t="shared" si="0"/>
        <v/>
      </c>
    </row>
    <row r="14" spans="1:7">
      <c r="D14" s="2" t="str">
        <f>IF(A14&lt;&gt;"",DEC2HEX(_xlfn.XLOOKUP($A14,'Known Flags'!$A:$A,'Known Flags'!D:D),2),"")</f>
        <v/>
      </c>
      <c r="E14" s="2" t="str">
        <f>IF(B14&lt;&gt;"",DEC2HEX(_xlfn.XLOOKUP($A14,'Known Flags'!$A:$A,'Known Flags'!C:C),2),"")</f>
        <v/>
      </c>
      <c r="G14" s="2" t="str">
        <f t="shared" si="0"/>
        <v/>
      </c>
    </row>
    <row r="15" spans="1:7">
      <c r="D15" s="2" t="str">
        <f>IF(A15&lt;&gt;"",DEC2HEX(_xlfn.XLOOKUP($A15,'Known Flags'!$A:$A,'Known Flags'!D:D),2),"")</f>
        <v/>
      </c>
      <c r="E15" s="2" t="str">
        <f>IF(B15&lt;&gt;"",DEC2HEX(_xlfn.XLOOKUP($A15,'Known Flags'!$A:$A,'Known Flags'!C:C),2),"")</f>
        <v/>
      </c>
      <c r="G15" s="2" t="str">
        <f t="shared" si="0"/>
        <v/>
      </c>
    </row>
    <row r="16" spans="1:7">
      <c r="D16" s="2" t="str">
        <f>IF(A16&lt;&gt;"",DEC2HEX(_xlfn.XLOOKUP($A16,'Known Flags'!$A:$A,'Known Flags'!D:D),2),"")</f>
        <v/>
      </c>
      <c r="E16" s="2" t="str">
        <f>IF(B16&lt;&gt;"",DEC2HEX(_xlfn.XLOOKUP($A16,'Known Flags'!$A:$A,'Known Flags'!C:C),2),"")</f>
        <v/>
      </c>
      <c r="G16" s="2" t="str">
        <f t="shared" si="0"/>
        <v/>
      </c>
    </row>
    <row r="17" spans="4:7">
      <c r="D17" s="2" t="str">
        <f>IF(A17&lt;&gt;"",DEC2HEX(_xlfn.XLOOKUP($A17,'Known Flags'!$A:$A,'Known Flags'!D:D),2),"")</f>
        <v/>
      </c>
      <c r="E17" s="2" t="str">
        <f>IF(B17&lt;&gt;"",DEC2HEX(_xlfn.XLOOKUP($A17,'Known Flags'!$A:$A,'Known Flags'!C:C),2),"")</f>
        <v/>
      </c>
      <c r="G17" s="2" t="str">
        <f t="shared" si="0"/>
        <v/>
      </c>
    </row>
    <row r="18" spans="4:7">
      <c r="D18" s="2" t="str">
        <f>IF(A18&lt;&gt;"",DEC2HEX(_xlfn.XLOOKUP($A18,'Known Flags'!$A:$A,'Known Flags'!D:D),2),"")</f>
        <v/>
      </c>
      <c r="E18" s="2" t="str">
        <f>IF(B18&lt;&gt;"",DEC2HEX(_xlfn.XLOOKUP($A18,'Known Flags'!$A:$A,'Known Flags'!C:C),2),"")</f>
        <v/>
      </c>
      <c r="G18" s="2" t="str">
        <f t="shared" si="0"/>
        <v/>
      </c>
    </row>
    <row r="19" spans="4:7">
      <c r="D19" s="2" t="str">
        <f>IF(A19&lt;&gt;"",DEC2HEX(_xlfn.XLOOKUP($A19,'Known Flags'!$A:$A,'Known Flags'!D:D),2),"")</f>
        <v/>
      </c>
      <c r="E19" s="2" t="str">
        <f>IF(B19&lt;&gt;"",DEC2HEX(_xlfn.XLOOKUP($A19,'Known Flags'!$A:$A,'Known Flags'!C:C),2),"")</f>
        <v/>
      </c>
      <c r="G19" s="2" t="str">
        <f t="shared" si="0"/>
        <v/>
      </c>
    </row>
    <row r="20" spans="4:7">
      <c r="D20" s="2" t="str">
        <f>IF(A20&lt;&gt;"",DEC2HEX(_xlfn.XLOOKUP($A20,'Known Flags'!$A:$A,'Known Flags'!D:D),2),"")</f>
        <v/>
      </c>
      <c r="E20" s="2" t="str">
        <f>IF(B20&lt;&gt;"",DEC2HEX(_xlfn.XLOOKUP($A20,'Known Flags'!$A:$A,'Known Flags'!C:C),2),"")</f>
        <v/>
      </c>
      <c r="G20" s="2" t="str">
        <f t="shared" si="0"/>
        <v/>
      </c>
    </row>
    <row r="21" spans="4:7">
      <c r="D21" s="2" t="str">
        <f>IF(A21&lt;&gt;"",DEC2HEX(_xlfn.XLOOKUP($A21,'Known Flags'!$A:$A,'Known Flags'!D:D),2),"")</f>
        <v/>
      </c>
      <c r="E21" s="2" t="str">
        <f>IF(B21&lt;&gt;"",DEC2HEX(_xlfn.XLOOKUP($A21,'Known Flags'!$A:$A,'Known Flags'!C:C),2),"")</f>
        <v/>
      </c>
      <c r="G21" s="2" t="str">
        <f t="shared" si="0"/>
        <v/>
      </c>
    </row>
    <row r="22" spans="4:7">
      <c r="D22" s="2" t="str">
        <f>IF(A22&lt;&gt;"",DEC2HEX(_xlfn.XLOOKUP($A22,'Known Flags'!$A:$A,'Known Flags'!D:D),2),"")</f>
        <v/>
      </c>
      <c r="E22" s="2" t="str">
        <f>IF(B22&lt;&gt;"",DEC2HEX(_xlfn.XLOOKUP($A22,'Known Flags'!$A:$A,'Known Flags'!C:C),2),"")</f>
        <v/>
      </c>
      <c r="G22" s="2" t="str">
        <f t="shared" si="0"/>
        <v/>
      </c>
    </row>
    <row r="23" spans="4:7">
      <c r="D23" s="2" t="str">
        <f>IF(A23&lt;&gt;"",DEC2HEX(_xlfn.XLOOKUP($A23,'Known Flags'!$A:$A,'Known Flags'!D:D),2),"")</f>
        <v/>
      </c>
      <c r="E23" s="2" t="str">
        <f>IF(B23&lt;&gt;"",DEC2HEX(_xlfn.XLOOKUP($A23,'Known Flags'!$A:$A,'Known Flags'!C:C),2),"")</f>
        <v/>
      </c>
      <c r="G23" s="2" t="str">
        <f t="shared" si="0"/>
        <v/>
      </c>
    </row>
    <row r="24" spans="4:7">
      <c r="D24" s="2" t="str">
        <f>IF(A24&lt;&gt;"",DEC2HEX(_xlfn.XLOOKUP($A24,'Known Flags'!$A:$A,'Known Flags'!D:D),2),"")</f>
        <v/>
      </c>
      <c r="E24" s="2" t="str">
        <f>IF(B24&lt;&gt;"",DEC2HEX(_xlfn.XLOOKUP($A24,'Known Flags'!$A:$A,'Known Flags'!C:C),2),"")</f>
        <v/>
      </c>
      <c r="G24" s="2" t="str">
        <f t="shared" si="0"/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090B7D-6439-4948-8AFB-B80ADF0E8463}">
          <x14:formula1>
            <xm:f>'Known Flags'!$J$1:$J$2</xm:f>
          </x14:formula1>
          <xm:sqref>B2:B1048576</xm:sqref>
        </x14:dataValidation>
        <x14:dataValidation type="list" allowBlank="1" showInputMessage="1" showErrorMessage="1" xr:uid="{86A408E9-06A5-4853-BD28-8A89728B410D}">
          <x14:formula1>
            <xm:f>'Known Flags'!$A:$A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B1C3-F1D1-410E-9EEE-053107E67128}">
  <dimension ref="A1:J99"/>
  <sheetViews>
    <sheetView workbookViewId="0">
      <selection activeCell="D10" sqref="D10"/>
    </sheetView>
  </sheetViews>
  <sheetFormatPr defaultRowHeight="15.9"/>
  <cols>
    <col min="1" max="1" width="27.640625" style="2" bestFit="1" customWidth="1"/>
    <col min="2" max="2" width="9.28515625" style="2" bestFit="1" customWidth="1"/>
    <col min="3" max="3" width="4" style="2" bestFit="1" customWidth="1"/>
    <col min="4" max="4" width="14.140625" style="2" bestFit="1" customWidth="1"/>
    <col min="5" max="9" width="9.140625" style="2"/>
    <col min="10" max="10" width="9.2109375" style="2" bestFit="1" customWidth="1"/>
    <col min="11" max="16384" width="9.140625" style="2"/>
  </cols>
  <sheetData>
    <row r="1" spans="1:10">
      <c r="A1" s="2" t="s">
        <v>9</v>
      </c>
      <c r="B1" s="2" t="s">
        <v>10</v>
      </c>
      <c r="C1" s="2" t="s">
        <v>11</v>
      </c>
      <c r="D1" s="2" t="s">
        <v>12</v>
      </c>
      <c r="J1" s="2">
        <v>0</v>
      </c>
    </row>
    <row r="2" spans="1:10">
      <c r="A2" s="2" t="s">
        <v>13</v>
      </c>
      <c r="B2" s="2" t="s">
        <v>14</v>
      </c>
      <c r="C2" s="2">
        <v>1</v>
      </c>
      <c r="D2" s="2">
        <v>1</v>
      </c>
      <c r="J2" s="2">
        <v>1</v>
      </c>
    </row>
    <row r="3" spans="1:10">
      <c r="A3" s="2" t="s">
        <v>15</v>
      </c>
      <c r="B3" s="2" t="s">
        <v>14</v>
      </c>
      <c r="C3" s="2">
        <v>2</v>
      </c>
      <c r="D3" s="2">
        <v>1</v>
      </c>
    </row>
    <row r="4" spans="1:10">
      <c r="A4" s="2" t="s">
        <v>16</v>
      </c>
      <c r="B4" s="2" t="s">
        <v>14</v>
      </c>
      <c r="C4" s="2">
        <v>4</v>
      </c>
      <c r="D4" s="2">
        <v>1</v>
      </c>
    </row>
    <row r="5" spans="1:10">
      <c r="A5" s="2" t="s">
        <v>17</v>
      </c>
      <c r="B5" s="2" t="s">
        <v>14</v>
      </c>
      <c r="C5" s="2">
        <v>8</v>
      </c>
      <c r="D5" s="2">
        <v>1</v>
      </c>
    </row>
    <row r="6" spans="1:10">
      <c r="A6" s="2" t="s">
        <v>18</v>
      </c>
      <c r="B6" s="2" t="s">
        <v>14</v>
      </c>
      <c r="C6" s="2">
        <v>16</v>
      </c>
      <c r="D6" s="2">
        <v>1</v>
      </c>
    </row>
    <row r="7" spans="1:10">
      <c r="A7" s="2" t="s">
        <v>19</v>
      </c>
      <c r="B7" s="2" t="s">
        <v>14</v>
      </c>
      <c r="C7" s="2">
        <v>32</v>
      </c>
      <c r="D7" s="2">
        <v>1</v>
      </c>
    </row>
    <row r="8" spans="1:10">
      <c r="A8" s="2" t="s">
        <v>20</v>
      </c>
      <c r="B8" s="2" t="s">
        <v>14</v>
      </c>
      <c r="C8" s="2">
        <v>64</v>
      </c>
      <c r="D8" s="2">
        <v>1</v>
      </c>
    </row>
    <row r="9" spans="1:10">
      <c r="A9" s="2" t="s">
        <v>21</v>
      </c>
      <c r="B9" s="2" t="s">
        <v>14</v>
      </c>
      <c r="C9" s="2">
        <v>128</v>
      </c>
      <c r="D9" s="2">
        <v>1</v>
      </c>
    </row>
    <row r="10" spans="1:10">
      <c r="A10" s="2" t="s">
        <v>23</v>
      </c>
      <c r="B10" s="2" t="s">
        <v>22</v>
      </c>
      <c r="C10" s="2">
        <v>1</v>
      </c>
      <c r="D10" s="2">
        <v>2</v>
      </c>
    </row>
    <row r="11" spans="1:10">
      <c r="A11" s="2" t="s">
        <v>13</v>
      </c>
      <c r="B11" s="2" t="s">
        <v>22</v>
      </c>
      <c r="C11" s="2">
        <v>2</v>
      </c>
      <c r="D11" s="2">
        <v>2</v>
      </c>
    </row>
    <row r="12" spans="1:10">
      <c r="B12" s="2" t="s">
        <v>25</v>
      </c>
      <c r="C12" s="2">
        <v>1</v>
      </c>
      <c r="D12" s="2">
        <v>16</v>
      </c>
    </row>
    <row r="13" spans="1:10">
      <c r="A13" s="2" t="s">
        <v>24</v>
      </c>
      <c r="B13" s="2" t="s">
        <v>25</v>
      </c>
      <c r="C13" s="2">
        <v>2</v>
      </c>
      <c r="D13" s="2">
        <v>16</v>
      </c>
    </row>
    <row r="14" spans="1:10">
      <c r="A14" s="2" t="s">
        <v>24</v>
      </c>
      <c r="B14" s="2" t="s">
        <v>25</v>
      </c>
      <c r="C14" s="2">
        <v>4</v>
      </c>
      <c r="D14" s="2">
        <v>16</v>
      </c>
    </row>
    <row r="15" spans="1:10">
      <c r="A15" s="2" t="s">
        <v>24</v>
      </c>
      <c r="B15" s="2" t="s">
        <v>25</v>
      </c>
      <c r="C15" s="2">
        <v>8</v>
      </c>
      <c r="D15" s="2">
        <v>16</v>
      </c>
    </row>
    <row r="16" spans="1:10">
      <c r="A16" s="2" t="s">
        <v>24</v>
      </c>
      <c r="B16" s="2" t="s">
        <v>25</v>
      </c>
      <c r="C16" s="2">
        <v>16</v>
      </c>
      <c r="D16" s="2">
        <v>16</v>
      </c>
    </row>
    <row r="17" spans="1:4">
      <c r="A17" s="2" t="s">
        <v>26</v>
      </c>
      <c r="B17" s="2" t="s">
        <v>25</v>
      </c>
      <c r="C17" s="2">
        <v>32</v>
      </c>
      <c r="D17" s="2">
        <v>16</v>
      </c>
    </row>
    <row r="18" spans="1:4">
      <c r="A18" s="2" t="s">
        <v>27</v>
      </c>
      <c r="B18" s="2" t="s">
        <v>25</v>
      </c>
      <c r="C18" s="2">
        <v>64</v>
      </c>
      <c r="D18" s="2">
        <v>16</v>
      </c>
    </row>
    <row r="19" spans="1:4">
      <c r="A19" s="2" t="s">
        <v>28</v>
      </c>
      <c r="B19" s="2" t="s">
        <v>25</v>
      </c>
      <c r="C19" s="2">
        <v>128</v>
      </c>
      <c r="D19" s="2">
        <v>16</v>
      </c>
    </row>
    <row r="20" spans="1:4">
      <c r="A20" s="2" t="s">
        <v>29</v>
      </c>
      <c r="B20" s="2" t="s">
        <v>30</v>
      </c>
      <c r="C20" s="2">
        <v>1</v>
      </c>
      <c r="D20" s="2">
        <v>17</v>
      </c>
    </row>
    <row r="21" spans="1:4">
      <c r="A21" s="2" t="s">
        <v>31</v>
      </c>
      <c r="B21" s="2" t="s">
        <v>30</v>
      </c>
      <c r="C21" s="2">
        <v>2</v>
      </c>
      <c r="D21" s="2">
        <v>17</v>
      </c>
    </row>
    <row r="22" spans="1:4">
      <c r="A22" s="2" t="s">
        <v>32</v>
      </c>
      <c r="B22" s="2" t="s">
        <v>30</v>
      </c>
      <c r="C22" s="2">
        <v>4</v>
      </c>
      <c r="D22" s="2">
        <v>17</v>
      </c>
    </row>
    <row r="23" spans="1:4">
      <c r="A23" s="2" t="s">
        <v>33</v>
      </c>
      <c r="B23" s="2" t="s">
        <v>30</v>
      </c>
      <c r="C23" s="2">
        <v>8</v>
      </c>
      <c r="D23" s="2">
        <v>17</v>
      </c>
    </row>
    <row r="24" spans="1:4">
      <c r="A24" s="2" t="s">
        <v>34</v>
      </c>
      <c r="B24" s="2" t="s">
        <v>30</v>
      </c>
      <c r="C24" s="2">
        <v>16</v>
      </c>
      <c r="D24" s="2">
        <v>17</v>
      </c>
    </row>
    <row r="25" spans="1:4">
      <c r="A25" s="2" t="s">
        <v>35</v>
      </c>
      <c r="B25" s="2" t="s">
        <v>30</v>
      </c>
      <c r="C25" s="2">
        <v>32</v>
      </c>
      <c r="D25" s="2">
        <v>17</v>
      </c>
    </row>
    <row r="26" spans="1:4">
      <c r="A26" s="2" t="s">
        <v>36</v>
      </c>
      <c r="B26" s="2" t="s">
        <v>30</v>
      </c>
      <c r="C26" s="2">
        <v>64</v>
      </c>
      <c r="D26" s="2">
        <v>17</v>
      </c>
    </row>
    <row r="27" spans="1:4">
      <c r="A27" s="2" t="s">
        <v>37</v>
      </c>
      <c r="B27" s="2" t="s">
        <v>30</v>
      </c>
      <c r="C27" s="2">
        <v>128</v>
      </c>
      <c r="D27" s="2">
        <v>17</v>
      </c>
    </row>
    <row r="28" spans="1:4">
      <c r="A28" s="2" t="s">
        <v>38</v>
      </c>
      <c r="B28" s="2" t="s">
        <v>39</v>
      </c>
      <c r="C28" s="2">
        <v>1</v>
      </c>
      <c r="D28" s="2">
        <v>18</v>
      </c>
    </row>
    <row r="29" spans="1:4">
      <c r="A29" s="2" t="s">
        <v>40</v>
      </c>
      <c r="B29" s="2" t="s">
        <v>39</v>
      </c>
      <c r="C29" s="2">
        <v>2</v>
      </c>
      <c r="D29" s="2">
        <v>18</v>
      </c>
    </row>
    <row r="30" spans="1:4">
      <c r="A30" s="2" t="s">
        <v>41</v>
      </c>
      <c r="B30" s="2" t="s">
        <v>39</v>
      </c>
      <c r="C30" s="2">
        <v>4</v>
      </c>
      <c r="D30" s="2">
        <v>18</v>
      </c>
    </row>
    <row r="31" spans="1:4">
      <c r="A31" s="2" t="s">
        <v>42</v>
      </c>
      <c r="B31" s="2" t="s">
        <v>39</v>
      </c>
      <c r="C31" s="2">
        <v>8</v>
      </c>
      <c r="D31" s="2">
        <v>18</v>
      </c>
    </row>
    <row r="32" spans="1:4">
      <c r="A32" s="2" t="s">
        <v>43</v>
      </c>
      <c r="B32" s="2" t="s">
        <v>39</v>
      </c>
      <c r="C32" s="2">
        <v>16</v>
      </c>
      <c r="D32" s="2">
        <v>18</v>
      </c>
    </row>
    <row r="33" spans="1:4">
      <c r="A33" s="2" t="s">
        <v>44</v>
      </c>
      <c r="B33" s="2" t="s">
        <v>39</v>
      </c>
      <c r="C33" s="2">
        <v>32</v>
      </c>
      <c r="D33" s="2">
        <v>18</v>
      </c>
    </row>
    <row r="34" spans="1:4">
      <c r="A34" s="2" t="s">
        <v>45</v>
      </c>
      <c r="B34" s="2" t="s">
        <v>39</v>
      </c>
      <c r="C34" s="2">
        <v>64</v>
      </c>
      <c r="D34" s="2">
        <v>18</v>
      </c>
    </row>
    <row r="35" spans="1:4">
      <c r="A35" s="2" t="s">
        <v>46</v>
      </c>
      <c r="B35" s="2" t="s">
        <v>39</v>
      </c>
      <c r="C35" s="2">
        <v>128</v>
      </c>
      <c r="D35" s="2">
        <v>18</v>
      </c>
    </row>
    <row r="36" spans="1:4">
      <c r="A36" s="2" t="s">
        <v>47</v>
      </c>
      <c r="B36" s="2" t="s">
        <v>48</v>
      </c>
      <c r="C36" s="2">
        <v>1</v>
      </c>
      <c r="D36" s="2">
        <v>19</v>
      </c>
    </row>
    <row r="37" spans="1:4">
      <c r="A37" s="2" t="s">
        <v>49</v>
      </c>
      <c r="B37" s="2" t="s">
        <v>48</v>
      </c>
      <c r="C37" s="2">
        <v>2</v>
      </c>
      <c r="D37" s="2">
        <v>19</v>
      </c>
    </row>
    <row r="38" spans="1:4">
      <c r="A38" s="2" t="s">
        <v>50</v>
      </c>
      <c r="B38" s="2" t="s">
        <v>48</v>
      </c>
      <c r="C38" s="2">
        <v>4</v>
      </c>
      <c r="D38" s="2">
        <v>19</v>
      </c>
    </row>
    <row r="39" spans="1:4">
      <c r="A39" s="2" t="s">
        <v>51</v>
      </c>
      <c r="B39" s="2" t="s">
        <v>48</v>
      </c>
      <c r="C39" s="2">
        <v>8</v>
      </c>
      <c r="D39" s="2">
        <v>19</v>
      </c>
    </row>
    <row r="40" spans="1:4">
      <c r="A40" s="2" t="s">
        <v>52</v>
      </c>
      <c r="B40" s="2" t="s">
        <v>48</v>
      </c>
      <c r="C40" s="2">
        <v>16</v>
      </c>
      <c r="D40" s="2">
        <v>19</v>
      </c>
    </row>
    <row r="41" spans="1:4">
      <c r="A41" s="2" t="s">
        <v>53</v>
      </c>
      <c r="B41" s="2" t="s">
        <v>48</v>
      </c>
      <c r="C41" s="2">
        <v>32</v>
      </c>
      <c r="D41" s="2">
        <v>19</v>
      </c>
    </row>
    <row r="42" spans="1:4">
      <c r="A42" s="2" t="s">
        <v>54</v>
      </c>
      <c r="B42" s="2" t="s">
        <v>48</v>
      </c>
      <c r="C42" s="2">
        <v>64</v>
      </c>
      <c r="D42" s="2">
        <v>19</v>
      </c>
    </row>
    <row r="43" spans="1:4">
      <c r="A43" s="2" t="s">
        <v>24</v>
      </c>
      <c r="B43" s="2" t="s">
        <v>48</v>
      </c>
      <c r="C43" s="2">
        <v>128</v>
      </c>
      <c r="D43" s="2">
        <v>19</v>
      </c>
    </row>
    <row r="44" spans="1:4">
      <c r="A44" s="2" t="s">
        <v>55</v>
      </c>
      <c r="B44" s="2" t="s">
        <v>56</v>
      </c>
      <c r="C44" s="2">
        <v>1</v>
      </c>
      <c r="D44" s="2">
        <v>20</v>
      </c>
    </row>
    <row r="45" spans="1:4">
      <c r="A45" s="2" t="s">
        <v>57</v>
      </c>
      <c r="B45" s="2" t="s">
        <v>56</v>
      </c>
      <c r="C45" s="2">
        <v>2</v>
      </c>
      <c r="D45" s="2">
        <v>20</v>
      </c>
    </row>
    <row r="46" spans="1:4">
      <c r="A46" s="2" t="s">
        <v>58</v>
      </c>
      <c r="B46" s="2" t="s">
        <v>56</v>
      </c>
      <c r="C46" s="2">
        <v>4</v>
      </c>
      <c r="D46" s="2">
        <v>20</v>
      </c>
    </row>
    <row r="47" spans="1:4">
      <c r="A47" s="2" t="s">
        <v>59</v>
      </c>
      <c r="B47" s="2" t="s">
        <v>56</v>
      </c>
      <c r="C47" s="2">
        <v>8</v>
      </c>
      <c r="D47" s="2">
        <v>20</v>
      </c>
    </row>
    <row r="48" spans="1:4">
      <c r="A48" s="2" t="s">
        <v>24</v>
      </c>
      <c r="B48" s="2" t="s">
        <v>56</v>
      </c>
      <c r="C48" s="2">
        <v>16</v>
      </c>
      <c r="D48" s="2">
        <v>20</v>
      </c>
    </row>
    <row r="49" spans="1:4">
      <c r="A49" s="2" t="s">
        <v>67</v>
      </c>
      <c r="B49" s="2" t="s">
        <v>56</v>
      </c>
      <c r="C49" s="2">
        <v>32</v>
      </c>
      <c r="D49" s="2">
        <v>20</v>
      </c>
    </row>
    <row r="50" spans="1:4">
      <c r="A50" s="2" t="s">
        <v>60</v>
      </c>
      <c r="B50" s="2" t="s">
        <v>56</v>
      </c>
      <c r="C50" s="2">
        <v>64</v>
      </c>
      <c r="D50" s="2">
        <v>20</v>
      </c>
    </row>
    <row r="51" spans="1:4">
      <c r="A51" s="2" t="s">
        <v>61</v>
      </c>
      <c r="B51" s="2" t="s">
        <v>56</v>
      </c>
      <c r="C51" s="2">
        <v>128</v>
      </c>
      <c r="D51" s="2">
        <v>20</v>
      </c>
    </row>
    <row r="52" spans="1:4">
      <c r="A52" s="2" t="s">
        <v>62</v>
      </c>
      <c r="B52" s="2" t="s">
        <v>63</v>
      </c>
      <c r="C52" s="2">
        <v>1</v>
      </c>
      <c r="D52" s="2">
        <v>21</v>
      </c>
    </row>
    <row r="53" spans="1:4">
      <c r="A53" s="2" t="s">
        <v>64</v>
      </c>
      <c r="B53" s="2" t="s">
        <v>63</v>
      </c>
      <c r="C53" s="2">
        <v>2</v>
      </c>
      <c r="D53" s="2">
        <v>21</v>
      </c>
    </row>
    <row r="54" spans="1:4">
      <c r="A54" s="2" t="s">
        <v>65</v>
      </c>
      <c r="B54" s="2" t="s">
        <v>63</v>
      </c>
      <c r="C54" s="2">
        <v>4</v>
      </c>
      <c r="D54" s="2">
        <v>21</v>
      </c>
    </row>
    <row r="55" spans="1:4">
      <c r="A55" s="2" t="s">
        <v>66</v>
      </c>
      <c r="B55" s="2" t="s">
        <v>63</v>
      </c>
      <c r="C55" s="2">
        <v>8</v>
      </c>
      <c r="D55" s="2">
        <v>21</v>
      </c>
    </row>
    <row r="56" spans="1:4">
      <c r="A56" s="2" t="s">
        <v>24</v>
      </c>
      <c r="B56" s="2" t="s">
        <v>63</v>
      </c>
      <c r="C56" s="2">
        <v>16</v>
      </c>
      <c r="D56" s="2">
        <v>21</v>
      </c>
    </row>
    <row r="57" spans="1:4">
      <c r="A57" s="2" t="s">
        <v>24</v>
      </c>
      <c r="B57" s="2" t="s">
        <v>63</v>
      </c>
      <c r="C57" s="2">
        <v>32</v>
      </c>
      <c r="D57" s="2">
        <v>21</v>
      </c>
    </row>
    <row r="58" spans="1:4">
      <c r="A58" s="2" t="s">
        <v>24</v>
      </c>
      <c r="B58" s="2" t="s">
        <v>63</v>
      </c>
      <c r="C58" s="2">
        <v>64</v>
      </c>
      <c r="D58" s="2">
        <v>21</v>
      </c>
    </row>
    <row r="59" spans="1:4">
      <c r="A59" s="2" t="s">
        <v>24</v>
      </c>
      <c r="B59" s="2" t="s">
        <v>63</v>
      </c>
      <c r="C59" s="2">
        <v>128</v>
      </c>
      <c r="D59" s="2">
        <v>21</v>
      </c>
    </row>
    <row r="60" spans="1:4">
      <c r="A60" s="2" t="s">
        <v>24</v>
      </c>
      <c r="B60" s="2" t="s">
        <v>68</v>
      </c>
      <c r="C60" s="2">
        <v>1</v>
      </c>
      <c r="D60" s="2">
        <v>45</v>
      </c>
    </row>
    <row r="61" spans="1:4">
      <c r="A61" s="2" t="s">
        <v>24</v>
      </c>
      <c r="B61" s="2" t="s">
        <v>68</v>
      </c>
      <c r="C61" s="2">
        <v>2</v>
      </c>
      <c r="D61" s="2">
        <v>45</v>
      </c>
    </row>
    <row r="62" spans="1:4">
      <c r="A62" s="2" t="s">
        <v>24</v>
      </c>
      <c r="B62" s="2" t="s">
        <v>68</v>
      </c>
      <c r="C62" s="2">
        <v>4</v>
      </c>
      <c r="D62" s="2">
        <v>45</v>
      </c>
    </row>
    <row r="63" spans="1:4">
      <c r="A63" s="2" t="s">
        <v>24</v>
      </c>
      <c r="B63" s="2" t="s">
        <v>68</v>
      </c>
      <c r="C63" s="2">
        <v>8</v>
      </c>
      <c r="D63" s="2">
        <v>45</v>
      </c>
    </row>
    <row r="64" spans="1:4">
      <c r="A64" s="2" t="s">
        <v>24</v>
      </c>
      <c r="B64" s="2" t="s">
        <v>68</v>
      </c>
      <c r="C64" s="2">
        <v>16</v>
      </c>
      <c r="D64" s="2">
        <v>45</v>
      </c>
    </row>
    <row r="65" spans="1:4">
      <c r="A65" s="2" t="s">
        <v>24</v>
      </c>
      <c r="B65" s="2" t="s">
        <v>68</v>
      </c>
      <c r="C65" s="2">
        <v>32</v>
      </c>
      <c r="D65" s="2">
        <v>45</v>
      </c>
    </row>
    <row r="66" spans="1:4">
      <c r="A66" s="2" t="s">
        <v>69</v>
      </c>
      <c r="B66" s="2" t="s">
        <v>68</v>
      </c>
      <c r="C66" s="2">
        <v>64</v>
      </c>
      <c r="D66" s="2">
        <v>45</v>
      </c>
    </row>
    <row r="67" spans="1:4">
      <c r="A67" s="2" t="s">
        <v>24</v>
      </c>
      <c r="B67" s="2" t="s">
        <v>68</v>
      </c>
      <c r="C67" s="2">
        <v>128</v>
      </c>
      <c r="D67" s="2">
        <v>45</v>
      </c>
    </row>
    <row r="68" spans="1:4">
      <c r="A68" s="2" t="s">
        <v>24</v>
      </c>
      <c r="B68" s="2" t="s">
        <v>70</v>
      </c>
      <c r="C68" s="2">
        <v>1</v>
      </c>
      <c r="D68" s="2">
        <v>46</v>
      </c>
    </row>
    <row r="69" spans="1:4">
      <c r="A69" s="2" t="s">
        <v>71</v>
      </c>
      <c r="B69" s="2" t="s">
        <v>70</v>
      </c>
      <c r="C69" s="2">
        <v>2</v>
      </c>
      <c r="D69" s="2">
        <v>46</v>
      </c>
    </row>
    <row r="70" spans="1:4">
      <c r="A70" s="2" t="s">
        <v>24</v>
      </c>
      <c r="B70" s="2" t="s">
        <v>70</v>
      </c>
      <c r="C70" s="2">
        <v>4</v>
      </c>
      <c r="D70" s="2">
        <v>46</v>
      </c>
    </row>
    <row r="71" spans="1:4">
      <c r="A71" s="2" t="s">
        <v>24</v>
      </c>
      <c r="B71" s="2" t="s">
        <v>70</v>
      </c>
      <c r="C71" s="2">
        <v>8</v>
      </c>
      <c r="D71" s="2">
        <v>46</v>
      </c>
    </row>
    <row r="72" spans="1:4">
      <c r="A72" s="2" t="s">
        <v>72</v>
      </c>
      <c r="B72" s="2" t="s">
        <v>70</v>
      </c>
      <c r="C72" s="2">
        <v>16</v>
      </c>
      <c r="D72" s="2">
        <v>46</v>
      </c>
    </row>
    <row r="73" spans="1:4">
      <c r="A73" s="2" t="s">
        <v>24</v>
      </c>
      <c r="B73" s="2" t="s">
        <v>70</v>
      </c>
      <c r="C73" s="2">
        <v>32</v>
      </c>
      <c r="D73" s="2">
        <v>46</v>
      </c>
    </row>
    <row r="74" spans="1:4">
      <c r="A74" s="2" t="s">
        <v>24</v>
      </c>
      <c r="B74" s="2" t="s">
        <v>70</v>
      </c>
      <c r="C74" s="2">
        <v>64</v>
      </c>
      <c r="D74" s="2">
        <v>46</v>
      </c>
    </row>
    <row r="75" spans="1:4">
      <c r="A75" s="2" t="s">
        <v>24</v>
      </c>
      <c r="B75" s="2" t="s">
        <v>70</v>
      </c>
      <c r="C75" s="2">
        <v>128</v>
      </c>
      <c r="D75" s="2">
        <v>46</v>
      </c>
    </row>
    <row r="76" spans="1:4">
      <c r="A76" s="2" t="s">
        <v>24</v>
      </c>
      <c r="B76" s="2" t="s">
        <v>73</v>
      </c>
      <c r="C76" s="2">
        <v>1</v>
      </c>
      <c r="D76" s="2">
        <v>53</v>
      </c>
    </row>
    <row r="77" spans="1:4">
      <c r="A77" s="2" t="s">
        <v>74</v>
      </c>
      <c r="B77" s="2" t="s">
        <v>73</v>
      </c>
      <c r="C77" s="2">
        <v>2</v>
      </c>
      <c r="D77" s="2">
        <v>53</v>
      </c>
    </row>
    <row r="78" spans="1:4">
      <c r="A78" s="2" t="s">
        <v>75</v>
      </c>
      <c r="B78" s="2" t="s">
        <v>73</v>
      </c>
      <c r="C78" s="2">
        <v>4</v>
      </c>
      <c r="D78" s="2">
        <v>53</v>
      </c>
    </row>
    <row r="79" spans="1:4">
      <c r="A79" s="2" t="s">
        <v>76</v>
      </c>
      <c r="B79" s="2" t="s">
        <v>73</v>
      </c>
      <c r="C79" s="2">
        <v>8</v>
      </c>
      <c r="D79" s="2">
        <v>53</v>
      </c>
    </row>
    <row r="80" spans="1:4">
      <c r="A80" s="2" t="s">
        <v>24</v>
      </c>
      <c r="B80" s="2" t="s">
        <v>73</v>
      </c>
      <c r="C80" s="2">
        <v>16</v>
      </c>
      <c r="D80" s="2">
        <v>53</v>
      </c>
    </row>
    <row r="81" spans="1:4">
      <c r="A81" s="2" t="s">
        <v>77</v>
      </c>
      <c r="B81" s="2" t="s">
        <v>73</v>
      </c>
      <c r="C81" s="2">
        <v>32</v>
      </c>
      <c r="D81" s="2">
        <v>53</v>
      </c>
    </row>
    <row r="82" spans="1:4">
      <c r="A82" s="2" t="s">
        <v>78</v>
      </c>
      <c r="B82" s="2" t="s">
        <v>73</v>
      </c>
      <c r="C82" s="2">
        <v>64</v>
      </c>
      <c r="D82" s="2">
        <v>53</v>
      </c>
    </row>
    <row r="83" spans="1:4">
      <c r="A83" s="2" t="s">
        <v>79</v>
      </c>
      <c r="B83" s="2" t="s">
        <v>73</v>
      </c>
      <c r="C83" s="2">
        <v>128</v>
      </c>
      <c r="D83" s="2">
        <v>53</v>
      </c>
    </row>
    <row r="84" spans="1:4">
      <c r="A84" s="2" t="s">
        <v>80</v>
      </c>
      <c r="B84" s="2" t="s">
        <v>81</v>
      </c>
      <c r="C84" s="2">
        <v>1</v>
      </c>
      <c r="D84" s="2">
        <v>54</v>
      </c>
    </row>
    <row r="85" spans="1:4">
      <c r="A85" s="2" t="s">
        <v>24</v>
      </c>
      <c r="B85" s="2" t="s">
        <v>81</v>
      </c>
      <c r="C85" s="2">
        <v>2</v>
      </c>
      <c r="D85" s="2">
        <v>54</v>
      </c>
    </row>
    <row r="86" spans="1:4">
      <c r="A86" s="2" t="s">
        <v>24</v>
      </c>
      <c r="B86" s="2" t="s">
        <v>81</v>
      </c>
      <c r="C86" s="2">
        <v>4</v>
      </c>
      <c r="D86" s="2">
        <v>54</v>
      </c>
    </row>
    <row r="87" spans="1:4">
      <c r="A87" s="2" t="s">
        <v>24</v>
      </c>
      <c r="B87" s="2" t="s">
        <v>81</v>
      </c>
      <c r="C87" s="2">
        <v>8</v>
      </c>
      <c r="D87" s="2">
        <v>54</v>
      </c>
    </row>
    <row r="88" spans="1:4">
      <c r="A88" s="2" t="s">
        <v>24</v>
      </c>
      <c r="B88" s="2" t="s">
        <v>81</v>
      </c>
      <c r="C88" s="2">
        <v>16</v>
      </c>
      <c r="D88" s="2">
        <v>54</v>
      </c>
    </row>
    <row r="89" spans="1:4">
      <c r="A89" s="2" t="s">
        <v>24</v>
      </c>
      <c r="B89" s="2" t="s">
        <v>81</v>
      </c>
      <c r="C89" s="2">
        <v>32</v>
      </c>
      <c r="D89" s="2">
        <v>54</v>
      </c>
    </row>
    <row r="90" spans="1:4">
      <c r="A90" s="2" t="s">
        <v>24</v>
      </c>
      <c r="B90" s="2" t="s">
        <v>81</v>
      </c>
      <c r="C90" s="2">
        <v>64</v>
      </c>
      <c r="D90" s="2">
        <v>54</v>
      </c>
    </row>
    <row r="91" spans="1:4">
      <c r="A91" s="2" t="s">
        <v>24</v>
      </c>
      <c r="B91" s="2" t="s">
        <v>81</v>
      </c>
      <c r="C91" s="2">
        <v>128</v>
      </c>
      <c r="D91" s="2">
        <v>54</v>
      </c>
    </row>
    <row r="92" spans="1:4">
      <c r="A92" s="2" t="s">
        <v>24</v>
      </c>
      <c r="B92" s="2" t="s">
        <v>82</v>
      </c>
      <c r="C92" s="2">
        <v>1</v>
      </c>
      <c r="D92" s="2">
        <v>60</v>
      </c>
    </row>
    <row r="93" spans="1:4">
      <c r="A93" s="2" t="s">
        <v>83</v>
      </c>
      <c r="B93" s="2" t="s">
        <v>82</v>
      </c>
      <c r="C93" s="2">
        <v>2</v>
      </c>
      <c r="D93" s="2">
        <v>60</v>
      </c>
    </row>
    <row r="94" spans="1:4">
      <c r="A94" s="2" t="s">
        <v>84</v>
      </c>
      <c r="B94" s="2" t="s">
        <v>82</v>
      </c>
      <c r="C94" s="2">
        <v>4</v>
      </c>
      <c r="D94" s="2">
        <v>60</v>
      </c>
    </row>
    <row r="95" spans="1:4">
      <c r="A95" s="2" t="s">
        <v>85</v>
      </c>
      <c r="B95" s="2" t="s">
        <v>82</v>
      </c>
      <c r="C95" s="2">
        <v>8</v>
      </c>
      <c r="D95" s="2">
        <v>60</v>
      </c>
    </row>
    <row r="96" spans="1:4">
      <c r="A96" s="2" t="s">
        <v>86</v>
      </c>
      <c r="B96" s="2" t="s">
        <v>82</v>
      </c>
      <c r="C96" s="2">
        <v>16</v>
      </c>
      <c r="D96" s="2">
        <v>60</v>
      </c>
    </row>
    <row r="97" spans="1:4">
      <c r="A97" s="2" t="s">
        <v>24</v>
      </c>
      <c r="B97" s="2" t="s">
        <v>82</v>
      </c>
      <c r="C97" s="2">
        <v>32</v>
      </c>
      <c r="D97" s="2">
        <v>60</v>
      </c>
    </row>
    <row r="98" spans="1:4">
      <c r="A98" s="2" t="s">
        <v>24</v>
      </c>
      <c r="B98" s="2" t="s">
        <v>82</v>
      </c>
      <c r="C98" s="2">
        <v>64</v>
      </c>
      <c r="D98" s="2">
        <v>60</v>
      </c>
    </row>
    <row r="99" spans="1:4">
      <c r="A99" s="2" t="s">
        <v>24</v>
      </c>
      <c r="B99" s="2" t="s">
        <v>82</v>
      </c>
      <c r="C99" s="2">
        <v>128</v>
      </c>
      <c r="D99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edited bag.cro</vt:lpstr>
      <vt:lpstr>Flags to Set</vt:lpstr>
      <vt:lpstr>Known Flags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2026-06-23T01:45:02Z</dcterms:modified>
</cp:coreProperties>
</file>